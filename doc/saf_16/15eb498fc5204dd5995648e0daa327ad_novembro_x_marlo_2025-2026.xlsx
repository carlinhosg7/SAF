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rlos.gomes\Downloads\"/>
    </mc:Choice>
  </mc:AlternateContent>
  <xr:revisionPtr revIDLastSave="0" documentId="13_ncr:1_{2F8FDE19-584F-4065-86A4-E0663551C328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Folha 1" sheetId="1" r:id="rId1"/>
  </sheets>
  <definedNames>
    <definedName name="_xlnm._FilterDatabase" localSheetId="0" hidden="1">'Folha 1'!$A$1:$J$3752</definedName>
    <definedName name="_xlnm.Print_Titles" localSheetId="0">'Folha 1'!$1:$1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2" i="1"/>
  <c r="G3751" i="1"/>
  <c r="F3751" i="1"/>
  <c r="I3751" i="1" l="1"/>
  <c r="H3752" i="1"/>
  <c r="H3751" i="1"/>
</calcChain>
</file>

<file path=xl/sharedStrings.xml><?xml version="1.0" encoding="utf-8"?>
<sst xmlns="http://schemas.openxmlformats.org/spreadsheetml/2006/main" count="18758" uniqueCount="4605">
  <si>
    <t>Codigo Grupo Cliente</t>
  </si>
  <si>
    <t>Grupo Cliente</t>
  </si>
  <si>
    <t>Codigo Representante Carteira</t>
  </si>
  <si>
    <t>Representante Carteira</t>
  </si>
  <si>
    <t>Supervisor</t>
  </si>
  <si>
    <t>10</t>
  </si>
  <si>
    <t>BOM PRECO</t>
  </si>
  <si>
    <t>335 OLE GESTAO COMERCIAL E ADMINISTRATIVA LTDA</t>
  </si>
  <si>
    <t>SUL</t>
  </si>
  <si>
    <t>SPC</t>
  </si>
  <si>
    <t>1001</t>
  </si>
  <si>
    <t>GRUPO NACIONAL REGIONAL</t>
  </si>
  <si>
    <t>301 JRM VELOSO REPRESENTAÇÕES DE CALÇADOS LTDA</t>
  </si>
  <si>
    <t>NORTE / NORDESTE</t>
  </si>
  <si>
    <t>1002</t>
  </si>
  <si>
    <t>ANDEBEM</t>
  </si>
  <si>
    <t>45 AME REPRESENTAÇÃO COMERCIAL DE MERCADORIAS LTDA</t>
  </si>
  <si>
    <t>J2 SILVEIRA COM DE REPRESENTAÇÃO ME</t>
  </si>
  <si>
    <t>CENTRO OESTE</t>
  </si>
  <si>
    <t>1013</t>
  </si>
  <si>
    <t>GRUPO ALO DEZ</t>
  </si>
  <si>
    <t>143 MARCELO SOROCABA REPRESENTAÇÕES COMERCIAL LTDA</t>
  </si>
  <si>
    <t>SPI</t>
  </si>
  <si>
    <t>197 FABRICIO RIZZATO RODRIGUES</t>
  </si>
  <si>
    <t>1015</t>
  </si>
  <si>
    <t>GRUPO RECANTO</t>
  </si>
  <si>
    <t>39 C A VELOSO REPRESENTAÇÕES</t>
  </si>
  <si>
    <t>1016</t>
  </si>
  <si>
    <t>GRUPO ALLANDRA</t>
  </si>
  <si>
    <t>371 TSTH 1 990 SAMUEL REPRESENTANTE COMERCIAL LTDA</t>
  </si>
  <si>
    <t>REM</t>
  </si>
  <si>
    <t>1020</t>
  </si>
  <si>
    <t>LOJA POPULAE</t>
  </si>
  <si>
    <t>15 J. JIREH REP. - AM/RR</t>
  </si>
  <si>
    <t>1022</t>
  </si>
  <si>
    <t>ESPORTE 10 &amp; CALCADOS</t>
  </si>
  <si>
    <t>1025</t>
  </si>
  <si>
    <t>GRUPO ASSIS - 45</t>
  </si>
  <si>
    <t>1029</t>
  </si>
  <si>
    <t>GRUPO LEA</t>
  </si>
  <si>
    <t>103</t>
  </si>
  <si>
    <t>Y AGITA - FOZ DO IGUACU</t>
  </si>
  <si>
    <t>93 FIGUEIREDO &amp; LOPES LTDA ME</t>
  </si>
  <si>
    <t>1031</t>
  </si>
  <si>
    <t>GRUPO L D CALCADOS</t>
  </si>
  <si>
    <t>1033</t>
  </si>
  <si>
    <t>ROBALINHO</t>
  </si>
  <si>
    <t>1040</t>
  </si>
  <si>
    <t>FONTANIVE - 93</t>
  </si>
  <si>
    <t>1042</t>
  </si>
  <si>
    <t>MARANATHA CALCADOS</t>
  </si>
  <si>
    <t>1043</t>
  </si>
  <si>
    <t>GRUPO GALINARI</t>
  </si>
  <si>
    <t>19 HAMILTON BIRIGUI REPRES. LTDA</t>
  </si>
  <si>
    <t>317 GESTTO BRANDS REPRESENTACOES LTDA</t>
  </si>
  <si>
    <t>11 GEORGE BORGES REPRESENTACOES EIRELI - ME</t>
  </si>
  <si>
    <t>1050</t>
  </si>
  <si>
    <t>GRUPO LIMA</t>
  </si>
  <si>
    <t>208 R A MIRANDA REPRESENTAÇÇÕES ME</t>
  </si>
  <si>
    <t>1051</t>
  </si>
  <si>
    <t>GRUPO FLAVIA</t>
  </si>
  <si>
    <t>1054</t>
  </si>
  <si>
    <t>100 ETIQUETAS</t>
  </si>
  <si>
    <t>1058</t>
  </si>
  <si>
    <t>GRUPO ADRI</t>
  </si>
  <si>
    <t>1059</t>
  </si>
  <si>
    <t>PE KENTE R</t>
  </si>
  <si>
    <t>1062</t>
  </si>
  <si>
    <t>GRUPO JULIVAN</t>
  </si>
  <si>
    <t>1063</t>
  </si>
  <si>
    <t>GRUPO TOPANOTT</t>
  </si>
  <si>
    <t>23 OLIVEN REPRESENTAÇÃO COML. LTDA ME</t>
  </si>
  <si>
    <t>1065</t>
  </si>
  <si>
    <t>GRUPO BAVARESCO</t>
  </si>
  <si>
    <t>1066</t>
  </si>
  <si>
    <t>GRUPO C E J CONFECCOES</t>
  </si>
  <si>
    <t>327 BOLA REPRESENTACOES COMERCIAIS</t>
  </si>
  <si>
    <t>1070</t>
  </si>
  <si>
    <t>GRUPO MANSAN</t>
  </si>
  <si>
    <t>315 LAINO REPRESENTACOES</t>
  </si>
  <si>
    <t>1071</t>
  </si>
  <si>
    <t>GRUPO SIBRAMA</t>
  </si>
  <si>
    <t>1072</t>
  </si>
  <si>
    <t>GRUPO COUROLAM</t>
  </si>
  <si>
    <t>1076</t>
  </si>
  <si>
    <t>GRUPO CONFORTO CALCADOS</t>
  </si>
  <si>
    <t>74 IRMAOS PAGNONCELLI REPRESENTACOES LTDA</t>
  </si>
  <si>
    <t>1078</t>
  </si>
  <si>
    <t>GRUPO BELLA GRIFF</t>
  </si>
  <si>
    <t>231 T COLARES</t>
  </si>
  <si>
    <t>1079</t>
  </si>
  <si>
    <t>VEST BEM GRUPO</t>
  </si>
  <si>
    <t>178 EMERSON SGOBBI-NORTE/PR</t>
  </si>
  <si>
    <t>1084</t>
  </si>
  <si>
    <t>DINHO CALCADOS</t>
  </si>
  <si>
    <t>232 G L PEREIRA PINHEIRO</t>
  </si>
  <si>
    <t>1085</t>
  </si>
  <si>
    <t>CENTER SPORTS</t>
  </si>
  <si>
    <t>1086</t>
  </si>
  <si>
    <t>GRUPO A FAVORITA - 74</t>
  </si>
  <si>
    <t>1094</t>
  </si>
  <si>
    <t>PASSOLD CALCADOS</t>
  </si>
  <si>
    <t>110</t>
  </si>
  <si>
    <t>KIKOS CALCADOS</t>
  </si>
  <si>
    <t>1103</t>
  </si>
  <si>
    <t>REBOUCAS CALC</t>
  </si>
  <si>
    <t>41 R.C.ROTHEMBERGER REPRES. LTDA</t>
  </si>
  <si>
    <t>1105</t>
  </si>
  <si>
    <t>LELOS CALC</t>
  </si>
  <si>
    <t>1107</t>
  </si>
  <si>
    <t>GRUPO PEREIRA</t>
  </si>
  <si>
    <t>LORAN DA SILVA SANTOS REPRESENTAÇÕES EIRELI</t>
  </si>
  <si>
    <t>1110</t>
  </si>
  <si>
    <t>GRUPO MARLENE SANTOS</t>
  </si>
  <si>
    <t>61 EDMAR FERREIRA LIMA E CIA LTDA ME</t>
  </si>
  <si>
    <t>1112</t>
  </si>
  <si>
    <t>GRUPO SAVARIS</t>
  </si>
  <si>
    <t>1113</t>
  </si>
  <si>
    <t>GRUPO MARLY</t>
  </si>
  <si>
    <t>1118</t>
  </si>
  <si>
    <t>PAMPA CALCADOS</t>
  </si>
  <si>
    <t>1120</t>
  </si>
  <si>
    <t>MAGAZINE CAMILA</t>
  </si>
  <si>
    <t>1121</t>
  </si>
  <si>
    <t>ELI MARQUES DE LIMA</t>
  </si>
  <si>
    <t>321 EBA REPRESENTANTES COMERCIAIS LTDA</t>
  </si>
  <si>
    <t>1126</t>
  </si>
  <si>
    <t>GRUPO MASCOTE</t>
  </si>
  <si>
    <t>1127</t>
  </si>
  <si>
    <t>GRUPO ALINE CALC</t>
  </si>
  <si>
    <t>1128</t>
  </si>
  <si>
    <t>GRUPO BIA BELLA MORE</t>
  </si>
  <si>
    <t>1133</t>
  </si>
  <si>
    <t>GRUPO STILLER</t>
  </si>
  <si>
    <t>1134</t>
  </si>
  <si>
    <t>GABRIEL CALCADOS</t>
  </si>
  <si>
    <t>34 FABRICIO FERNANDES GRAMA REPRESENTAÇÕES COMERCI</t>
  </si>
  <si>
    <t>ANA PAULA CATELAN DO NASCIMENTO</t>
  </si>
  <si>
    <t>1139</t>
  </si>
  <si>
    <t>ELDORADO DE PARACATU</t>
  </si>
  <si>
    <t>1140</t>
  </si>
  <si>
    <t>CALCADOS DUARTE</t>
  </si>
  <si>
    <t>1142</t>
  </si>
  <si>
    <t>M TERESA</t>
  </si>
  <si>
    <t>1145</t>
  </si>
  <si>
    <t>GRUPO FEITICEIRA</t>
  </si>
  <si>
    <t>1146</t>
  </si>
  <si>
    <t>ZE MARIA CALCADOS</t>
  </si>
  <si>
    <t>1148</t>
  </si>
  <si>
    <t>GRUPO COLOMBO</t>
  </si>
  <si>
    <t>115</t>
  </si>
  <si>
    <t>ALUISIO FASHION G(17)</t>
  </si>
  <si>
    <t>240 RAMON MAIA DE LIMA</t>
  </si>
  <si>
    <t>1150</t>
  </si>
  <si>
    <t>GRUPO TIMPPE</t>
  </si>
  <si>
    <t>218 FABIANO LEDUR REPRESENTACOES LTDA</t>
  </si>
  <si>
    <t>1154</t>
  </si>
  <si>
    <t>GRUPO MARRONI</t>
  </si>
  <si>
    <t>328 FELIPE REPRESENTACOES LTDA</t>
  </si>
  <si>
    <t>1155</t>
  </si>
  <si>
    <t>GRUPO NUNES</t>
  </si>
  <si>
    <t>1156</t>
  </si>
  <si>
    <t>GRUPO DUILSON</t>
  </si>
  <si>
    <t>1160</t>
  </si>
  <si>
    <t>PASSO A PASSO</t>
  </si>
  <si>
    <t>1161</t>
  </si>
  <si>
    <t>GRUPO VISUAL</t>
  </si>
  <si>
    <t>316 LC REPRESENTAÇÕES COMERCIAIS LTDA</t>
  </si>
  <si>
    <t>1164</t>
  </si>
  <si>
    <t>GRUPO JUNITEX (19)</t>
  </si>
  <si>
    <t>1168</t>
  </si>
  <si>
    <t>SAO JOSE CALCADOS</t>
  </si>
  <si>
    <t>31 MARCOS VINICIO REPRES. LTDA</t>
  </si>
  <si>
    <t>1170</t>
  </si>
  <si>
    <t>GRUPO ALICE CALCADOS</t>
  </si>
  <si>
    <t>1173</t>
  </si>
  <si>
    <t>GRUPO AGRIMALDO</t>
  </si>
  <si>
    <t>1175</t>
  </si>
  <si>
    <t>GRUPO TAVARES</t>
  </si>
  <si>
    <t>194 WALLACE SHOES REPRESENTAÇOES</t>
  </si>
  <si>
    <t>1180</t>
  </si>
  <si>
    <t>MERCOSUL</t>
  </si>
  <si>
    <t>1184</t>
  </si>
  <si>
    <t>BENEDUZZI</t>
  </si>
  <si>
    <t>1186</t>
  </si>
  <si>
    <t>SHANADU</t>
  </si>
  <si>
    <t>1190</t>
  </si>
  <si>
    <t>BRASCON</t>
  </si>
  <si>
    <t>320 LT SHOES REPRESENTACOES LTDA</t>
  </si>
  <si>
    <t>1193</t>
  </si>
  <si>
    <t>FERREIRA LUCIO</t>
  </si>
  <si>
    <t>1196</t>
  </si>
  <si>
    <t>GRUPO SAO JOSE - 33</t>
  </si>
  <si>
    <t>1198</t>
  </si>
  <si>
    <t>GRUPO ELDORADO - 34</t>
  </si>
  <si>
    <t>12</t>
  </si>
  <si>
    <t>SCARPE CALCADOS</t>
  </si>
  <si>
    <t>1200</t>
  </si>
  <si>
    <t>RENOVACAO CALCADOS</t>
  </si>
  <si>
    <t>1203</t>
  </si>
  <si>
    <t>GRUPO LUZENITA</t>
  </si>
  <si>
    <t>1204</t>
  </si>
  <si>
    <t>LA BELLE CALCADOS</t>
  </si>
  <si>
    <t>1206</t>
  </si>
  <si>
    <t>ADRYS CALCADOS</t>
  </si>
  <si>
    <t>1208</t>
  </si>
  <si>
    <t>LOJAS BIS</t>
  </si>
  <si>
    <t>1209</t>
  </si>
  <si>
    <t>GRUPO PE QUENTE - 101</t>
  </si>
  <si>
    <t>297 REPRESENTACAO JONATAS LTDA</t>
  </si>
  <si>
    <t>121</t>
  </si>
  <si>
    <t>PURA MODA</t>
  </si>
  <si>
    <t>1210</t>
  </si>
  <si>
    <t>NELLISE KIDS</t>
  </si>
  <si>
    <t>1211</t>
  </si>
  <si>
    <t>ZEZA CONFECA•ES</t>
  </si>
  <si>
    <t>1216</t>
  </si>
  <si>
    <t>PE CALCE</t>
  </si>
  <si>
    <t>337 - D SOBRAL DA SILVA REPRESENTACOES</t>
  </si>
  <si>
    <t>1218</t>
  </si>
  <si>
    <t>NEW CHARME</t>
  </si>
  <si>
    <t>1219</t>
  </si>
  <si>
    <t>PASSO &amp; PASSO XALACDOS</t>
  </si>
  <si>
    <t>122</t>
  </si>
  <si>
    <t>KALLAN MODAS</t>
  </si>
  <si>
    <t>1223</t>
  </si>
  <si>
    <t>GRUPO MIB</t>
  </si>
  <si>
    <t>1224</t>
  </si>
  <si>
    <t>BARTHOLOMEU</t>
  </si>
  <si>
    <t>38 MCM CALCADOS VESTUARIO E TEXTIL LTDA ME</t>
  </si>
  <si>
    <t>1229</t>
  </si>
  <si>
    <t>YURI CALCADOS</t>
  </si>
  <si>
    <t>123</t>
  </si>
  <si>
    <t>ANDBEM CALCADOS [3]</t>
  </si>
  <si>
    <t>1230</t>
  </si>
  <si>
    <t>SHOEMIX CALCADOS</t>
  </si>
  <si>
    <t>1231</t>
  </si>
  <si>
    <t>GRUPO REAL</t>
  </si>
  <si>
    <t>1232</t>
  </si>
  <si>
    <t>1233</t>
  </si>
  <si>
    <t>1234</t>
  </si>
  <si>
    <t>JO PE CALCADOS</t>
  </si>
  <si>
    <t>1235</t>
  </si>
  <si>
    <t>GRUPO LENITA</t>
  </si>
  <si>
    <t>1236</t>
  </si>
  <si>
    <t>GRUPO SILVIA REZENDE</t>
  </si>
  <si>
    <t>299 REPRESENTACOES JAMIR MACIEL ASSIS LTDA</t>
  </si>
  <si>
    <t>1237</t>
  </si>
  <si>
    <t>O PRECINHO</t>
  </si>
  <si>
    <t>1238</t>
  </si>
  <si>
    <t>GRUPO SARAIVA</t>
  </si>
  <si>
    <t>1240</t>
  </si>
  <si>
    <t>GRUPO SENSACAO</t>
  </si>
  <si>
    <t>217 PHC REPRESENTACAO</t>
  </si>
  <si>
    <t>1243</t>
  </si>
  <si>
    <t>MERCES CALCADOS</t>
  </si>
  <si>
    <t>1245</t>
  </si>
  <si>
    <t>MARCONE CALCADOS</t>
  </si>
  <si>
    <t>1247</t>
  </si>
  <si>
    <t>ALEXANDRE CALCADOS</t>
  </si>
  <si>
    <t>125</t>
  </si>
  <si>
    <t>GRUPO CIRANDINHA</t>
  </si>
  <si>
    <t>1250</t>
  </si>
  <si>
    <t>BABY TEEN</t>
  </si>
  <si>
    <t>1251</t>
  </si>
  <si>
    <t>GRUPO PE DE MAIS</t>
  </si>
  <si>
    <t>1253</t>
  </si>
  <si>
    <t>GRUPO MIB CAPITAL</t>
  </si>
  <si>
    <t>1254</t>
  </si>
  <si>
    <t>1256</t>
  </si>
  <si>
    <t>MAGAZINE ALIANCA</t>
  </si>
  <si>
    <t>1258</t>
  </si>
  <si>
    <t>1259</t>
  </si>
  <si>
    <t>GRUPO AMIGAO</t>
  </si>
  <si>
    <t>1260</t>
  </si>
  <si>
    <t>A PREFERIDA</t>
  </si>
  <si>
    <t>1262</t>
  </si>
  <si>
    <t>GRUPO BK CALCADOS</t>
  </si>
  <si>
    <t>1269</t>
  </si>
  <si>
    <t>GRUPO SOAVE</t>
  </si>
  <si>
    <t>127</t>
  </si>
  <si>
    <t>ESTRELA CALCADOS</t>
  </si>
  <si>
    <t>1270</t>
  </si>
  <si>
    <t>GRUPO PASSO LIVRE</t>
  </si>
  <si>
    <t>1271</t>
  </si>
  <si>
    <t>GRUPO ARACALCE II</t>
  </si>
  <si>
    <t>1272</t>
  </si>
  <si>
    <t>BOA COMPANHIA</t>
  </si>
  <si>
    <t>1273</t>
  </si>
  <si>
    <t>GRUPO FALCAO</t>
  </si>
  <si>
    <t>1274</t>
  </si>
  <si>
    <t>GRUPO SIQUEIRA E CUNHA</t>
  </si>
  <si>
    <t>1275</t>
  </si>
  <si>
    <t>GRUPO LUBB</t>
  </si>
  <si>
    <t>1277</t>
  </si>
  <si>
    <t>GRUPO SCHIBICHEVSKI</t>
  </si>
  <si>
    <t>1279</t>
  </si>
  <si>
    <t>GRUPO WESLEY</t>
  </si>
  <si>
    <t>282 NRIZZO REPRESENTACOES PROMOCOES E INTERMEDIACO</t>
  </si>
  <si>
    <t>1282</t>
  </si>
  <si>
    <t>GRUPO PAVONE</t>
  </si>
  <si>
    <t>1286</t>
  </si>
  <si>
    <t>SAPATARIA AMORIM</t>
  </si>
  <si>
    <t>302 F&amp;R REPRESENTAÇÕES LTDA</t>
  </si>
  <si>
    <t>1291</t>
  </si>
  <si>
    <t>JP CALCADOS</t>
  </si>
  <si>
    <t>1293</t>
  </si>
  <si>
    <t>GRUPO CRIATIVA</t>
  </si>
  <si>
    <t>1294</t>
  </si>
  <si>
    <t>CENTRAL CALCADOS</t>
  </si>
  <si>
    <t>1298</t>
  </si>
  <si>
    <t>GRUPO MARIA JULIA</t>
  </si>
  <si>
    <t>270 JACK REPRESENTACOES LTDA</t>
  </si>
  <si>
    <t>130</t>
  </si>
  <si>
    <t>SUPER MAGAZINE BRIENZE</t>
  </si>
  <si>
    <t>1300</t>
  </si>
  <si>
    <t>GRUPO TECCHIO</t>
  </si>
  <si>
    <t>1301</t>
  </si>
  <si>
    <t>GUT GUT</t>
  </si>
  <si>
    <t>1306</t>
  </si>
  <si>
    <t>GRUPO RENILDO</t>
  </si>
  <si>
    <t>1314</t>
  </si>
  <si>
    <t>GRUPO EXOTIC</t>
  </si>
  <si>
    <t>1316</t>
  </si>
  <si>
    <t>GRUPO PARAISO DOS CALCADOS</t>
  </si>
  <si>
    <t>1320</t>
  </si>
  <si>
    <t>JUNIOR CALCADOS</t>
  </si>
  <si>
    <t>1321</t>
  </si>
  <si>
    <t>GRUPO CHINELO CALCADOS</t>
  </si>
  <si>
    <t>1326</t>
  </si>
  <si>
    <t>DIGITAL CALCADOS</t>
  </si>
  <si>
    <t>1329</t>
  </si>
  <si>
    <t>TOCA DOS BAIXINHOS</t>
  </si>
  <si>
    <t>1330</t>
  </si>
  <si>
    <t>GRUPO MDL</t>
  </si>
  <si>
    <t>167 C ANDRADE REP. - ES</t>
  </si>
  <si>
    <t>1334</t>
  </si>
  <si>
    <t>GRUPO PAULISTA</t>
  </si>
  <si>
    <t>1336</t>
  </si>
  <si>
    <t>MAGAZINE SANTA LUCIA</t>
  </si>
  <si>
    <t>53 ODELON P. DA SILVA REPRESENTAÇOES LTDA ME</t>
  </si>
  <si>
    <t>1342</t>
  </si>
  <si>
    <t>GRUPO AGITTUS</t>
  </si>
  <si>
    <t>1343</t>
  </si>
  <si>
    <t>GRUPO MADRI</t>
  </si>
  <si>
    <t>1344</t>
  </si>
  <si>
    <t>OLIVER KIDS</t>
  </si>
  <si>
    <t>1348</t>
  </si>
  <si>
    <t>GRUPO TALU</t>
  </si>
  <si>
    <t>1354</t>
  </si>
  <si>
    <t>CAROLINA CACADOS</t>
  </si>
  <si>
    <t>1357</t>
  </si>
  <si>
    <t>GRUPO SAVILLE</t>
  </si>
  <si>
    <t>1358</t>
  </si>
  <si>
    <t>GRUPO DUPASSO</t>
  </si>
  <si>
    <t>1361</t>
  </si>
  <si>
    <t>GRUPO ANDRADE</t>
  </si>
  <si>
    <t>1364</t>
  </si>
  <si>
    <t>GRUPO FMM</t>
  </si>
  <si>
    <t>1366</t>
  </si>
  <si>
    <t>GRUPO ELOY CALCADOS</t>
  </si>
  <si>
    <t>1374</t>
  </si>
  <si>
    <t>GRUPO MATTE</t>
  </si>
  <si>
    <t>1376</t>
  </si>
  <si>
    <t>J M SCARPINI</t>
  </si>
  <si>
    <t>1380</t>
  </si>
  <si>
    <t>GRUPO MARIA</t>
  </si>
  <si>
    <t>1381</t>
  </si>
  <si>
    <t>GRUPO FUZUE</t>
  </si>
  <si>
    <t>1383</t>
  </si>
  <si>
    <t>SANTANA MODAS</t>
  </si>
  <si>
    <t>1386</t>
  </si>
  <si>
    <t>GRUPO EDMAIS</t>
  </si>
  <si>
    <t>139</t>
  </si>
  <si>
    <t>GRUPO DI GASPI</t>
  </si>
  <si>
    <t>1409</t>
  </si>
  <si>
    <t>LOJA CATS BARNEIA</t>
  </si>
  <si>
    <t>1413</t>
  </si>
  <si>
    <t>GENTE MIUDA</t>
  </si>
  <si>
    <t>1415</t>
  </si>
  <si>
    <t>GRUPO PASSOS (04)</t>
  </si>
  <si>
    <t>1418</t>
  </si>
  <si>
    <t>EN CALCADOS (2)</t>
  </si>
  <si>
    <t>1423</t>
  </si>
  <si>
    <t>SILVANA</t>
  </si>
  <si>
    <t>1424</t>
  </si>
  <si>
    <t>AZUL CALCADOS - AL10</t>
  </si>
  <si>
    <t>1426</t>
  </si>
  <si>
    <t>GRUPO BUZOLIN (04)</t>
  </si>
  <si>
    <t>1430</t>
  </si>
  <si>
    <t>GRUPO SMAIDI</t>
  </si>
  <si>
    <t>1432</t>
  </si>
  <si>
    <t>GRUPO RICARDO CALCADOS (02)</t>
  </si>
  <si>
    <t>1436</t>
  </si>
  <si>
    <t>SAN RIO MODAS</t>
  </si>
  <si>
    <t>1439</t>
  </si>
  <si>
    <t>GRUPO IMPACTO</t>
  </si>
  <si>
    <t>1442</t>
  </si>
  <si>
    <t>GRUPO PASSO CALCADOS (02)</t>
  </si>
  <si>
    <t>1444</t>
  </si>
  <si>
    <t>GRUPO VAN ROI</t>
  </si>
  <si>
    <t>1445</t>
  </si>
  <si>
    <t>GRUPO LOJAS MARISSOL</t>
  </si>
  <si>
    <t>1449</t>
  </si>
  <si>
    <t>Y AGITA - (LONDRINA)</t>
  </si>
  <si>
    <t>145</t>
  </si>
  <si>
    <t>UNIVERSO KIDS</t>
  </si>
  <si>
    <t>1453</t>
  </si>
  <si>
    <t>GRUPO S DUARTE</t>
  </si>
  <si>
    <t>1456</t>
  </si>
  <si>
    <t>GRUPO MUNDI STORE (03)</t>
  </si>
  <si>
    <t>1457</t>
  </si>
  <si>
    <t>GRUPO D´LELES (07)</t>
  </si>
  <si>
    <t>1458</t>
  </si>
  <si>
    <t>GRUPO MATTOS (61)</t>
  </si>
  <si>
    <t>1463</t>
  </si>
  <si>
    <t>GRUPO LETICIAS</t>
  </si>
  <si>
    <t>267 F N CAMPELO REPRESENTACOES LTDA ­ ME</t>
  </si>
  <si>
    <t>1467</t>
  </si>
  <si>
    <t>SAPASSOS</t>
  </si>
  <si>
    <t>1468</t>
  </si>
  <si>
    <t>GRUPO MIX (02)</t>
  </si>
  <si>
    <t>1469</t>
  </si>
  <si>
    <t>DUNGA</t>
  </si>
  <si>
    <t>1472</t>
  </si>
  <si>
    <t>LOJAS REUNIDAS</t>
  </si>
  <si>
    <t>1473</t>
  </si>
  <si>
    <t>NOVO HAMBURGO (08)</t>
  </si>
  <si>
    <t>1475</t>
  </si>
  <si>
    <t>GRUPO DIRCEU NOVAIS (02)</t>
  </si>
  <si>
    <t>1476</t>
  </si>
  <si>
    <t>GRUPO TITANA FASHION (02)</t>
  </si>
  <si>
    <t>1478</t>
  </si>
  <si>
    <t>GRUPO BAHALL ALFREDO (15)</t>
  </si>
  <si>
    <t>148</t>
  </si>
  <si>
    <t>DIBS MODAS</t>
  </si>
  <si>
    <t>1481</t>
  </si>
  <si>
    <t>LOJAS ADELIA</t>
  </si>
  <si>
    <t>1491</t>
  </si>
  <si>
    <t>SKINAO DOS CALCADOS</t>
  </si>
  <si>
    <t>1492</t>
  </si>
  <si>
    <t>JM CALCADOS</t>
  </si>
  <si>
    <t>1493</t>
  </si>
  <si>
    <t>GRUPO DESTAK MS</t>
  </si>
  <si>
    <t>1495</t>
  </si>
  <si>
    <t>CHARME.COM</t>
  </si>
  <si>
    <t>1496</t>
  </si>
  <si>
    <t>THAMY CALÇADOS</t>
  </si>
  <si>
    <t>1499</t>
  </si>
  <si>
    <t>C ENGEL E G.K</t>
  </si>
  <si>
    <t>1504</t>
  </si>
  <si>
    <t>TR 5 CALCADOS (2)</t>
  </si>
  <si>
    <t>1508</t>
  </si>
  <si>
    <t>GRUPO LOJAS TAL CALCADOS</t>
  </si>
  <si>
    <t>1509</t>
  </si>
  <si>
    <t>FJA</t>
  </si>
  <si>
    <t>151</t>
  </si>
  <si>
    <t>LOJAS PONTAL</t>
  </si>
  <si>
    <t>1514</t>
  </si>
  <si>
    <t>GRUPO MORAIS</t>
  </si>
  <si>
    <t>187 BACH REPRESENTAÇÕES LTDA</t>
  </si>
  <si>
    <t>1516</t>
  </si>
  <si>
    <t>VILA BRANCA</t>
  </si>
  <si>
    <t>1517</t>
  </si>
  <si>
    <t>GRUPO ANDRIOLI</t>
  </si>
  <si>
    <t>1518</t>
  </si>
  <si>
    <t>GRUPO LUCIA ROSA (3)</t>
  </si>
  <si>
    <t>1520</t>
  </si>
  <si>
    <t>GRUPO MODA PE</t>
  </si>
  <si>
    <t>1521</t>
  </si>
  <si>
    <t>GRUPO BERTUOL</t>
  </si>
  <si>
    <t>1522</t>
  </si>
  <si>
    <t>GRUPO SLIKA</t>
  </si>
  <si>
    <t>1524</t>
  </si>
  <si>
    <t>M A PEREIRA (02)</t>
  </si>
  <si>
    <t>1525</t>
  </si>
  <si>
    <t>GRUPO HARTMANN</t>
  </si>
  <si>
    <t>1529</t>
  </si>
  <si>
    <t>NALDO CONFECÇÕES</t>
  </si>
  <si>
    <t>1531</t>
  </si>
  <si>
    <t>LÚCIA CALÇADOS</t>
  </si>
  <si>
    <t>1532</t>
  </si>
  <si>
    <t>GRUPO FIGUEIRAS</t>
  </si>
  <si>
    <t>1542</t>
  </si>
  <si>
    <t>MARIA FATIMA</t>
  </si>
  <si>
    <t>1543</t>
  </si>
  <si>
    <t>MORAIS E SILVA</t>
  </si>
  <si>
    <t>1544</t>
  </si>
  <si>
    <t>DUDA</t>
  </si>
  <si>
    <t>1545</t>
  </si>
  <si>
    <t>VIA CERTA</t>
  </si>
  <si>
    <t>1546</t>
  </si>
  <si>
    <t>JEN</t>
  </si>
  <si>
    <t>155</t>
  </si>
  <si>
    <t>PREGO CALCADOS</t>
  </si>
  <si>
    <t>1556</t>
  </si>
  <si>
    <t>B CIRILO</t>
  </si>
  <si>
    <t>1557</t>
  </si>
  <si>
    <t>VERÁS</t>
  </si>
  <si>
    <t>1558</t>
  </si>
  <si>
    <t>LAVOSIER</t>
  </si>
  <si>
    <t>1560</t>
  </si>
  <si>
    <t>GRUPO VIP</t>
  </si>
  <si>
    <t>1564</t>
  </si>
  <si>
    <t>GRUPO CLECIA</t>
  </si>
  <si>
    <t>1567</t>
  </si>
  <si>
    <t>GRUPO PASSO FIRME</t>
  </si>
  <si>
    <t>157</t>
  </si>
  <si>
    <t>FERNANDA MODAS</t>
  </si>
  <si>
    <t>1574</t>
  </si>
  <si>
    <t>REGINALDO CALCADOS</t>
  </si>
  <si>
    <t>1575</t>
  </si>
  <si>
    <t>JESSICA CALÇADOS</t>
  </si>
  <si>
    <t>1576</t>
  </si>
  <si>
    <t>BOM PASSO</t>
  </si>
  <si>
    <t>1577</t>
  </si>
  <si>
    <t>PINHEIRO CALCADOS</t>
  </si>
  <si>
    <t>1578</t>
  </si>
  <si>
    <t>LAEL CALCADOS</t>
  </si>
  <si>
    <t>158</t>
  </si>
  <si>
    <t>CRIATIVA</t>
  </si>
  <si>
    <t>1580</t>
  </si>
  <si>
    <t>1584</t>
  </si>
  <si>
    <t>ODILON CALÇADOS</t>
  </si>
  <si>
    <t>1585</t>
  </si>
  <si>
    <t>SPORT LIDER</t>
  </si>
  <si>
    <t>1589</t>
  </si>
  <si>
    <t>SIALES</t>
  </si>
  <si>
    <t>1590</t>
  </si>
  <si>
    <t>TUDI CALCADOS</t>
  </si>
  <si>
    <t>1591</t>
  </si>
  <si>
    <t>DINIZ CALCADOS</t>
  </si>
  <si>
    <t>1595</t>
  </si>
  <si>
    <t>KIBUTY</t>
  </si>
  <si>
    <t>1596</t>
  </si>
  <si>
    <t>OUTLETS SHOES (02)</t>
  </si>
  <si>
    <t>1598</t>
  </si>
  <si>
    <t>EDILSON CALCADOS</t>
  </si>
  <si>
    <t>1600</t>
  </si>
  <si>
    <t>POP MIX</t>
  </si>
  <si>
    <t>1602</t>
  </si>
  <si>
    <t>JACIARA MODAS</t>
  </si>
  <si>
    <t>1604</t>
  </si>
  <si>
    <t>CHARME CALCADOS</t>
  </si>
  <si>
    <t>1606</t>
  </si>
  <si>
    <t>SAO SEVERINO</t>
  </si>
  <si>
    <t>1607</t>
  </si>
  <si>
    <t>AGLACY CALCADOS</t>
  </si>
  <si>
    <t>161</t>
  </si>
  <si>
    <t>BECKER</t>
  </si>
  <si>
    <t>1610</t>
  </si>
  <si>
    <t>SAPATARIA CORDEIRO</t>
  </si>
  <si>
    <t>1615</t>
  </si>
  <si>
    <t>1620</t>
  </si>
  <si>
    <t>EDUARDO CALCADOS</t>
  </si>
  <si>
    <t>1626</t>
  </si>
  <si>
    <t>GRUPO COMENT CALCADOS</t>
  </si>
  <si>
    <t>1627</t>
  </si>
  <si>
    <t>Y AGITA - MARINGA</t>
  </si>
  <si>
    <t>1628</t>
  </si>
  <si>
    <t>GRUPO DESTAK (GEORGE)</t>
  </si>
  <si>
    <t>163</t>
  </si>
  <si>
    <t>LUPALINA CALCADOS</t>
  </si>
  <si>
    <t>1630</t>
  </si>
  <si>
    <t>GRUPO DA GLORIA</t>
  </si>
  <si>
    <t>1633</t>
  </si>
  <si>
    <t>GRUPO ALTERNATIVA CALÇADOS</t>
  </si>
  <si>
    <t>1637</t>
  </si>
  <si>
    <t>GRUPO REDE MUNDO DOS PÉS</t>
  </si>
  <si>
    <t>1638</t>
  </si>
  <si>
    <t>GRUPO DALVA</t>
  </si>
  <si>
    <t>164</t>
  </si>
  <si>
    <t>BAHIA CALCADOS</t>
  </si>
  <si>
    <t>1640</t>
  </si>
  <si>
    <t>JK CALCADOS LTDA</t>
  </si>
  <si>
    <t>1642</t>
  </si>
  <si>
    <t>KEDS</t>
  </si>
  <si>
    <t>1645</t>
  </si>
  <si>
    <t>SCAPIN</t>
  </si>
  <si>
    <t>1649</t>
  </si>
  <si>
    <t>SO CALCADOS</t>
  </si>
  <si>
    <t>1651</t>
  </si>
  <si>
    <t>GRUPO CASUAL CALCADOS</t>
  </si>
  <si>
    <t>1652</t>
  </si>
  <si>
    <t>GRUPO MAXIPE CALÇADOS</t>
  </si>
  <si>
    <t>334 ALINE MOURE ROSABONI</t>
  </si>
  <si>
    <t>1655</t>
  </si>
  <si>
    <t>GRUPO REDE MINAS</t>
  </si>
  <si>
    <t>1657</t>
  </si>
  <si>
    <t>CLASSI MAIS</t>
  </si>
  <si>
    <t>1658</t>
  </si>
  <si>
    <t>GRUPO LOJÃO DOS CALÇADOS</t>
  </si>
  <si>
    <t>1659</t>
  </si>
  <si>
    <t>OLÍVIA CALÇADOS</t>
  </si>
  <si>
    <t>1664</t>
  </si>
  <si>
    <t>ZANUTO &amp; RODRIGUES</t>
  </si>
  <si>
    <t>1666</t>
  </si>
  <si>
    <t>LINS CALÇADOS</t>
  </si>
  <si>
    <t>1667</t>
  </si>
  <si>
    <t>GRUPO LUZI</t>
  </si>
  <si>
    <t>1668</t>
  </si>
  <si>
    <t>GRUPO C.M.M. PAIVA</t>
  </si>
  <si>
    <t>1669</t>
  </si>
  <si>
    <t>LOJAS GAUCHA (02)</t>
  </si>
  <si>
    <t>167</t>
  </si>
  <si>
    <t>1670</t>
  </si>
  <si>
    <t>GRUPO PINHEIRÃO</t>
  </si>
  <si>
    <t>1671</t>
  </si>
  <si>
    <t>CIA BELLA (02)</t>
  </si>
  <si>
    <t>1675</t>
  </si>
  <si>
    <t>MARÉ KIDS</t>
  </si>
  <si>
    <t>1676</t>
  </si>
  <si>
    <t>GRUPO EBENÉZER CALCADOS</t>
  </si>
  <si>
    <t>1682</t>
  </si>
  <si>
    <t>GRUPO ALMEIDA</t>
  </si>
  <si>
    <t>1683</t>
  </si>
  <si>
    <t>GRUPO RISOL</t>
  </si>
  <si>
    <t>1684</t>
  </si>
  <si>
    <t>GRUPO KENT</t>
  </si>
  <si>
    <t>292 VICTOR DIAS ALVES SERVIÇOS E REPRESENTAÇÕES ME</t>
  </si>
  <si>
    <t>169</t>
  </si>
  <si>
    <t>CIA DOS PE</t>
  </si>
  <si>
    <t>1693</t>
  </si>
  <si>
    <t>GRUPO FOKA PIRIQUITO</t>
  </si>
  <si>
    <t>1697</t>
  </si>
  <si>
    <t>GRUPO REDE CENTER</t>
  </si>
  <si>
    <t>1699</t>
  </si>
  <si>
    <t>GRUPO FLAVIA CALCADOS</t>
  </si>
  <si>
    <t>1701</t>
  </si>
  <si>
    <t>DUTACIO</t>
  </si>
  <si>
    <t>1702</t>
  </si>
  <si>
    <t>BAGUNCA</t>
  </si>
  <si>
    <t>264 ALINE MOURE ROSABONI</t>
  </si>
  <si>
    <t>1703</t>
  </si>
  <si>
    <t>GRUPO ARMARINHO ROCHA</t>
  </si>
  <si>
    <t>171</t>
  </si>
  <si>
    <t>GRUPO PLANETA</t>
  </si>
  <si>
    <t>1716</t>
  </si>
  <si>
    <t>FERREIRA NOBRE</t>
  </si>
  <si>
    <t>1718</t>
  </si>
  <si>
    <t>REBECA DISTRIBUIDORA</t>
  </si>
  <si>
    <t>1719</t>
  </si>
  <si>
    <t>MANFRON CENTER</t>
  </si>
  <si>
    <t>1722</t>
  </si>
  <si>
    <t>GRUPO MARANATA(GEORGE)</t>
  </si>
  <si>
    <t>1723</t>
  </si>
  <si>
    <t>VAREJAO DOS CALCADOS</t>
  </si>
  <si>
    <t>1726</t>
  </si>
  <si>
    <t>GRUPO H LERINHA</t>
  </si>
  <si>
    <t>1730</t>
  </si>
  <si>
    <t>GRUPO CHRISKA KIDS</t>
  </si>
  <si>
    <t>1731</t>
  </si>
  <si>
    <t>SACCONI (03)</t>
  </si>
  <si>
    <t>1732</t>
  </si>
  <si>
    <t>LOJAS SUZANA (03)</t>
  </si>
  <si>
    <t>1734</t>
  </si>
  <si>
    <t>GRUPO MAGAZINE DA 5</t>
  </si>
  <si>
    <t>1737</t>
  </si>
  <si>
    <t>AMANDA MODAS (03)</t>
  </si>
  <si>
    <t>1739</t>
  </si>
  <si>
    <t>GRUPO ENERGIA DOS PES</t>
  </si>
  <si>
    <t>1740</t>
  </si>
  <si>
    <t>PAULINHO CALÇADOS (03)</t>
  </si>
  <si>
    <t>1742</t>
  </si>
  <si>
    <t>ROSEMERI CALCADOS (02)</t>
  </si>
  <si>
    <t>1744</t>
  </si>
  <si>
    <t>GRUPO SAMYA</t>
  </si>
  <si>
    <t>1750</t>
  </si>
  <si>
    <t>ALEXANDRE</t>
  </si>
  <si>
    <t>1751</t>
  </si>
  <si>
    <t>CLUBE DO PÉ MAGAZIN</t>
  </si>
  <si>
    <t>1758</t>
  </si>
  <si>
    <t>CÉLIO C. TOMCZAK</t>
  </si>
  <si>
    <t>1763</t>
  </si>
  <si>
    <t>CLUBE DO PÉ</t>
  </si>
  <si>
    <t>1764</t>
  </si>
  <si>
    <t>PE MAIS CALCADOS</t>
  </si>
  <si>
    <t>1766</t>
  </si>
  <si>
    <t>GRUPO JORDHANIA</t>
  </si>
  <si>
    <t>1767</t>
  </si>
  <si>
    <t>GRUPO MILLANO (02)</t>
  </si>
  <si>
    <t>1770</t>
  </si>
  <si>
    <t>GRUPO SANDRA CALÇADOS</t>
  </si>
  <si>
    <t>1771</t>
  </si>
  <si>
    <t>KAROL BABY</t>
  </si>
  <si>
    <t>1772</t>
  </si>
  <si>
    <t>SIMIÃO CALÇADOS</t>
  </si>
  <si>
    <t>1773</t>
  </si>
  <si>
    <t>LENE MODAS</t>
  </si>
  <si>
    <t>1776</t>
  </si>
  <si>
    <t>GRUPO MINAS (65)</t>
  </si>
  <si>
    <t>1777</t>
  </si>
  <si>
    <t>GRUPO ALIANÇA</t>
  </si>
  <si>
    <t>1778</t>
  </si>
  <si>
    <t>GRUPO CONTAINER BABY</t>
  </si>
  <si>
    <t>1779</t>
  </si>
  <si>
    <t>GRUPO BIG CENTER</t>
  </si>
  <si>
    <t>1780</t>
  </si>
  <si>
    <t>REDE SCHELLIN</t>
  </si>
  <si>
    <t>1783</t>
  </si>
  <si>
    <t>WAGNER CALCADOS (02 LJS)</t>
  </si>
  <si>
    <t>1784</t>
  </si>
  <si>
    <t>GRUPO PÉ DE ANJO (34)</t>
  </si>
  <si>
    <t>1788</t>
  </si>
  <si>
    <t>GRUPO SODUPE (02)</t>
  </si>
  <si>
    <t>1790</t>
  </si>
  <si>
    <t>LOJAO DO BRAZ (JOSNEI)</t>
  </si>
  <si>
    <t>1792</t>
  </si>
  <si>
    <t>GRUPO CECILOVE</t>
  </si>
  <si>
    <t>18</t>
  </si>
  <si>
    <t>COMANDER CALCADOS</t>
  </si>
  <si>
    <t>180</t>
  </si>
  <si>
    <t>CASTOR CALCADOS</t>
  </si>
  <si>
    <t>1804</t>
  </si>
  <si>
    <t>GRUPO PRO PE CALCADOS</t>
  </si>
  <si>
    <t>1807</t>
  </si>
  <si>
    <t>BETO CALCADOS (03 LOJAS)</t>
  </si>
  <si>
    <t>1808</t>
  </si>
  <si>
    <t>GRUPO MAGALHÃES MODAS</t>
  </si>
  <si>
    <t>1814</t>
  </si>
  <si>
    <t>GRUPO PARTECA CALÇADOS</t>
  </si>
  <si>
    <t>1816</t>
  </si>
  <si>
    <t>CASA E CIA</t>
  </si>
  <si>
    <t>1818</t>
  </si>
  <si>
    <t>GRUPO NIVEA</t>
  </si>
  <si>
    <t>1820</t>
  </si>
  <si>
    <t>GRUPO PROPE</t>
  </si>
  <si>
    <t>1823</t>
  </si>
  <si>
    <t>BEM CALÇADOS</t>
  </si>
  <si>
    <t>1824</t>
  </si>
  <si>
    <t>GRUPO DELMAR</t>
  </si>
  <si>
    <t>1825</t>
  </si>
  <si>
    <t>GRUPO TAKASHIBA</t>
  </si>
  <si>
    <t>1826</t>
  </si>
  <si>
    <t>LOJA FLORESTENSE</t>
  </si>
  <si>
    <t>1827</t>
  </si>
  <si>
    <t>GRUPO DERUASSI</t>
  </si>
  <si>
    <t>1828</t>
  </si>
  <si>
    <t>GRUPO DU PEZINHO</t>
  </si>
  <si>
    <t>1830</t>
  </si>
  <si>
    <t>GRUPO TAUANY CALCADOS</t>
  </si>
  <si>
    <t>1832</t>
  </si>
  <si>
    <t>GRUPO CASTELÃO</t>
  </si>
  <si>
    <t>1836</t>
  </si>
  <si>
    <t>ESTAÇÃO CALÇADOS</t>
  </si>
  <si>
    <t>1840</t>
  </si>
  <si>
    <t>DHEBORA</t>
  </si>
  <si>
    <t>1841</t>
  </si>
  <si>
    <t>MC CALCADO</t>
  </si>
  <si>
    <t>1842</t>
  </si>
  <si>
    <t>MÔNICA CALCADOS</t>
  </si>
  <si>
    <t>1843</t>
  </si>
  <si>
    <t>REAL MODAS</t>
  </si>
  <si>
    <t>1844</t>
  </si>
  <si>
    <t>THIAGO CALÇADOS</t>
  </si>
  <si>
    <t>1845</t>
  </si>
  <si>
    <t>VENÂNCIO</t>
  </si>
  <si>
    <t>1846</t>
  </si>
  <si>
    <t>CALCELÂNDIA</t>
  </si>
  <si>
    <t>1847</t>
  </si>
  <si>
    <t>GRUPO COMETA(270)</t>
  </si>
  <si>
    <t>1849</t>
  </si>
  <si>
    <t>MUNDO DOS BAIXINHOS</t>
  </si>
  <si>
    <t>1850</t>
  </si>
  <si>
    <t>GRUPO WEDSON</t>
  </si>
  <si>
    <t>1855</t>
  </si>
  <si>
    <t>PALOMA CALCADOS (02)</t>
  </si>
  <si>
    <t>1862</t>
  </si>
  <si>
    <t>VASCONCELOS</t>
  </si>
  <si>
    <t>1868</t>
  </si>
  <si>
    <t>JOSÉ TIAGO</t>
  </si>
  <si>
    <t>273 GLAUCIANE APARECIDA BERNARDES</t>
  </si>
  <si>
    <t>187</t>
  </si>
  <si>
    <t>GRUPO VIANA</t>
  </si>
  <si>
    <t>1871</t>
  </si>
  <si>
    <t>GRUPO PRINCIPAL CALÇADOS</t>
  </si>
  <si>
    <t>1872</t>
  </si>
  <si>
    <t>ARMARIMHO KIDS</t>
  </si>
  <si>
    <t>1880</t>
  </si>
  <si>
    <t>RAMAO DURE</t>
  </si>
  <si>
    <t>189</t>
  </si>
  <si>
    <t>RN FURTADO</t>
  </si>
  <si>
    <t>1895</t>
  </si>
  <si>
    <t>MERCADÃO ROSA CALCADOS</t>
  </si>
  <si>
    <t>1896</t>
  </si>
  <si>
    <t>LI ANNA CALÇADOS</t>
  </si>
  <si>
    <t>1898</t>
  </si>
  <si>
    <t>GRUPO TROPICAL CALCADOS</t>
  </si>
  <si>
    <t>19</t>
  </si>
  <si>
    <t>PITTOL CALCADOS</t>
  </si>
  <si>
    <t>1900</t>
  </si>
  <si>
    <t>GRUPO MAGAZINE PASSOF</t>
  </si>
  <si>
    <t>1903</t>
  </si>
  <si>
    <t>GRUPO TOM BRASIL</t>
  </si>
  <si>
    <t>1906</t>
  </si>
  <si>
    <t>GRUPO OITENTA</t>
  </si>
  <si>
    <t>1907</t>
  </si>
  <si>
    <t>GRUPO PERFIL</t>
  </si>
  <si>
    <t>1908</t>
  </si>
  <si>
    <t>DONA DO PE</t>
  </si>
  <si>
    <t>191</t>
  </si>
  <si>
    <t>PLANETA PE G(10)</t>
  </si>
  <si>
    <t>1911</t>
  </si>
  <si>
    <t>GRUPO MALU (02)</t>
  </si>
  <si>
    <t>1912</t>
  </si>
  <si>
    <t>LOURENÇO CALÇADOS</t>
  </si>
  <si>
    <t>1913</t>
  </si>
  <si>
    <t>GRUPO CARMELITA SHOES</t>
  </si>
  <si>
    <t>1917</t>
  </si>
  <si>
    <t>GRUPO LADY SHOES</t>
  </si>
  <si>
    <t>192</t>
  </si>
  <si>
    <t>SCARPINI</t>
  </si>
  <si>
    <t>1921</t>
  </si>
  <si>
    <t>ESPAÇO DA MODA (02)</t>
  </si>
  <si>
    <t>1926</t>
  </si>
  <si>
    <t>MYH</t>
  </si>
  <si>
    <t>1929</t>
  </si>
  <si>
    <t>REPRESENTANTES REM</t>
  </si>
  <si>
    <t>THIAGO CARDEAL BORGES DOS SANTOS</t>
  </si>
  <si>
    <t>193</t>
  </si>
  <si>
    <t>PAGUE MENOS  - ORLANDO</t>
  </si>
  <si>
    <t>309 FERNANDA PARDO GASPAR FRANCO</t>
  </si>
  <si>
    <t>194</t>
  </si>
  <si>
    <t>PAGUE MENOS</t>
  </si>
  <si>
    <t>1940</t>
  </si>
  <si>
    <t>GRUPO J E R CALCADOS</t>
  </si>
  <si>
    <t>1941</t>
  </si>
  <si>
    <t>PÉ QUENTI (REP 253)</t>
  </si>
  <si>
    <t>1942</t>
  </si>
  <si>
    <t>GRUPO YZLU</t>
  </si>
  <si>
    <t>1943</t>
  </si>
  <si>
    <t>GRUPO DE BEBÊ KIDS</t>
  </si>
  <si>
    <t>1945</t>
  </si>
  <si>
    <t>REDE KAKA CALÇADOS</t>
  </si>
  <si>
    <t>1947</t>
  </si>
  <si>
    <t>NACIONAL (REP 65)</t>
  </si>
  <si>
    <t>1948</t>
  </si>
  <si>
    <t>NACIONAL (REP 211)</t>
  </si>
  <si>
    <t>1949</t>
  </si>
  <si>
    <t>GRUPO SONHO ENCANTADO</t>
  </si>
  <si>
    <t>195</t>
  </si>
  <si>
    <t>PLANETA PE</t>
  </si>
  <si>
    <t>1953</t>
  </si>
  <si>
    <t>GRUPO CHORA</t>
  </si>
  <si>
    <t>1955</t>
  </si>
  <si>
    <t>VASCONCELOS (03)</t>
  </si>
  <si>
    <t>1956</t>
  </si>
  <si>
    <t>ATACAREJO BRASÍLIA (02)</t>
  </si>
  <si>
    <t>1958</t>
  </si>
  <si>
    <t>MARIANA M.</t>
  </si>
  <si>
    <t>1961</t>
  </si>
  <si>
    <t>GRUPO DAKEM</t>
  </si>
  <si>
    <t>1966</t>
  </si>
  <si>
    <t>BEATA</t>
  </si>
  <si>
    <t>197</t>
  </si>
  <si>
    <t>CICLADI CALCADOS</t>
  </si>
  <si>
    <t>1970</t>
  </si>
  <si>
    <t>GRUPO SAPATTOMANIA REP 41</t>
  </si>
  <si>
    <t>1971</t>
  </si>
  <si>
    <t>GRUPO MUNDO KIDS</t>
  </si>
  <si>
    <t>1976</t>
  </si>
  <si>
    <t>GRUPO RAQUEL MODAS</t>
  </si>
  <si>
    <t>1979</t>
  </si>
  <si>
    <t>MUNIZ</t>
  </si>
  <si>
    <t>198</t>
  </si>
  <si>
    <t>MAXIMUNDIAL (AMIM)</t>
  </si>
  <si>
    <t>1981</t>
  </si>
  <si>
    <t>GRUPO MICHELI</t>
  </si>
  <si>
    <t>1982</t>
  </si>
  <si>
    <t>GRUPO CARVALHO</t>
  </si>
  <si>
    <t>1983</t>
  </si>
  <si>
    <t>GRUPO STAR CALÇADOS</t>
  </si>
  <si>
    <t>1984</t>
  </si>
  <si>
    <t>GRUPO KARINA CALCADOS</t>
  </si>
  <si>
    <t>1986</t>
  </si>
  <si>
    <t>GRUPO FENIX</t>
  </si>
  <si>
    <t>199</t>
  </si>
  <si>
    <t>CALCEAKI</t>
  </si>
  <si>
    <t>1995</t>
  </si>
  <si>
    <t>GRUPO LOJAS CRIATIVA</t>
  </si>
  <si>
    <t>20</t>
  </si>
  <si>
    <t>MAX KIDS</t>
  </si>
  <si>
    <t>200</t>
  </si>
  <si>
    <t>GRUPO RILEX</t>
  </si>
  <si>
    <t>2004</t>
  </si>
  <si>
    <t>GRUPO PAGUE MENOS/ MATINHO</t>
  </si>
  <si>
    <t>2005</t>
  </si>
  <si>
    <t>GRUPO PAGUE MENOS/ GUARATUBA</t>
  </si>
  <si>
    <t>2007</t>
  </si>
  <si>
    <t>GRUPO PAGUE MENOS/ PARANAGUA</t>
  </si>
  <si>
    <t>201</t>
  </si>
  <si>
    <t>LOJAS BIDU</t>
  </si>
  <si>
    <t>2010</t>
  </si>
  <si>
    <t>GRUPO CANTINHO MAGICO</t>
  </si>
  <si>
    <t>2012</t>
  </si>
  <si>
    <t>HIPER CALÇADOS</t>
  </si>
  <si>
    <t>2014</t>
  </si>
  <si>
    <t>OFERTAO CHAPECÓ</t>
  </si>
  <si>
    <t>2016</t>
  </si>
  <si>
    <t>AUREA CALÇADOS (02)</t>
  </si>
  <si>
    <t>2017</t>
  </si>
  <si>
    <t>AMARAL (02)</t>
  </si>
  <si>
    <t>2018</t>
  </si>
  <si>
    <t>GRUPO SUZANA CALÇADOS</t>
  </si>
  <si>
    <t>2020</t>
  </si>
  <si>
    <t>GRUPO MELHEN</t>
  </si>
  <si>
    <t>2022</t>
  </si>
  <si>
    <t>GRUPO PE MENOR</t>
  </si>
  <si>
    <t>2023</t>
  </si>
  <si>
    <t>VESTE BEM</t>
  </si>
  <si>
    <t>2025</t>
  </si>
  <si>
    <t xml:space="preserve"> GRUPO DGLAMOUR SHOES FASHIO</t>
  </si>
  <si>
    <t>2026</t>
  </si>
  <si>
    <t>GRUPO LOJAS MA&amp;TE</t>
  </si>
  <si>
    <t>2027</t>
  </si>
  <si>
    <t>MAX50</t>
  </si>
  <si>
    <t>2028</t>
  </si>
  <si>
    <t>GRUPO STREET SHOES</t>
  </si>
  <si>
    <t>2029</t>
  </si>
  <si>
    <t>GRUPO DOCE PASSO</t>
  </si>
  <si>
    <t>203</t>
  </si>
  <si>
    <t>SCHIER</t>
  </si>
  <si>
    <t>2031</t>
  </si>
  <si>
    <t>GRUPO BEBE FROES</t>
  </si>
  <si>
    <t>2033</t>
  </si>
  <si>
    <t>GRUPO SANTOS DISTRIBUIDORA</t>
  </si>
  <si>
    <t>2036</t>
  </si>
  <si>
    <t>GRUPO URBANA CALÇADOS</t>
  </si>
  <si>
    <t>2037</t>
  </si>
  <si>
    <t>GRUPO MASTERSHOP</t>
  </si>
  <si>
    <t>2038</t>
  </si>
  <si>
    <t>PAULLA MODAS</t>
  </si>
  <si>
    <t>204</t>
  </si>
  <si>
    <t>PR CALCADOS</t>
  </si>
  <si>
    <t>2040</t>
  </si>
  <si>
    <t>GRUPO GUIMARAES</t>
  </si>
  <si>
    <t>2042</t>
  </si>
  <si>
    <t>GRUPO PEQUENINOS (ODETE)</t>
  </si>
  <si>
    <t>2045</t>
  </si>
  <si>
    <t>GRUPO SOARES</t>
  </si>
  <si>
    <t>2047</t>
  </si>
  <si>
    <t>CACTUS (3)</t>
  </si>
  <si>
    <t>2048</t>
  </si>
  <si>
    <t>STYLUS CALÇADOS</t>
  </si>
  <si>
    <t>205</t>
  </si>
  <si>
    <t>2050</t>
  </si>
  <si>
    <t>CASAS MANICA</t>
  </si>
  <si>
    <t>2051</t>
  </si>
  <si>
    <t>GRUPO KINERHUUS</t>
  </si>
  <si>
    <t>2056</t>
  </si>
  <si>
    <t>GRUPO BRINQUEDOLANDIA</t>
  </si>
  <si>
    <t>2060</t>
  </si>
  <si>
    <t>GRUPO PASSO NOBRE</t>
  </si>
  <si>
    <t>2061</t>
  </si>
  <si>
    <t>GRUPO MR CALCADOS</t>
  </si>
  <si>
    <t>2062</t>
  </si>
  <si>
    <t>BIG LOJA</t>
  </si>
  <si>
    <t>2063</t>
  </si>
  <si>
    <t>GRUPO SOUZA</t>
  </si>
  <si>
    <t>2064</t>
  </si>
  <si>
    <t>GRUPO MANAUS</t>
  </si>
  <si>
    <t>2067</t>
  </si>
  <si>
    <t>OFICIAL MODAS</t>
  </si>
  <si>
    <t>2068</t>
  </si>
  <si>
    <t>ESPAÇO CALÇADOS</t>
  </si>
  <si>
    <t>207</t>
  </si>
  <si>
    <t>CARLITOS</t>
  </si>
  <si>
    <t>2070</t>
  </si>
  <si>
    <t>ENCANTO</t>
  </si>
  <si>
    <t>2071</t>
  </si>
  <si>
    <t>GRUPO ECONOMIA</t>
  </si>
  <si>
    <t>2073</t>
  </si>
  <si>
    <t>GRUPO GALERIA DOS CALCADOS</t>
  </si>
  <si>
    <t>2074</t>
  </si>
  <si>
    <t>GRUPO TAQUETA</t>
  </si>
  <si>
    <t>2077</t>
  </si>
  <si>
    <t>GRUPO MERCADINHO BABY KIDS</t>
  </si>
  <si>
    <t>2078</t>
  </si>
  <si>
    <t>GRUPO VILMA KIDS</t>
  </si>
  <si>
    <t>2079</t>
  </si>
  <si>
    <t>RODEIO BONITO</t>
  </si>
  <si>
    <t>2080</t>
  </si>
  <si>
    <t>SAPECA</t>
  </si>
  <si>
    <t>2082</t>
  </si>
  <si>
    <t>PANSANI</t>
  </si>
  <si>
    <t>2083</t>
  </si>
  <si>
    <t>SAPATARIA AGUIAR</t>
  </si>
  <si>
    <t>2086</t>
  </si>
  <si>
    <t>NINA CALÇADOS (3)</t>
  </si>
  <si>
    <t>2087</t>
  </si>
  <si>
    <t>GRUPO ELITE</t>
  </si>
  <si>
    <t>2094</t>
  </si>
  <si>
    <t>GRUPO VENDRAME</t>
  </si>
  <si>
    <t>2095</t>
  </si>
  <si>
    <t>GRUPO IDEAL CALCADOS</t>
  </si>
  <si>
    <t>2096</t>
  </si>
  <si>
    <t>NOVIDADE CALÇADOS</t>
  </si>
  <si>
    <t>2099</t>
  </si>
  <si>
    <t>GRUPO D PAULA</t>
  </si>
  <si>
    <t>21</t>
  </si>
  <si>
    <t>GENKO SHIMABUKURO</t>
  </si>
  <si>
    <t>210</t>
  </si>
  <si>
    <t>EMANUELLE</t>
  </si>
  <si>
    <t>2101</t>
  </si>
  <si>
    <t>MARLI CENTER (02)</t>
  </si>
  <si>
    <t>2102</t>
  </si>
  <si>
    <t>PLANETA COURO</t>
  </si>
  <si>
    <t>2103</t>
  </si>
  <si>
    <t>LUART - HARLEY</t>
  </si>
  <si>
    <t>2105</t>
  </si>
  <si>
    <t>ELIANE CENTER</t>
  </si>
  <si>
    <t>211</t>
  </si>
  <si>
    <t>PISE BEM</t>
  </si>
  <si>
    <t>2110</t>
  </si>
  <si>
    <t>GRUPO ELIVONETE</t>
  </si>
  <si>
    <t>2111</t>
  </si>
  <si>
    <t>GRUPO DONDOCA</t>
  </si>
  <si>
    <t>2113</t>
  </si>
  <si>
    <t>A VANTAJOSA</t>
  </si>
  <si>
    <t>2114</t>
  </si>
  <si>
    <t>GRUPO PLANETA (34)</t>
  </si>
  <si>
    <t>2115</t>
  </si>
  <si>
    <t>ARCO IRIS</t>
  </si>
  <si>
    <t>2117</t>
  </si>
  <si>
    <t>2118</t>
  </si>
  <si>
    <t>MARCELLA CALÇADOS</t>
  </si>
  <si>
    <t>212</t>
  </si>
  <si>
    <t>TOKYO CALCADOS</t>
  </si>
  <si>
    <t>2120</t>
  </si>
  <si>
    <t>GRUPO ZAPATER</t>
  </si>
  <si>
    <t>2121</t>
  </si>
  <si>
    <t>LUNA CALÇADOS</t>
  </si>
  <si>
    <t>2124</t>
  </si>
  <si>
    <t>LOJAS AQUI</t>
  </si>
  <si>
    <t>2125</t>
  </si>
  <si>
    <t>D CALÇADOS</t>
  </si>
  <si>
    <t>2126</t>
  </si>
  <si>
    <t>EF COMERCIO</t>
  </si>
  <si>
    <t>2127</t>
  </si>
  <si>
    <t>GRUPO LILA KIDS</t>
  </si>
  <si>
    <t>2131</t>
  </si>
  <si>
    <t>PEDROSO &amp; FERREIRA</t>
  </si>
  <si>
    <t>2134</t>
  </si>
  <si>
    <t>GRUPO IMPACTO (232)</t>
  </si>
  <si>
    <t>2136</t>
  </si>
  <si>
    <t>NOVA GRÉCIA</t>
  </si>
  <si>
    <t>2137</t>
  </si>
  <si>
    <t>CENTRAL DA CRIANÇA</t>
  </si>
  <si>
    <t>2138</t>
  </si>
  <si>
    <t>CH SANTOS</t>
  </si>
  <si>
    <t>2142</t>
  </si>
  <si>
    <t>ANNA PAULLA</t>
  </si>
  <si>
    <t>2143</t>
  </si>
  <si>
    <t>CHINELO &amp; CIA</t>
  </si>
  <si>
    <t>2144</t>
  </si>
  <si>
    <t>GRUPO VICTORIA CHIC</t>
  </si>
  <si>
    <t>2145</t>
  </si>
  <si>
    <t>GRUPO LIANCE CALCADOS</t>
  </si>
  <si>
    <t>2147</t>
  </si>
  <si>
    <t>PAIVA</t>
  </si>
  <si>
    <t>2148</t>
  </si>
  <si>
    <t>GRUPO OLIMPO</t>
  </si>
  <si>
    <t>2149</t>
  </si>
  <si>
    <t>GRUPO L F MODAS</t>
  </si>
  <si>
    <t>2150</t>
  </si>
  <si>
    <t>GRUPO GABRIELY CARDOSO</t>
  </si>
  <si>
    <t>2151</t>
  </si>
  <si>
    <t>GRUPO GIRA GIRÔ</t>
  </si>
  <si>
    <t>2152</t>
  </si>
  <si>
    <t>GRUPO CENTRAL DO CHINELOS</t>
  </si>
  <si>
    <t>2153</t>
  </si>
  <si>
    <t>GRUPO POMPAR</t>
  </si>
  <si>
    <t>2154</t>
  </si>
  <si>
    <t>GRUPO MS CALCADOS</t>
  </si>
  <si>
    <t>2155</t>
  </si>
  <si>
    <t>RIGO CONSTANTINA</t>
  </si>
  <si>
    <t>2156</t>
  </si>
  <si>
    <t>LOJAS WILSON</t>
  </si>
  <si>
    <t>2157</t>
  </si>
  <si>
    <t>GRUPO TIP TOP KIDS</t>
  </si>
  <si>
    <t>2158</t>
  </si>
  <si>
    <t>GRUPO LEANDRO CALÇADOS</t>
  </si>
  <si>
    <t>2160</t>
  </si>
  <si>
    <t>FENÍCIA</t>
  </si>
  <si>
    <t>2161</t>
  </si>
  <si>
    <t>STILO SHOP</t>
  </si>
  <si>
    <t>2162</t>
  </si>
  <si>
    <t>GRUPO REDE DE LOJA D´CRIANÇA</t>
  </si>
  <si>
    <t>2163</t>
  </si>
  <si>
    <t>GRUPO NOVIDADE</t>
  </si>
  <si>
    <t>2164</t>
  </si>
  <si>
    <t>MARY BABY REP-11</t>
  </si>
  <si>
    <t>2165</t>
  </si>
  <si>
    <t>RENE DORIVAL DOS SANTOS</t>
  </si>
  <si>
    <t>2166</t>
  </si>
  <si>
    <t>SANDALIARIA QUERENCIA</t>
  </si>
  <si>
    <t>2167</t>
  </si>
  <si>
    <t>MEDEIROS</t>
  </si>
  <si>
    <t>2169</t>
  </si>
  <si>
    <t>ALCANTARA</t>
  </si>
  <si>
    <t>2170</t>
  </si>
  <si>
    <t>CAPRI CALÇADOS</t>
  </si>
  <si>
    <t>2171</t>
  </si>
  <si>
    <t>GRUPO OMEE</t>
  </si>
  <si>
    <t>2172</t>
  </si>
  <si>
    <t>MAIDE</t>
  </si>
  <si>
    <t>2174</t>
  </si>
  <si>
    <t>GRUPO TRUPÉ CALÇADOS</t>
  </si>
  <si>
    <t>2175</t>
  </si>
  <si>
    <t>RENATA CELLA</t>
  </si>
  <si>
    <t>2176</t>
  </si>
  <si>
    <t>GRUPO ANDAREZ</t>
  </si>
  <si>
    <t>2177</t>
  </si>
  <si>
    <t>GRUPO VIP VEST</t>
  </si>
  <si>
    <t>2178</t>
  </si>
  <si>
    <t>MELO SHOES</t>
  </si>
  <si>
    <t>2181</t>
  </si>
  <si>
    <t>GRUPO PEZINHO DE ANJO</t>
  </si>
  <si>
    <t>2182</t>
  </si>
  <si>
    <t>GRUPO MINI MUNDO</t>
  </si>
  <si>
    <t>2184</t>
  </si>
  <si>
    <t>GRUPO RG CALÇADOS</t>
  </si>
  <si>
    <t>2186</t>
  </si>
  <si>
    <t>GRUPO PALAS</t>
  </si>
  <si>
    <t>2187</t>
  </si>
  <si>
    <t>GRUPO MARKETMOOD</t>
  </si>
  <si>
    <t>2189</t>
  </si>
  <si>
    <t>GRUPO HAVAM</t>
  </si>
  <si>
    <t>2190</t>
  </si>
  <si>
    <t>GRUPO NACIONAL ELOILDO</t>
  </si>
  <si>
    <t>2191</t>
  </si>
  <si>
    <t>GRUPO BAMBINATTA SHOES</t>
  </si>
  <si>
    <t>2192</t>
  </si>
  <si>
    <t>GRUPO MILLENA</t>
  </si>
  <si>
    <t>2194</t>
  </si>
  <si>
    <t>GRUPO JUNDIARA CALÇADOS</t>
  </si>
  <si>
    <t>2195</t>
  </si>
  <si>
    <t>GRUPO VIA CALCADOS</t>
  </si>
  <si>
    <t>2196</t>
  </si>
  <si>
    <t>GRUPO VIVEZA MODAS</t>
  </si>
  <si>
    <t>2197</t>
  </si>
  <si>
    <t>MORIA CEREJA</t>
  </si>
  <si>
    <t>2200</t>
  </si>
  <si>
    <t>GRUPO OUTLET DE PARIS</t>
  </si>
  <si>
    <t>2201</t>
  </si>
  <si>
    <t>GRUPO PIPI KIDS</t>
  </si>
  <si>
    <t>2204</t>
  </si>
  <si>
    <t>GRUPO PINDO D AGUA</t>
  </si>
  <si>
    <t>2205</t>
  </si>
  <si>
    <t>GRUPO SUPER COMERCIO</t>
  </si>
  <si>
    <t>2206</t>
  </si>
  <si>
    <t>GRUPO PRUPE</t>
  </si>
  <si>
    <t>2207</t>
  </si>
  <si>
    <t>GRUPO ROSA CLICHÊ</t>
  </si>
  <si>
    <t>2208</t>
  </si>
  <si>
    <t>GRUPO MAKEL</t>
  </si>
  <si>
    <t>2211</t>
  </si>
  <si>
    <t>GRUPO KARA MELADA</t>
  </si>
  <si>
    <t>2215</t>
  </si>
  <si>
    <t>LOJAS CIA BRASIL</t>
  </si>
  <si>
    <t>2225</t>
  </si>
  <si>
    <t>GRUPO LOJAS RICARDOS(REP 11)</t>
  </si>
  <si>
    <t>2226</t>
  </si>
  <si>
    <t>GRUPO STELLE</t>
  </si>
  <si>
    <t>2227</t>
  </si>
  <si>
    <t>GRUPO A DE MIRANDA</t>
  </si>
  <si>
    <t>2228</t>
  </si>
  <si>
    <t>CASA GLORIA</t>
  </si>
  <si>
    <t>2230</t>
  </si>
  <si>
    <t>BLESSED KIDS</t>
  </si>
  <si>
    <t>2232</t>
  </si>
  <si>
    <t>GRUPO COM PASSO</t>
  </si>
  <si>
    <t>2233</t>
  </si>
  <si>
    <t>GRUPO PASSO FELIZ</t>
  </si>
  <si>
    <t>2234</t>
  </si>
  <si>
    <t>GRUPO ELITE CALÇADOS</t>
  </si>
  <si>
    <t>2239</t>
  </si>
  <si>
    <t>GRUPO ITV ARTIGOS</t>
  </si>
  <si>
    <t>2242</t>
  </si>
  <si>
    <t>GRUPO VAL CALÇADOS</t>
  </si>
  <si>
    <t>2243</t>
  </si>
  <si>
    <t>BELISSIMA</t>
  </si>
  <si>
    <t>2244</t>
  </si>
  <si>
    <t>EBENEZER</t>
  </si>
  <si>
    <t>2246</t>
  </si>
  <si>
    <t>GRUPO MINEIRINHO</t>
  </si>
  <si>
    <t>2249</t>
  </si>
  <si>
    <t>GRUPO SANTA FIORI</t>
  </si>
  <si>
    <t>2253</t>
  </si>
  <si>
    <t>GRUPO LORDKIDS</t>
  </si>
  <si>
    <t>2254</t>
  </si>
  <si>
    <t>GRUPO MARIA CORAGEM</t>
  </si>
  <si>
    <t>2255</t>
  </si>
  <si>
    <t>GRUPO FERRERO</t>
  </si>
  <si>
    <t>2256</t>
  </si>
  <si>
    <t>LA FIOLETA</t>
  </si>
  <si>
    <t>2257</t>
  </si>
  <si>
    <t>PELAGIO</t>
  </si>
  <si>
    <t>2258</t>
  </si>
  <si>
    <t>GRUPO AO QUADRADO</t>
  </si>
  <si>
    <t>2259</t>
  </si>
  <si>
    <t>REDE PEDRO</t>
  </si>
  <si>
    <t>2260</t>
  </si>
  <si>
    <t>GRUPO GRANATA</t>
  </si>
  <si>
    <t>329 KEF REPRESENTACOES COMERCIAIS LTDA</t>
  </si>
  <si>
    <t>2261</t>
  </si>
  <si>
    <t>GRUPO CALITA CALÇADOS</t>
  </si>
  <si>
    <t>2262</t>
  </si>
  <si>
    <t>GRUPO W A COMERCIO</t>
  </si>
  <si>
    <t>2264</t>
  </si>
  <si>
    <t>GRUPO BABYLANDIA</t>
  </si>
  <si>
    <t>2265</t>
  </si>
  <si>
    <t>GRUPO ESPAÇO KIDS</t>
  </si>
  <si>
    <t>2266</t>
  </si>
  <si>
    <t>GRUPO CABIDE INFANTIL</t>
  </si>
  <si>
    <t>2268</t>
  </si>
  <si>
    <t>GRUPO CIARAMELLO</t>
  </si>
  <si>
    <t>227</t>
  </si>
  <si>
    <t>CHULEZINHO</t>
  </si>
  <si>
    <t>2271</t>
  </si>
  <si>
    <t>GRUPO SABRIN KIDS</t>
  </si>
  <si>
    <t>2273</t>
  </si>
  <si>
    <t>GRUPO IPA CALCADOS</t>
  </si>
  <si>
    <t>2274</t>
  </si>
  <si>
    <t>GRUPO J FURMANN</t>
  </si>
  <si>
    <t>2275</t>
  </si>
  <si>
    <t>GRUPO CONFIANCA CALCADOS</t>
  </si>
  <si>
    <t>2276</t>
  </si>
  <si>
    <t>GRUPO BAMBOLE</t>
  </si>
  <si>
    <t>2277</t>
  </si>
  <si>
    <t>GRUPO TÁ QUE TÁ</t>
  </si>
  <si>
    <t>2278</t>
  </si>
  <si>
    <t>GRUPO DIAAZZE</t>
  </si>
  <si>
    <t>228</t>
  </si>
  <si>
    <t>AMPARATO CALCADOS G(3)</t>
  </si>
  <si>
    <t>2280</t>
  </si>
  <si>
    <t>GRUPO RAFAELA RODRIGUES</t>
  </si>
  <si>
    <t>2281</t>
  </si>
  <si>
    <t>GRUPO FERNANDA VIEIRA</t>
  </si>
  <si>
    <t>2282</t>
  </si>
  <si>
    <t>GRUPO JOELMA</t>
  </si>
  <si>
    <t>2286</t>
  </si>
  <si>
    <t>GRUPO LOJAS TIGRE</t>
  </si>
  <si>
    <t>2287</t>
  </si>
  <si>
    <t>CAMAROTTI CALCADOS</t>
  </si>
  <si>
    <t>2288</t>
  </si>
  <si>
    <t>GRUPO MEGA PASSO CALÇADOS</t>
  </si>
  <si>
    <t>23</t>
  </si>
  <si>
    <t>GABRIELA CALCADOS</t>
  </si>
  <si>
    <t>233</t>
  </si>
  <si>
    <t>SILVEIRA BABY</t>
  </si>
  <si>
    <t>239</t>
  </si>
  <si>
    <t>UNIPE CALCADOS</t>
  </si>
  <si>
    <t>240</t>
  </si>
  <si>
    <t>CASA DA SOGRA</t>
  </si>
  <si>
    <t>241</t>
  </si>
  <si>
    <t>REDE BORTOLATO</t>
  </si>
  <si>
    <t>244</t>
  </si>
  <si>
    <t>FLAMBOYAN</t>
  </si>
  <si>
    <t>245</t>
  </si>
  <si>
    <t>CARIOCA</t>
  </si>
  <si>
    <t>252</t>
  </si>
  <si>
    <t>PLANETA DO BEBE</t>
  </si>
  <si>
    <t>254</t>
  </si>
  <si>
    <t>TIMAX CALCADOS G(10)</t>
  </si>
  <si>
    <t>257</t>
  </si>
  <si>
    <t>CASA DE VARIEDADES</t>
  </si>
  <si>
    <t>262</t>
  </si>
  <si>
    <t>GRUPO PRENDA</t>
  </si>
  <si>
    <t>27</t>
  </si>
  <si>
    <t>LOJA SALLES</t>
  </si>
  <si>
    <t>271</t>
  </si>
  <si>
    <t>ATUAL MODAS</t>
  </si>
  <si>
    <t>275</t>
  </si>
  <si>
    <t>REIMA</t>
  </si>
  <si>
    <t>28</t>
  </si>
  <si>
    <t>J. LONGO</t>
  </si>
  <si>
    <t>280</t>
  </si>
  <si>
    <t>GRUPO SILVA</t>
  </si>
  <si>
    <t>281</t>
  </si>
  <si>
    <t>KOMPLETA CALCADOS</t>
  </si>
  <si>
    <t>283</t>
  </si>
  <si>
    <t>GRUPO LILLEAN - SERALLE</t>
  </si>
  <si>
    <t>284</t>
  </si>
  <si>
    <t>MITTIS CALCADOS</t>
  </si>
  <si>
    <t>292</t>
  </si>
  <si>
    <t>GRUPO SERALLE</t>
  </si>
  <si>
    <t>293</t>
  </si>
  <si>
    <t>GRUPO JORROVI</t>
  </si>
  <si>
    <t>297</t>
  </si>
  <si>
    <t>LOJAS REAL</t>
  </si>
  <si>
    <t>30</t>
  </si>
  <si>
    <t>MARANATA CALCADOS</t>
  </si>
  <si>
    <t>300</t>
  </si>
  <si>
    <t>GRUPO PITTOL</t>
  </si>
  <si>
    <t>304</t>
  </si>
  <si>
    <t>ANGELA MARIA PAULA</t>
  </si>
  <si>
    <t>305</t>
  </si>
  <si>
    <t>LUCOBITHI</t>
  </si>
  <si>
    <t>307</t>
  </si>
  <si>
    <t>SHOPVEST</t>
  </si>
  <si>
    <t>309</t>
  </si>
  <si>
    <t>VALUTI CALCADOS</t>
  </si>
  <si>
    <t>311</t>
  </si>
  <si>
    <t>GRUPO ESCOLASTICO</t>
  </si>
  <si>
    <t>312</t>
  </si>
  <si>
    <t>GRUPO MAJOR [10]</t>
  </si>
  <si>
    <t>313</t>
  </si>
  <si>
    <t>CALCADOS NICE</t>
  </si>
  <si>
    <t>314</t>
  </si>
  <si>
    <t>MIRELLA CALCADOS G(6)</t>
  </si>
  <si>
    <t>315</t>
  </si>
  <si>
    <t>LUIS MARINHO</t>
  </si>
  <si>
    <t>318</t>
  </si>
  <si>
    <t>TAKA TAKA</t>
  </si>
  <si>
    <t>320</t>
  </si>
  <si>
    <t>TRESOLDI</t>
  </si>
  <si>
    <t>321</t>
  </si>
  <si>
    <t>PC FLORENTINO</t>
  </si>
  <si>
    <t>325</t>
  </si>
  <si>
    <t>SINOTTI</t>
  </si>
  <si>
    <t>326</t>
  </si>
  <si>
    <t>AZTECA</t>
  </si>
  <si>
    <t>329</t>
  </si>
  <si>
    <t>PREFERIDA</t>
  </si>
  <si>
    <t>333</t>
  </si>
  <si>
    <t>ANGELA ROGERIO</t>
  </si>
  <si>
    <t>335</t>
  </si>
  <si>
    <t>DAMIAO PEREIRA G(5)</t>
  </si>
  <si>
    <t>337</t>
  </si>
  <si>
    <t>FRANCISCO PINHEIRO G(7)</t>
  </si>
  <si>
    <t>340</t>
  </si>
  <si>
    <t>MACEDOS</t>
  </si>
  <si>
    <t>341</t>
  </si>
  <si>
    <t>ANDATTO</t>
  </si>
  <si>
    <t>343</t>
  </si>
  <si>
    <t>LOJAS ENY</t>
  </si>
  <si>
    <t>344</t>
  </si>
  <si>
    <t>KABLER</t>
  </si>
  <si>
    <t>348</t>
  </si>
  <si>
    <t>BARREIROS E ALMEIDA</t>
  </si>
  <si>
    <t>354</t>
  </si>
  <si>
    <t>BARATAO CALCADOS</t>
  </si>
  <si>
    <t>65 NEIRON LUZ REPRESENTAÇÃO EIRELI</t>
  </si>
  <si>
    <t>357</t>
  </si>
  <si>
    <t>MANIA CALCADOS G(2)</t>
  </si>
  <si>
    <t>358</t>
  </si>
  <si>
    <t>ESPERANCA RUBENS G(10)</t>
  </si>
  <si>
    <t>36</t>
  </si>
  <si>
    <t>NO PE CALCADOS</t>
  </si>
  <si>
    <t>362</t>
  </si>
  <si>
    <t>LUNAYMA</t>
  </si>
  <si>
    <t>364</t>
  </si>
  <si>
    <t>PEDROSO E DONDERI</t>
  </si>
  <si>
    <t>365</t>
  </si>
  <si>
    <t>GRUPO MERSAN</t>
  </si>
  <si>
    <t>366</t>
  </si>
  <si>
    <t>OSCAR CALCADOS</t>
  </si>
  <si>
    <t>371</t>
  </si>
  <si>
    <t>MARCINIACK</t>
  </si>
  <si>
    <t>373</t>
  </si>
  <si>
    <t>BINI CALCADOS</t>
  </si>
  <si>
    <t>374</t>
  </si>
  <si>
    <t>PIXOLE (13 LOJAS)</t>
  </si>
  <si>
    <t>376</t>
  </si>
  <si>
    <t>RENSZ CALCADOS</t>
  </si>
  <si>
    <t>386</t>
  </si>
  <si>
    <t>SELMA CALCADOS</t>
  </si>
  <si>
    <t>387</t>
  </si>
  <si>
    <t>PANAMERICANA</t>
  </si>
  <si>
    <t>388</t>
  </si>
  <si>
    <t>GRUPO PECANHA</t>
  </si>
  <si>
    <t>389</t>
  </si>
  <si>
    <t>TUC</t>
  </si>
  <si>
    <t>391</t>
  </si>
  <si>
    <t>SHOP 15</t>
  </si>
  <si>
    <t>393</t>
  </si>
  <si>
    <t>PREMIER</t>
  </si>
  <si>
    <t>396</t>
  </si>
  <si>
    <t>LOJAS DUPASSO</t>
  </si>
  <si>
    <t>405</t>
  </si>
  <si>
    <t>JUVENTUDE</t>
  </si>
  <si>
    <t>412</t>
  </si>
  <si>
    <t>R.R. OLIVEIRA</t>
  </si>
  <si>
    <t>413</t>
  </si>
  <si>
    <t>SOBRAL E VAZ</t>
  </si>
  <si>
    <t>414</t>
  </si>
  <si>
    <t>CESAR CARLOS</t>
  </si>
  <si>
    <t>415</t>
  </si>
  <si>
    <t>DE ANTONI</t>
  </si>
  <si>
    <t>42</t>
  </si>
  <si>
    <t>LOJA SANTOS CALCADOS</t>
  </si>
  <si>
    <t>425</t>
  </si>
  <si>
    <t>NAGALICA</t>
  </si>
  <si>
    <t>428</t>
  </si>
  <si>
    <t>DESTAK</t>
  </si>
  <si>
    <t>429</t>
  </si>
  <si>
    <t>UTHMAN</t>
  </si>
  <si>
    <t>430</t>
  </si>
  <si>
    <t>MARIN</t>
  </si>
  <si>
    <t>433</t>
  </si>
  <si>
    <t>IDEAL</t>
  </si>
  <si>
    <t>435</t>
  </si>
  <si>
    <t>CALLEGARI</t>
  </si>
  <si>
    <t>436</t>
  </si>
  <si>
    <t>DINARDI</t>
  </si>
  <si>
    <t>438</t>
  </si>
  <si>
    <t>CASTELINI</t>
  </si>
  <si>
    <t>441</t>
  </si>
  <si>
    <t>FERNANDES</t>
  </si>
  <si>
    <t>445</t>
  </si>
  <si>
    <t>CALCEAKI - REP 18</t>
  </si>
  <si>
    <t>447</t>
  </si>
  <si>
    <t>PISSINATO G(3)</t>
  </si>
  <si>
    <t>45</t>
  </si>
  <si>
    <t>KI MALHA</t>
  </si>
  <si>
    <t>452</t>
  </si>
  <si>
    <t>FAVARELLI G(2)</t>
  </si>
  <si>
    <t>458</t>
  </si>
  <si>
    <t>PIZZANTI-G(4)</t>
  </si>
  <si>
    <t>459</t>
  </si>
  <si>
    <t>VILLANY</t>
  </si>
  <si>
    <t>462</t>
  </si>
  <si>
    <t>LAZINHO</t>
  </si>
  <si>
    <t>467</t>
  </si>
  <si>
    <t>A CANGUSSU (2)</t>
  </si>
  <si>
    <t>470</t>
  </si>
  <si>
    <t>BIG PASSO</t>
  </si>
  <si>
    <t>471</t>
  </si>
  <si>
    <t>LIMOZINHO</t>
  </si>
  <si>
    <t>472</t>
  </si>
  <si>
    <t>CHARME CONFECÇÕES</t>
  </si>
  <si>
    <t>474</t>
  </si>
  <si>
    <t>NACIONAL TECIDOS G (4)</t>
  </si>
  <si>
    <t>495</t>
  </si>
  <si>
    <t>PIRRALINHO</t>
  </si>
  <si>
    <t>496</t>
  </si>
  <si>
    <t>DISTRIBUIDORA ADRIANA</t>
  </si>
  <si>
    <t>498</t>
  </si>
  <si>
    <t>GRUPO ANITA/TOBELLI</t>
  </si>
  <si>
    <t>499</t>
  </si>
  <si>
    <t>GRUPO PLANETA JEANS</t>
  </si>
  <si>
    <t>5</t>
  </si>
  <si>
    <t>HUMANITARIAN G(54LOJAS)</t>
  </si>
  <si>
    <t>50</t>
  </si>
  <si>
    <t>LUA DE CRISTAL G(2)</t>
  </si>
  <si>
    <t>502</t>
  </si>
  <si>
    <t>QUINTAL</t>
  </si>
  <si>
    <t>509</t>
  </si>
  <si>
    <t>YOUSSEF G(3)</t>
  </si>
  <si>
    <t>511</t>
  </si>
  <si>
    <t>YAMASITA G(3)</t>
  </si>
  <si>
    <t>52</t>
  </si>
  <si>
    <t>DIGIERI CALCADOS</t>
  </si>
  <si>
    <t>520</t>
  </si>
  <si>
    <t>ULLE</t>
  </si>
  <si>
    <t>524</t>
  </si>
  <si>
    <t>LOJA DO ZEZINHO</t>
  </si>
  <si>
    <t>531</t>
  </si>
  <si>
    <t>GRUPO BENOLIEL G (2)</t>
  </si>
  <si>
    <t>536</t>
  </si>
  <si>
    <t>LOPES COMERCIO DE ARTIGOS ESPORTIVOS</t>
  </si>
  <si>
    <t>540</t>
  </si>
  <si>
    <t>BUENAO</t>
  </si>
  <si>
    <t>544</t>
  </si>
  <si>
    <t>545</t>
  </si>
  <si>
    <t>KATY G(4)</t>
  </si>
  <si>
    <t>546</t>
  </si>
  <si>
    <t>LOJA SAMMY G(2)</t>
  </si>
  <si>
    <t>548</t>
  </si>
  <si>
    <t>TERE G(9)</t>
  </si>
  <si>
    <t>55</t>
  </si>
  <si>
    <t>ITAPUA G(69)</t>
  </si>
  <si>
    <t>551</t>
  </si>
  <si>
    <t>KINEY E MUNDI(2)</t>
  </si>
  <si>
    <t>559</t>
  </si>
  <si>
    <t>VL DA CUNHA (4 LJS) - GOLD</t>
  </si>
  <si>
    <t>56</t>
  </si>
  <si>
    <t>GRUPO KATUXA G(66)</t>
  </si>
  <si>
    <t>562</t>
  </si>
  <si>
    <t>VERAO MODAS</t>
  </si>
  <si>
    <t>567</t>
  </si>
  <si>
    <t>VILLAGE</t>
  </si>
  <si>
    <t>568</t>
  </si>
  <si>
    <t>CALÇADOS SERGIO TUNODA (20 Lojas)</t>
  </si>
  <si>
    <t>569</t>
  </si>
  <si>
    <t>MASSAE TUNODA</t>
  </si>
  <si>
    <t>571</t>
  </si>
  <si>
    <t>PIOVESAN</t>
  </si>
  <si>
    <t>573</t>
  </si>
  <si>
    <t>TOMASI (10 LOJAS)</t>
  </si>
  <si>
    <t>574</t>
  </si>
  <si>
    <t>GRUPO LEVE PR</t>
  </si>
  <si>
    <t>575</t>
  </si>
  <si>
    <t>ANDRADE</t>
  </si>
  <si>
    <t>577</t>
  </si>
  <si>
    <t>SAO DIEGO</t>
  </si>
  <si>
    <t>579</t>
  </si>
  <si>
    <t>LOJAS MB</t>
  </si>
  <si>
    <t>580</t>
  </si>
  <si>
    <t>LOJA SOBERANA</t>
  </si>
  <si>
    <t>583</t>
  </si>
  <si>
    <t>LOJA VENCAL</t>
  </si>
  <si>
    <t>585</t>
  </si>
  <si>
    <t>LOJA GUIDOLIN</t>
  </si>
  <si>
    <t>587</t>
  </si>
  <si>
    <t>LOJA KETIS</t>
  </si>
  <si>
    <t>591</t>
  </si>
  <si>
    <t>CASTRO E ROSA</t>
  </si>
  <si>
    <t>594</t>
  </si>
  <si>
    <t>VIAPAR (04)</t>
  </si>
  <si>
    <t>595</t>
  </si>
  <si>
    <t>SUMMER G(4)</t>
  </si>
  <si>
    <t>597</t>
  </si>
  <si>
    <t>JAPONESA HELIO G (3)</t>
  </si>
  <si>
    <t>598</t>
  </si>
  <si>
    <t>CASTELINHO PERUS G (2)</t>
  </si>
  <si>
    <t>601</t>
  </si>
  <si>
    <t>SAYURI ROUPAS G (3)</t>
  </si>
  <si>
    <t>608</t>
  </si>
  <si>
    <t>SAPATARIO SAO VICENTE</t>
  </si>
  <si>
    <t>610</t>
  </si>
  <si>
    <t>MILADY</t>
  </si>
  <si>
    <t>615</t>
  </si>
  <si>
    <t>BEBER</t>
  </si>
  <si>
    <t>616</t>
  </si>
  <si>
    <t>MICHELS</t>
  </si>
  <si>
    <t>618</t>
  </si>
  <si>
    <t>MALUTA</t>
  </si>
  <si>
    <t>621</t>
  </si>
  <si>
    <t>622</t>
  </si>
  <si>
    <t>ROCHELLI</t>
  </si>
  <si>
    <t>626</t>
  </si>
  <si>
    <t>SALES</t>
  </si>
  <si>
    <t>628</t>
  </si>
  <si>
    <t>MARCIO BERTHI</t>
  </si>
  <si>
    <t>63</t>
  </si>
  <si>
    <t>CALCADOS ARACALCE</t>
  </si>
  <si>
    <t>633</t>
  </si>
  <si>
    <t>DITA</t>
  </si>
  <si>
    <t>634</t>
  </si>
  <si>
    <t>ANA CRISTINA</t>
  </si>
  <si>
    <t>64</t>
  </si>
  <si>
    <t>ARMAZEM PARAIBA (CLAUDINO)</t>
  </si>
  <si>
    <t>642</t>
  </si>
  <si>
    <t>NELSON PEDROSO</t>
  </si>
  <si>
    <t>645</t>
  </si>
  <si>
    <t>CALCADOS PARANA</t>
  </si>
  <si>
    <t>646</t>
  </si>
  <si>
    <t>SUREK</t>
  </si>
  <si>
    <t>658</t>
  </si>
  <si>
    <t>SUPIMPA</t>
  </si>
  <si>
    <t>660</t>
  </si>
  <si>
    <t>LOJA AQUARIO</t>
  </si>
  <si>
    <t>662</t>
  </si>
  <si>
    <t>GRUPO BRICIO</t>
  </si>
  <si>
    <t>666</t>
  </si>
  <si>
    <t>GRUPO CARJANI</t>
  </si>
  <si>
    <t>672</t>
  </si>
  <si>
    <t>SERRANA</t>
  </si>
  <si>
    <t>674</t>
  </si>
  <si>
    <t>CASA BERTOZZI</t>
  </si>
  <si>
    <t>685</t>
  </si>
  <si>
    <t>IMPACTO</t>
  </si>
  <si>
    <t>687</t>
  </si>
  <si>
    <t>MARAM G(2)</t>
  </si>
  <si>
    <t>69</t>
  </si>
  <si>
    <t>MUNDIAL</t>
  </si>
  <si>
    <t>692</t>
  </si>
  <si>
    <t>FLEX PE G(6)</t>
  </si>
  <si>
    <t>695</t>
  </si>
  <si>
    <t>GRUPO SALTITTA(DF)</t>
  </si>
  <si>
    <t>696</t>
  </si>
  <si>
    <t>BELLA SPORT</t>
  </si>
  <si>
    <t>697</t>
  </si>
  <si>
    <t>GRUPO OBA OBA</t>
  </si>
  <si>
    <t>70</t>
  </si>
  <si>
    <t>CHARIFE EL KADRI G(3)</t>
  </si>
  <si>
    <t>702</t>
  </si>
  <si>
    <t>PEZINHO &amp; CIA</t>
  </si>
  <si>
    <t>704</t>
  </si>
  <si>
    <t>TIGRAO G(7)</t>
  </si>
  <si>
    <t>706</t>
  </si>
  <si>
    <t>CELIA COUTINHO G[3]</t>
  </si>
  <si>
    <t>707</t>
  </si>
  <si>
    <t>TRIPILIKA</t>
  </si>
  <si>
    <t>708</t>
  </si>
  <si>
    <t>711</t>
  </si>
  <si>
    <t>ZUKEN SHOES</t>
  </si>
  <si>
    <t>717</t>
  </si>
  <si>
    <t>CARREIROS G (2)</t>
  </si>
  <si>
    <t>720</t>
  </si>
  <si>
    <t>JM MODAS</t>
  </si>
  <si>
    <t>723</t>
  </si>
  <si>
    <t>FRANK CALCADOS</t>
  </si>
  <si>
    <t>724</t>
  </si>
  <si>
    <t>ALYNE</t>
  </si>
  <si>
    <t>726</t>
  </si>
  <si>
    <t>GRUPO CAMBALHOTA - GOLD</t>
  </si>
  <si>
    <t>727</t>
  </si>
  <si>
    <t>LOJAS TOKIO</t>
  </si>
  <si>
    <t>728</t>
  </si>
  <si>
    <t>DORANE</t>
  </si>
  <si>
    <t>735</t>
  </si>
  <si>
    <t>STYLUS CALCADOS</t>
  </si>
  <si>
    <t>736</t>
  </si>
  <si>
    <t>JOSIANE NATERCIA</t>
  </si>
  <si>
    <t>737</t>
  </si>
  <si>
    <t>GRUPO EBERLE</t>
  </si>
  <si>
    <t>739</t>
  </si>
  <si>
    <t>GLOBAL</t>
  </si>
  <si>
    <t>743</t>
  </si>
  <si>
    <t>CLERIS</t>
  </si>
  <si>
    <t>746</t>
  </si>
  <si>
    <t>GRUPO NOBRE</t>
  </si>
  <si>
    <t>748</t>
  </si>
  <si>
    <t>GRUPO POP</t>
  </si>
  <si>
    <t>750</t>
  </si>
  <si>
    <t>GRUPO ALESSA</t>
  </si>
  <si>
    <t>751</t>
  </si>
  <si>
    <t>DUCAL G(4)</t>
  </si>
  <si>
    <t>753</t>
  </si>
  <si>
    <t>GRUPO JANILSON (07)</t>
  </si>
  <si>
    <t>756</t>
  </si>
  <si>
    <t>LIS MAGAZINE G(5)</t>
  </si>
  <si>
    <t>759</t>
  </si>
  <si>
    <t>JEANNE G(3)</t>
  </si>
  <si>
    <t>76</t>
  </si>
  <si>
    <t>ANDARAKI G(40)</t>
  </si>
  <si>
    <t>760</t>
  </si>
  <si>
    <t>LEANDRINI</t>
  </si>
  <si>
    <t>765</t>
  </si>
  <si>
    <t>BENETTI CALCADOS</t>
  </si>
  <si>
    <t>769</t>
  </si>
  <si>
    <t>GRUPO MINORU</t>
  </si>
  <si>
    <t>77</t>
  </si>
  <si>
    <t>LISANI</t>
  </si>
  <si>
    <t>770</t>
  </si>
  <si>
    <t>PATOTINHA (6 LJS) - GOLD</t>
  </si>
  <si>
    <t>771</t>
  </si>
  <si>
    <t>BIA CALCADOS</t>
  </si>
  <si>
    <t>772</t>
  </si>
  <si>
    <t>FREE CENTER</t>
  </si>
  <si>
    <t>778</t>
  </si>
  <si>
    <t>CASA KIT</t>
  </si>
  <si>
    <t>779</t>
  </si>
  <si>
    <t>780</t>
  </si>
  <si>
    <t>MARLY ANGELICA</t>
  </si>
  <si>
    <t>781</t>
  </si>
  <si>
    <t>KASSULA G(6)</t>
  </si>
  <si>
    <t>782</t>
  </si>
  <si>
    <t>GRUPO VESTY G(4)</t>
  </si>
  <si>
    <t>783</t>
  </si>
  <si>
    <t>O CALCADAO</t>
  </si>
  <si>
    <t>79</t>
  </si>
  <si>
    <t>GRUPO SPASSO</t>
  </si>
  <si>
    <t>791</t>
  </si>
  <si>
    <t>FOZ STAR</t>
  </si>
  <si>
    <t>792</t>
  </si>
  <si>
    <t>794</t>
  </si>
  <si>
    <t>3 RIOS</t>
  </si>
  <si>
    <t>795</t>
  </si>
  <si>
    <t>GRUPO TAVARES RECONCAVO</t>
  </si>
  <si>
    <t>797</t>
  </si>
  <si>
    <t>RAMIRO DESTAKE</t>
  </si>
  <si>
    <t>798</t>
  </si>
  <si>
    <t>MARCOS ANTONIO</t>
  </si>
  <si>
    <t>799</t>
  </si>
  <si>
    <t>SPIER G(4)</t>
  </si>
  <si>
    <t>8</t>
  </si>
  <si>
    <t>COMETA CALCADOS</t>
  </si>
  <si>
    <t>80</t>
  </si>
  <si>
    <t>CALCADOS CATARINENSE</t>
  </si>
  <si>
    <t>802</t>
  </si>
  <si>
    <t>GRUPO VERYS</t>
  </si>
  <si>
    <t>803</t>
  </si>
  <si>
    <t>EDILSON PIMENTA</t>
  </si>
  <si>
    <t>804</t>
  </si>
  <si>
    <t>MARTINS</t>
  </si>
  <si>
    <t>812</t>
  </si>
  <si>
    <t>GRUPO BARATAO (GO)</t>
  </si>
  <si>
    <t>818</t>
  </si>
  <si>
    <t>DUPE CALCADOS</t>
  </si>
  <si>
    <t>820</t>
  </si>
  <si>
    <t>GRUPO NILMAR</t>
  </si>
  <si>
    <t>822</t>
  </si>
  <si>
    <t>GRUPO RABELLO</t>
  </si>
  <si>
    <t>826</t>
  </si>
  <si>
    <t>CALCE PAGUE</t>
  </si>
  <si>
    <t>827</t>
  </si>
  <si>
    <t>RANIBEL</t>
  </si>
  <si>
    <t>832</t>
  </si>
  <si>
    <t>M MAMEDE</t>
  </si>
  <si>
    <t>834</t>
  </si>
  <si>
    <t>CELLY (2 LJS) - GOLD</t>
  </si>
  <si>
    <t>835</t>
  </si>
  <si>
    <t>GRUPO MIAKI (MT)</t>
  </si>
  <si>
    <t>84</t>
  </si>
  <si>
    <t>CIA DO PE</t>
  </si>
  <si>
    <t>844</t>
  </si>
  <si>
    <t>846</t>
  </si>
  <si>
    <t>BOROTO</t>
  </si>
  <si>
    <t>847</t>
  </si>
  <si>
    <t>LOJAS IPIRANGA G(3)</t>
  </si>
  <si>
    <t>848</t>
  </si>
  <si>
    <t>CASA GERSON G(4)</t>
  </si>
  <si>
    <t>849</t>
  </si>
  <si>
    <t>VERA CALCADOS</t>
  </si>
  <si>
    <t>85</t>
  </si>
  <si>
    <t>LUIZA CALCADOS</t>
  </si>
  <si>
    <t>852</t>
  </si>
  <si>
    <t>GRUPO KIREY</t>
  </si>
  <si>
    <t>855</t>
  </si>
  <si>
    <t>GRUPO KLYK</t>
  </si>
  <si>
    <t>857</t>
  </si>
  <si>
    <t>ALTERNATIVA</t>
  </si>
  <si>
    <t>858</t>
  </si>
  <si>
    <t>DESFILE DOS PEZINHOS</t>
  </si>
  <si>
    <t>86</t>
  </si>
  <si>
    <t>CALCE BEM CALÇADOS</t>
  </si>
  <si>
    <t>861</t>
  </si>
  <si>
    <t>LOS NETO</t>
  </si>
  <si>
    <t>863</t>
  </si>
  <si>
    <t>PARATI DE ARAXA (03 LJS)</t>
  </si>
  <si>
    <t>864</t>
  </si>
  <si>
    <t>GIGANTE</t>
  </si>
  <si>
    <t>87</t>
  </si>
  <si>
    <t>PE DE GURY/ SHOP DO PÉ (04 LOJAS)</t>
  </si>
  <si>
    <t>331 RODRIGO MOURA REPRESENTACOES DE CALCADOS LTDA</t>
  </si>
  <si>
    <t>887</t>
  </si>
  <si>
    <t>TODO VAPOR</t>
  </si>
  <si>
    <t>888</t>
  </si>
  <si>
    <t>DESTAQUE CALCADOS</t>
  </si>
  <si>
    <t>889</t>
  </si>
  <si>
    <t>GRUPO LEVE SC</t>
  </si>
  <si>
    <t>89</t>
  </si>
  <si>
    <t>FALASTINS</t>
  </si>
  <si>
    <t>893</t>
  </si>
  <si>
    <t>JN CALCADOS</t>
  </si>
  <si>
    <t>894</t>
  </si>
  <si>
    <t>RUIS</t>
  </si>
  <si>
    <t>895</t>
  </si>
  <si>
    <t>VIA BRASIL</t>
  </si>
  <si>
    <t>896</t>
  </si>
  <si>
    <t>NOVA CALCADOS</t>
  </si>
  <si>
    <t>897</t>
  </si>
  <si>
    <t>TECIDOS JOIA</t>
  </si>
  <si>
    <t>898</t>
  </si>
  <si>
    <t>L.M. CALCADOS</t>
  </si>
  <si>
    <t>9</t>
  </si>
  <si>
    <t>FLAVIOS CALCADOS</t>
  </si>
  <si>
    <t>905</t>
  </si>
  <si>
    <t>FEIRAO DOS CALCADOS</t>
  </si>
  <si>
    <t>91</t>
  </si>
  <si>
    <t>GRUPO BELLOS PES</t>
  </si>
  <si>
    <t>919</t>
  </si>
  <si>
    <t>LOJAS MAGRO</t>
  </si>
  <si>
    <t>921</t>
  </si>
  <si>
    <t>931</t>
  </si>
  <si>
    <t>ECONIS</t>
  </si>
  <si>
    <t>932</t>
  </si>
  <si>
    <t>ALEXANDRE CARRARA</t>
  </si>
  <si>
    <t>934</t>
  </si>
  <si>
    <t>936</t>
  </si>
  <si>
    <t>SUPERMERCADO DO TENIS</t>
  </si>
  <si>
    <t>937</t>
  </si>
  <si>
    <t>GRUPO MAXXI</t>
  </si>
  <si>
    <t>938</t>
  </si>
  <si>
    <t>GRUPO MALTAURO</t>
  </si>
  <si>
    <t>944</t>
  </si>
  <si>
    <t>PRIMAVERA UBERLANDIA</t>
  </si>
  <si>
    <t>949</t>
  </si>
  <si>
    <t>GRUPO CANTINHO DA CRIANCA (03)</t>
  </si>
  <si>
    <t>951</t>
  </si>
  <si>
    <t>GOLDONI</t>
  </si>
  <si>
    <t>955</t>
  </si>
  <si>
    <t>MENON</t>
  </si>
  <si>
    <t>957</t>
  </si>
  <si>
    <t>964</t>
  </si>
  <si>
    <t>VIVIAN FERREIRA</t>
  </si>
  <si>
    <t>965</t>
  </si>
  <si>
    <t>BATISTA [G2]</t>
  </si>
  <si>
    <t>97</t>
  </si>
  <si>
    <t>GRUPO DAFITI</t>
  </si>
  <si>
    <t>342 - EVERTON CASTRO</t>
  </si>
  <si>
    <t>971</t>
  </si>
  <si>
    <t>GRUPO LUNNA</t>
  </si>
  <si>
    <t>973</t>
  </si>
  <si>
    <t>A SOBERANA</t>
  </si>
  <si>
    <t>974</t>
  </si>
  <si>
    <t>SNOB CALCADOS</t>
  </si>
  <si>
    <t>975</t>
  </si>
  <si>
    <t>AMORIN CALCADOS</t>
  </si>
  <si>
    <t>978</t>
  </si>
  <si>
    <t>GRUPO MACEDO</t>
  </si>
  <si>
    <t>979</t>
  </si>
  <si>
    <t>A E S MODA</t>
  </si>
  <si>
    <t>980</t>
  </si>
  <si>
    <t>GRUPO SCHVAMBACH</t>
  </si>
  <si>
    <t>983</t>
  </si>
  <si>
    <t>AUTENTICA BAHALL</t>
  </si>
  <si>
    <t>986</t>
  </si>
  <si>
    <t>HAMUD SHOPPING</t>
  </si>
  <si>
    <t>987</t>
  </si>
  <si>
    <t>MOREIRA MARQUES REP 34</t>
  </si>
  <si>
    <t>991</t>
  </si>
  <si>
    <t>MOREIRA MARQUES REP-261</t>
  </si>
  <si>
    <t>992</t>
  </si>
  <si>
    <t>CABANAS CALCADOS</t>
  </si>
  <si>
    <t>999</t>
  </si>
  <si>
    <t>GRUPO TRIER-(08 LOJAS)</t>
  </si>
  <si>
    <t>NÃO INFORMADO</t>
  </si>
  <si>
    <t xml:space="preserve">  ALMEIDA E ALVES DE BANQUETE COMERCIO DE ROUPAS LTDA</t>
  </si>
  <si>
    <t xml:space="preserve"> BEBEZINHO COMERCIO DE ROUPAS EIRELI</t>
  </si>
  <si>
    <t xml:space="preserve"> FANN MODAS E ACESSORIOS EIRELI - ME</t>
  </si>
  <si>
    <t xml:space="preserve"> FRANCISCO ELIAS DE QUEIROZ - ME</t>
  </si>
  <si>
    <t xml:space="preserve"> HAMONA COMERCIO DE CALCADOS LTDA EPP</t>
  </si>
  <si>
    <t xml:space="preserve"> J M DO VALE COMERCIO DE CALCADOS</t>
  </si>
  <si>
    <t xml:space="preserve"> KKK ARTIGOS ESPORTIVOS LTDA</t>
  </si>
  <si>
    <t xml:space="preserve"> MARIA ELIZA GUILHERME SAITO &amp; CIA LTDA - EPP</t>
  </si>
  <si>
    <t xml:space="preserve"> TOK FINAL COMERCIO DE CALCADOS LTDA</t>
  </si>
  <si>
    <t>11.260.491 AURINO SANTOS DA SILVA</t>
  </si>
  <si>
    <t>12.037.013 CLEDJONE DANTAS PIRES JUNIOR</t>
  </si>
  <si>
    <t>123 MINHA VEZ KIDS LTDA</t>
  </si>
  <si>
    <t>13.414.704 RUBIELI DE JESUS</t>
  </si>
  <si>
    <t>13.530.590 CICERO CANUTO FERRO</t>
  </si>
  <si>
    <t>14.270.934 MICHELLY DE OLIVEIRA</t>
  </si>
  <si>
    <t>15.239.518 CRISTINE PEREIRA DA SILVA ALMEIDA</t>
  </si>
  <si>
    <t>16.778.637 ELISABETE SILVA DE SOUSA</t>
  </si>
  <si>
    <t>17.631.851 MARIA ELIZANGELA DA MOTA SANTOS</t>
  </si>
  <si>
    <t>18.937.694 ANA MARIA DE MORAIS</t>
  </si>
  <si>
    <t>2 PEKETITOS ROUPAS E CALÇADOS LTDA</t>
  </si>
  <si>
    <t>21.311.157 WAGNER SVERZUT</t>
  </si>
  <si>
    <t>21.360.285 JAQUELINE FRANGIOZA PRIMO</t>
  </si>
  <si>
    <t>21.699.793 JAQUELINE ANDRADE SILVA MORAES</t>
  </si>
  <si>
    <t>22.799.210 ERENI PAIVA ANTUNES</t>
  </si>
  <si>
    <t>24.416.255 CLEONICE PEREIRA DA SILVA NEIVA</t>
  </si>
  <si>
    <t>26.815.351 LORENA DUARTE FATURINE</t>
  </si>
  <si>
    <t>27.815.496 GISELE BARBOSA PEREIRA</t>
  </si>
  <si>
    <t>29.769.218 JOAO CASSIO FULQUINI</t>
  </si>
  <si>
    <t>29.984.393 HILDA ASSIS COSTA DOS SANTOS</t>
  </si>
  <si>
    <t>RAFAEL MENEZES</t>
  </si>
  <si>
    <t>2M CALC E CONF LTDA ME</t>
  </si>
  <si>
    <t>30.962.945 LETICIA DA SILVA SOUZA</t>
  </si>
  <si>
    <t>31.061.923 BRUNA KATIELLE DE OLIVEIRA CRUZ</t>
  </si>
  <si>
    <t>31.070.137 MILENA BRANDINE GARCIA NAVARRO</t>
  </si>
  <si>
    <t>31.751.432 TULIO DE SOUZA RODRIGUES</t>
  </si>
  <si>
    <t>31.912.103 JOSINEIA FERREIRA DE MOURA SILVA</t>
  </si>
  <si>
    <t>32.160.553 ANA PAULA DE SOUZA COELHO</t>
  </si>
  <si>
    <t>32.851.515 JANAINA SILVA TOMAZ</t>
  </si>
  <si>
    <t>332 N. SILVA SANTOS REPRESENTACOES</t>
  </si>
  <si>
    <t>34.247.253 ANA CRISTINA MACHADO FLORENCIANO</t>
  </si>
  <si>
    <t>34.541.962 KATHYANNE TAVARES LIMA</t>
  </si>
  <si>
    <t>34.898.541 VALERIA MEDEIROS DA SILVA DE FRANCA</t>
  </si>
  <si>
    <t>36.745.435 SIMONE APARECIDA DOS SANTOS LENHARDT</t>
  </si>
  <si>
    <t>36.967.357 JADI MAZER CICILLINI LAUER</t>
  </si>
  <si>
    <t>37.718.032 LIDIANE RODRIGUES GARCIA</t>
  </si>
  <si>
    <t>39.590.703 JAQUELINE AMARAL DE ALMEIDA OLIMPIO</t>
  </si>
  <si>
    <t>39.662.954 NUBIA RAFAELLA LAURINDO NUNES SOUZA</t>
  </si>
  <si>
    <t>4 TEMPOS DIGITAL LTDA</t>
  </si>
  <si>
    <t>40.572.045 TATIANE ALINE SCHUTZ</t>
  </si>
  <si>
    <t>40.738.340 IDEIZE MARIA DE SANTANA SANTOS</t>
  </si>
  <si>
    <t>40.810.867 IRISLENE LOPES DA SILVA</t>
  </si>
  <si>
    <t>41.149.549 VANESSA ALVES DE LIMA</t>
  </si>
  <si>
    <t>41.640.238 PRISCILA PEREIRA DE OLIVEIRA</t>
  </si>
  <si>
    <t>41.648.376 THIAGO DA SILVA LEAL</t>
  </si>
  <si>
    <t>41.962.007 JULIANA ALVES DOS SANTOS SIQUEIRA</t>
  </si>
  <si>
    <t>43.831.763 OSWALDO SUGUYAMA TADA</t>
  </si>
  <si>
    <t>44.902.879 THAIRINY DE CARVALHO MONTANHA</t>
  </si>
  <si>
    <t>46.221.392 MARCO ANTONIO VANISSAN DE FIGUEIREDO</t>
  </si>
  <si>
    <t>46.572.919 MARIA TERESA SILVEIRA SOUSA</t>
  </si>
  <si>
    <t>47.752.466 JEICIANE ARAUJO BRAS</t>
  </si>
  <si>
    <t>49.181.590 MARIA MADALENA MAGALHAES CABO</t>
  </si>
  <si>
    <t>49.305.316 ELIKA GONCALVES QUEIROZ</t>
  </si>
  <si>
    <t>49.401.002 JOSILENE SALVINO MENDES MARQUES</t>
  </si>
  <si>
    <t>49.423.928 RAIMUNDA CRISTINA OLIVEIRA CORREA DOS SANTOS</t>
  </si>
  <si>
    <t>49.548.921 MARIA DE FATIMA COSME DO NASCIMENTO</t>
  </si>
  <si>
    <t>49.740.314 RENATA MARTINS LOURENCO</t>
  </si>
  <si>
    <t>49.799.669 ANA CAROLINE RUIZ DE LIMA</t>
  </si>
  <si>
    <t>49.833.606 DANIELLE PATRICIO DA COSTA</t>
  </si>
  <si>
    <t>49.843.037 GILIAN BRISOLA DE ALMEIDA NASCIMENTO</t>
  </si>
  <si>
    <t>333 OLIGAR REPRESENTACOES E COMERCIO LTDA</t>
  </si>
  <si>
    <t>50.687.704 JOCIMARA MARIA DA SILVA</t>
  </si>
  <si>
    <t>50.842.862 JOSINALDO DOS SANTOS FERREIRA</t>
  </si>
  <si>
    <t>51.115.065 JILMARIO SANTOS ANDRADE</t>
  </si>
  <si>
    <t>51.115.445 ALISON ROBERTO DE PAULA MENARDI</t>
  </si>
  <si>
    <t>51.127.527 DAISE CRISTINA GONCALVES PIVA</t>
  </si>
  <si>
    <t>51.211.867 MARIA DENISE DA SILVA FRANCISCO</t>
  </si>
  <si>
    <t>51.344.085 GINA JONASSON MOUSQUER CAPELIN</t>
  </si>
  <si>
    <t>51.586.968 NORALI SARA MAMANI CHOQUE</t>
  </si>
  <si>
    <t>51.626.528 BLENDA GLEICIELY TEIXEIRA DE SANTANA</t>
  </si>
  <si>
    <t>51.978.384 AMANDA REGINA PEREIRA</t>
  </si>
  <si>
    <t>52.026.590 MARIA RIZIONEIDE DA COSTA</t>
  </si>
  <si>
    <t>52.062.491 JESSICA ALVES ARAUJO</t>
  </si>
  <si>
    <t>52.113.785 JOSELI CRUZ DE OLIVEIRA BELMINO</t>
  </si>
  <si>
    <t>52.253.563 FRANCIELE CABRAL RAMBO</t>
  </si>
  <si>
    <t>52.315.931 JULIANA APARECIDA DOS SANTOS</t>
  </si>
  <si>
    <t>52.526.609 PABLO RABIER DE SA MATOS</t>
  </si>
  <si>
    <t>52.692.337 MARIA CLARA VEIGA</t>
  </si>
  <si>
    <t>52.852.628 JOSINALDO MARCELINO</t>
  </si>
  <si>
    <t>53.142.323 PAMELA TAIANE FERREIRA TORRES</t>
  </si>
  <si>
    <t>53.310.031 CARLA REIS BARRETO</t>
  </si>
  <si>
    <t>53.336.744 FRANCISCO GUSTAVO TORRES</t>
  </si>
  <si>
    <t>53.519.663 MARIA DAS NEVES BARBOSA QUIRINO</t>
  </si>
  <si>
    <t>53.581.076 ANA MARIA PEREIRA CHAVES</t>
  </si>
  <si>
    <t>53.583.322 THATIANE PEREIRA DE FARIAS SOUZA</t>
  </si>
  <si>
    <t>54.399.714 NADSON NOVAES SILVA</t>
  </si>
  <si>
    <t>54.585.589 MARIA LAURA GAMBOA MONTANO</t>
  </si>
  <si>
    <t>54.763.001 FERNANDA ROCHA SCHLEMPER</t>
  </si>
  <si>
    <t>55.325.172 JULIA MARIA DE SOUZA LINS DORTA</t>
  </si>
  <si>
    <t>55.578.830 JEFFY NASCIMENTO DE JESUS</t>
  </si>
  <si>
    <t>55.832.580 DEIZIANE DIAS BORGES</t>
  </si>
  <si>
    <t>55.943.493 JAIVISON SANTOS DA SILVA</t>
  </si>
  <si>
    <t>56.942.448 ALEXSANDRO ALVES DOS SANTOS</t>
  </si>
  <si>
    <t>57.102.199 KAMYLEE FIGUEIRO DE SOUZA</t>
  </si>
  <si>
    <t>57.452.420 JOAO VITOR VASCONCELOS JULIAO</t>
  </si>
  <si>
    <t>57.459.058 JAIRO LOPES DA SILVA</t>
  </si>
  <si>
    <t>57.717.705 EDINALDO JOSE NERI</t>
  </si>
  <si>
    <t>57.918.058 RITA DE CASSIA BERENGUER DE ALMEIDA</t>
  </si>
  <si>
    <t>58.034.522 LUANA DE FATIMA RODRIGUES</t>
  </si>
  <si>
    <t>58.077.380 VITOR FERREIRA DA SILVA</t>
  </si>
  <si>
    <t>58.216.899 DEISE CHEROBIN DETOGNI</t>
  </si>
  <si>
    <t>58.337.079 FLAVIANA CAVALCANTI MARQUES</t>
  </si>
  <si>
    <t>58991116 THAYSSA EVILLYN RODRIGUES GUIMARAES</t>
  </si>
  <si>
    <t>60.508.812 LARISSA AMORIM DE SOUZA SANTOS</t>
  </si>
  <si>
    <t>62.249.133 RAQUEL SILVESTRO</t>
  </si>
  <si>
    <t>99R COMERCIO DE PRODUTOS ORIGINAIS LTDA</t>
  </si>
  <si>
    <t>A A CALCADOS</t>
  </si>
  <si>
    <t>A A CARNEIRO</t>
  </si>
  <si>
    <t>A B IZEPE E CIA LTDA</t>
  </si>
  <si>
    <t>A BEJORELLI CONFECCOES E CALCADOS LTDA</t>
  </si>
  <si>
    <t>A C MARQUES LIMA SANTOS</t>
  </si>
  <si>
    <t>A C VASCONCELOS E CONFECCOES</t>
  </si>
  <si>
    <t>A CINDERELA LTDA EPP.</t>
  </si>
  <si>
    <t>A CRIATIVA LTDA</t>
  </si>
  <si>
    <t>A CRUZEIRENSE MATRIZ LTDA</t>
  </si>
  <si>
    <t>A D CALCADOS E ROUPAS LTDA</t>
  </si>
  <si>
    <t>A DE MESQUITA CUNHA VALE ME</t>
  </si>
  <si>
    <t>A DONA-HA CONFECCOES LTDA. ME.</t>
  </si>
  <si>
    <t>A DOS SANTOS MELLEIRO LTDA</t>
  </si>
  <si>
    <t>A ELEGANTE CALCADOS LTDA.</t>
  </si>
  <si>
    <t>A FEITICEIRA COMERCIO DE CALCADOS E CONFECCOES LTDA</t>
  </si>
  <si>
    <t>A H OLIVEIRA FERREIRA ME</t>
  </si>
  <si>
    <t>A IDEAL CALÇADOS LTDA</t>
  </si>
  <si>
    <t>A ISETE R DOS SANTOS ME</t>
  </si>
  <si>
    <t>A K COMERCIO DE BOLSAS LTDA</t>
  </si>
  <si>
    <t>A KASPER &amp; CIA LTDA</t>
  </si>
  <si>
    <t>A L DA SILVA CALCADOS</t>
  </si>
  <si>
    <t>A M S CARNEIRO DE MACEDO</t>
  </si>
  <si>
    <t>A N SOUZA VESTUARIO LTDA ME</t>
  </si>
  <si>
    <t>A P TORRES MARTINS LIMA</t>
  </si>
  <si>
    <t>A POPULAR TECIDOS LTDA - ME</t>
  </si>
  <si>
    <t>A PREFERIDA LINENSE LTDA ME</t>
  </si>
  <si>
    <t>A R COMERCIO DE ARTIGOS DE VESTUARIO E ACESSORIOS LTDA</t>
  </si>
  <si>
    <t>A SOBERANA COMERCIO LTDA.</t>
  </si>
  <si>
    <t>A V CAVALCANTE COSTA ME</t>
  </si>
  <si>
    <t>A V ROMANO DA SILVA LTDA</t>
  </si>
  <si>
    <t>A VENCEDORA CALCADOS</t>
  </si>
  <si>
    <t>A Z G LOBATO COMERCIO DE CALCADOS LTDA</t>
  </si>
  <si>
    <t>A. A. BARRETO LTDA</t>
  </si>
  <si>
    <t>A. A. BRANDAO BORGES COMERCIO</t>
  </si>
  <si>
    <t>A. A. DE OLIVEIRA - CONFECCOES</t>
  </si>
  <si>
    <t>A. A. NUNES LIMA</t>
  </si>
  <si>
    <t>A. ARAUJO ALVES</t>
  </si>
  <si>
    <t>A. B. CARMINETI &amp; CIA. LTDA.EPP</t>
  </si>
  <si>
    <t>A. B. GUERRA JUNIOR</t>
  </si>
  <si>
    <t>A. COSTA FILHO SERVICOS DE BARBEARIA</t>
  </si>
  <si>
    <t>A. FABRETI E GARCIA LTDA</t>
  </si>
  <si>
    <t>A. K. A. RODRIGUES</t>
  </si>
  <si>
    <t>A. K. I. SANTOS &amp; CIA LTDA. ME</t>
  </si>
  <si>
    <t>A. L. CALCADOS LTDA</t>
  </si>
  <si>
    <t>A. LOURENCO COMERCIO DE CONFECCOES E CALCADOS LTDA EPP</t>
  </si>
  <si>
    <t>A. M. BEZERRA TEIXEIRA</t>
  </si>
  <si>
    <t>A. S. AREVALO</t>
  </si>
  <si>
    <t>A. TEODORO FARIA</t>
  </si>
  <si>
    <t>A. V. PEGORARO CALCADOS LTDA.</t>
  </si>
  <si>
    <t>A.F. CORREA E CIA LTDA.</t>
  </si>
  <si>
    <t>A.M.CEZAR E CIA LTDA</t>
  </si>
  <si>
    <t>A.S.CORDEIRO E CIA LTDA</t>
  </si>
  <si>
    <t>ABCS COMERCIO DE CONFECCOES LTDA</t>
  </si>
  <si>
    <t>ABEL ROLIM PINHEIRO NETO ME</t>
  </si>
  <si>
    <t>ABU &amp; CIA LTDA ME</t>
  </si>
  <si>
    <t>ACAIA SHOES LTDA</t>
  </si>
  <si>
    <t>ACAPULCO CALCADOS LTDA-ME</t>
  </si>
  <si>
    <t>ACM COMERCIO DE CALCADOS LTDA</t>
  </si>
  <si>
    <t>ACTUAL SAPATARIA LTDA</t>
  </si>
  <si>
    <t>ACZA SONY D B PAIVA COMÉRCIO</t>
  </si>
  <si>
    <t>ADARLAN BARBOSA MOREIRA DE SOUZA 06469198570</t>
  </si>
  <si>
    <t>ADAUTO MORAES DACOREGIO E CIA LTDA ME</t>
  </si>
  <si>
    <t>ADELAR ROQUE SALVADOR</t>
  </si>
  <si>
    <t>ADELCTA CONFECCOES LTDA</t>
  </si>
  <si>
    <t>ADELINO ZAMARKI EIRELI ME</t>
  </si>
  <si>
    <t>ADEMAR COZER</t>
  </si>
  <si>
    <t>ADEMAR VON MUHLEN &amp; CIA LTDA</t>
  </si>
  <si>
    <t>ADENILDO ALVES LEMOS</t>
  </si>
  <si>
    <t>ADILMA DE LIMA PAES LTDA</t>
  </si>
  <si>
    <t>ADIVANIA FERREIRA DE ARAÚJO</t>
  </si>
  <si>
    <t>ADNAN ALL JAWABRI</t>
  </si>
  <si>
    <t>ADOLETA COMERCIO E CIA LTDA ME</t>
  </si>
  <si>
    <t>ADRIA CALCADOS LTDA</t>
  </si>
  <si>
    <t>ADRIANA A B GUEDES ARTIGOS INF ME</t>
  </si>
  <si>
    <t>ADRIANA CALÇADOS LTDA</t>
  </si>
  <si>
    <t>ADRIANA DE ARAUJO OLIVEIRA CONFECCOES - ME</t>
  </si>
  <si>
    <t>ADRIANA FERREIRA DE SOUZA</t>
  </si>
  <si>
    <t>ADRIANA M  DOS SANTOS POLIZEL</t>
  </si>
  <si>
    <t>ADRIANA MENDES AMADOR FERREIRA</t>
  </si>
  <si>
    <t>ADRIANA PAGNUSSATT BALBINOTT 00830088024 ME</t>
  </si>
  <si>
    <t>ADRIANA POMBO DIANA  ME</t>
  </si>
  <si>
    <t>ADRIANA ROCHA SILVA AKAHANE 76526640206</t>
  </si>
  <si>
    <t>ADRIANE V G BURGIN &amp; CIA LTDA</t>
  </si>
  <si>
    <t>ADRIANO AIRES DA SILVA</t>
  </si>
  <si>
    <t>ADRIANO BRITO DINIZ</t>
  </si>
  <si>
    <t>AELITTA MARILAC FERREIRA E SILVA COMERCIO LTDA</t>
  </si>
  <si>
    <t>AF LEITE COMERCIO DE ROUPAS, ACESSORIOS, MOVEIS E PRESENTES LTDA</t>
  </si>
  <si>
    <t>AFTDS COM.E REPRES.DE CALÇ. LTDA</t>
  </si>
  <si>
    <t>AGITO CALCADOS UNIPESSOAL LTDA</t>
  </si>
  <si>
    <t>AGLIATI MODA E BAZAR LTDA</t>
  </si>
  <si>
    <t>AGP COMERCIO E CONFECCOES LTDA ME</t>
  </si>
  <si>
    <t>AGTG CONFECCOES LTDA ME</t>
  </si>
  <si>
    <t>AIKIFOFO COM. OU CONFECCOES LTDA</t>
  </si>
  <si>
    <t>AIRTON DALL ONGARO ME</t>
  </si>
  <si>
    <t>AJ SILVA COMERCIO DE CALCADOS E CONFECCOES LTDA</t>
  </si>
  <si>
    <t>AKI COMERCIO DE CALCADOS LTDA</t>
  </si>
  <si>
    <t>AKI NO PE CALCADOS LTDA</t>
  </si>
  <si>
    <t>ALAIR DE SA PEREIRA ME</t>
  </si>
  <si>
    <t>ALAN JOSE DO NASCIMENTO DA SILVA</t>
  </si>
  <si>
    <t>ALANA SOUZA DE MELO</t>
  </si>
  <si>
    <t>ALBAJOR  MODAS LTDA</t>
  </si>
  <si>
    <t>ALBINO &amp; SOUSA LTDA - ME</t>
  </si>
  <si>
    <t>ALCIONE SALETE LACHOWSKI ME</t>
  </si>
  <si>
    <t>ALDER CALCADOS E CONFECCOES LTDA</t>
  </si>
  <si>
    <t>ALDOVANIO CALEGARI ME</t>
  </si>
  <si>
    <t>ALEQ COMERCIAL LTDA</t>
  </si>
  <si>
    <t>ALESANDRA HILGERT - CONFECCOES ME</t>
  </si>
  <si>
    <t>ALESSANDRA SUELY PEREIRA DE CARVALHO</t>
  </si>
  <si>
    <t>ALEX MACEDO DANTAS ME</t>
  </si>
  <si>
    <t>ALEXANDRE BENICIO DE LIMA</t>
  </si>
  <si>
    <t>ALEXANDRE CARVALHO DOS SANTOS</t>
  </si>
  <si>
    <t>ALEXANDRE FLORES BATISTA &amp; CIA LTDA</t>
  </si>
  <si>
    <t>ALEXANDRE SIMONETTO</t>
  </si>
  <si>
    <t>ALEXSANDRO COSTA FIEL PEDROSO</t>
  </si>
  <si>
    <t>ALFREDO DA SILVA VIANA</t>
  </si>
  <si>
    <t>ALICE APARECIDA DE LIMA DE SOUZA</t>
  </si>
  <si>
    <t>ALINE ALVES JOVEM AMARAL</t>
  </si>
  <si>
    <t>ALINE APARECIDA DE OLIVEIRA</t>
  </si>
  <si>
    <t>ALINE CALCADOS E ACESSORIOS EIRELI</t>
  </si>
  <si>
    <t>ALINE DE CASSIA DA SILVA DURAES ME</t>
  </si>
  <si>
    <t>ALINE GOMES NOVAES BOMFIM</t>
  </si>
  <si>
    <t>ALINE KARLA MOREIRA</t>
  </si>
  <si>
    <t>ALINE NASCIMENTO MOTA DE SOUZA</t>
  </si>
  <si>
    <t>ALISSON DE CARVALHO ALVES - ME</t>
  </si>
  <si>
    <t>ALKANCE CALCADOS E MALHAS LTDA</t>
  </si>
  <si>
    <t>ALMANARA MAGAZINE LTDA.</t>
  </si>
  <si>
    <t>ALMEIDA &amp; LIGERO LTDA</t>
  </si>
  <si>
    <t>ALOIZIO E HELOIZA COMERCIO LTDA</t>
  </si>
  <si>
    <t>ALTAIR MEDEIROS DE MOURA</t>
  </si>
  <si>
    <t>ALTAMIRO JOSÉ BAMBINETTI ME</t>
  </si>
  <si>
    <t>ALTERNATIVA CALCADOS LTDA</t>
  </si>
  <si>
    <t>ALVARO PROENCA DE ARRUDA NETO LTDA</t>
  </si>
  <si>
    <t>ALVES COMERCIO DE CALCADOS LTDA - ME</t>
  </si>
  <si>
    <t>ALVORADA CALCADOS</t>
  </si>
  <si>
    <t>ALZIRA DO ROCIO CRISPIM DOS SANTOS 01570202907</t>
  </si>
  <si>
    <t>AM BANDEIRA ME</t>
  </si>
  <si>
    <t>AM YOSHIHARA &amp; CIA LTDA ME</t>
  </si>
  <si>
    <t>AMABILIM LAIANE FERREIRA GOMES 49094266806</t>
  </si>
  <si>
    <t>AMADEO PIVATTO</t>
  </si>
  <si>
    <t>AMADEU MALVEZZI NETO</t>
  </si>
  <si>
    <t>AMANDA DE CARVALHO VIANA ME</t>
  </si>
  <si>
    <t>AMANDA GIRARDI - COMERCIO LTDA</t>
  </si>
  <si>
    <t>AMARAL CALÇADOS LTDA ME</t>
  </si>
  <si>
    <t>AMARILDO BRAMBILLA CALCADOS-ME</t>
  </si>
  <si>
    <t>AMARQUES COMERCIO DE PRODUTOS ALIMENTICIOS LTDA - ME</t>
  </si>
  <si>
    <t>AMILCAR V ZANGEROLAMI &amp; CIA LTDA EPP</t>
  </si>
  <si>
    <t>ANA A. MOREIRA A JACO ME</t>
  </si>
  <si>
    <t>ANA CAROLINA SCHUMACKER 07693945903</t>
  </si>
  <si>
    <t>ANA CASSIA SOARES DA SILVA</t>
  </si>
  <si>
    <t>ANA CELIA SANCHES MARTINS</t>
  </si>
  <si>
    <t>ANA CLAUDIA ALVES SAMPAIO</t>
  </si>
  <si>
    <t>ANA CLAUDIA SOUZA SILVA</t>
  </si>
  <si>
    <t>ANA CLEIDE GOMES DOS SANTOS 01353859541</t>
  </si>
  <si>
    <t>ANA CRISTINA BARBOSA SILVA - ME</t>
  </si>
  <si>
    <t>ANA FLAVIA DE ANDRADE FIRMINO ME</t>
  </si>
  <si>
    <t>ANA G S DE C AQUINO</t>
  </si>
  <si>
    <t>ANA HELENA DE FREITAS - ME</t>
  </si>
  <si>
    <t>ANA KAROLINE MONTEIRO SOARES - ME</t>
  </si>
  <si>
    <t>ANA LUCIA GUIMARAES SILVA ME</t>
  </si>
  <si>
    <t>ANA M DE SOUSA SILVA</t>
  </si>
  <si>
    <t>ANA M FAIER BENATTI</t>
  </si>
  <si>
    <t>ANA MARIA DINCA &amp; CIA LTDA</t>
  </si>
  <si>
    <t>ANA PAULA ANDRADE FREITAS</t>
  </si>
  <si>
    <t>ANA PAULA CANDIDO DA SILVA</t>
  </si>
  <si>
    <t>ANA ROSA MOUSINHO LIMA</t>
  </si>
  <si>
    <t>ANABELLA COMERCIO DE ARTIGOS ESPORTIVOS LTDA</t>
  </si>
  <si>
    <t>ANACALCE LTDA</t>
  </si>
  <si>
    <t>ANACATA MODAS LTDA</t>
  </si>
  <si>
    <t>ANAGEL CALCADOS CONF. LTDA</t>
  </si>
  <si>
    <t>ANAPATI ARTIGOS DO VESTUÁRIO LTDA</t>
  </si>
  <si>
    <t>ANARA JULIANA DE MOURA PEREIRA</t>
  </si>
  <si>
    <t>ANDELLE CALCADOS LTDA</t>
  </si>
  <si>
    <t>ANDRADE  KLIPPEL LTDA</t>
  </si>
  <si>
    <t>ANDRADE E ROCHA LTDA</t>
  </si>
  <si>
    <t>ANDRE DOS SANTOS SOUZA</t>
  </si>
  <si>
    <t>ANDRE FELIPE SILVEIRA</t>
  </si>
  <si>
    <t>ANDREA MAIA MODAS LTDA</t>
  </si>
  <si>
    <t>ANDREIA DE S. MELO - CALCADOS EIRELI</t>
  </si>
  <si>
    <t>ANDREIA E VIVIANE COMERCIO DE CONFECCOES</t>
  </si>
  <si>
    <t>ANDREIA LOURENCO MARTINHAO</t>
  </si>
  <si>
    <t>ANDREIA LUCIA FERNANDES</t>
  </si>
  <si>
    <t>ANDREZA LOIS VARGAS MENDES 02225016267</t>
  </si>
  <si>
    <t>ANDRÉIA CRISTINA SGANZERLA</t>
  </si>
  <si>
    <t>ANELICE DOMINGOS</t>
  </si>
  <si>
    <t>ANGELA M R QUEIROZ CONFECCOES</t>
  </si>
  <si>
    <t>ANGELICAL ROUPAS LTDA</t>
  </si>
  <si>
    <t>ANGELINA BORGES DA CRUZ RIOS</t>
  </si>
  <si>
    <t>ANGELO ANDRADE</t>
  </si>
  <si>
    <t>ANINHA MALHAS LTDA</t>
  </si>
  <si>
    <t>ANNA BELLA CALCADOS   LTDA</t>
  </si>
  <si>
    <t>ANNE COMERCIO DE ARMARINHO LTDA ME</t>
  </si>
  <si>
    <t>ANNY CALCADOS COMERCIO LTDA</t>
  </si>
  <si>
    <t>ANTENADINHOS CALCADOS LTDA</t>
  </si>
  <si>
    <t>ANTONIA APARECIDA PEREIRA 00325310602</t>
  </si>
  <si>
    <t>ANTONIA AUSENIR DE ALMEIDA ROCHA ME</t>
  </si>
  <si>
    <t>ANTONIA LUCIVANDIA DE ALENCAR</t>
  </si>
  <si>
    <t>ANTONIA MARIA ALVES PEREIRA - EPP</t>
  </si>
  <si>
    <t>ANTONIA SHEYLA LINHARES EPP</t>
  </si>
  <si>
    <t>ANTONIO AMAURI DE MEDEIROS</t>
  </si>
  <si>
    <t>ANTONIO APRIGIO PEREIRA</t>
  </si>
  <si>
    <t>ANTONIO CARLOS BARIZON</t>
  </si>
  <si>
    <t>ANTONIO CARLOS VIEIRA DE SOUZA JUNIOR ME</t>
  </si>
  <si>
    <t>ANTONIO DARIO A GALVAO</t>
  </si>
  <si>
    <t>ANTONIO GUAITA NETO COMERCIO DE CALCADOS - ME</t>
  </si>
  <si>
    <t>ANTONIO MARCOS DIAS VIEIRA</t>
  </si>
  <si>
    <t>ANTONIO MARIANO LTDA</t>
  </si>
  <si>
    <t>ANTONIO OTAVIO MELO</t>
  </si>
  <si>
    <t>ANTONIO TOMAZ DE OLIVEIRA ROUPAS - EPP</t>
  </si>
  <si>
    <t>ANYWHERE STORE CALCADOS LTDA</t>
  </si>
  <si>
    <t>APARECIDA DE FATIMA MENDES RIBEIRO-ME</t>
  </si>
  <si>
    <t>APARECIDO ALVES VIEIRA - ME</t>
  </si>
  <si>
    <t>AQUARIUS COMERCIO DE CALCADOS LTDA</t>
  </si>
  <si>
    <t>AQUI VESTES CALCADOS CONFEC. LTDA LPP</t>
  </si>
  <si>
    <t>ARAFET NASSER SALEH HASSAN THALJI</t>
  </si>
  <si>
    <t>ARENA COM VAREJISTA DE CALCADOS E ARTIGOS ESPORTIVOS LTDA</t>
  </si>
  <si>
    <t>ARF SERVICOS E COMERCIO DE ARTIGOS INFANTIS LTDA</t>
  </si>
  <si>
    <t>ARIANA SILVA PIRES BATISTA 01494702150</t>
  </si>
  <si>
    <t>ARIANE ARAUJO SILVA LEMOS 08969072446</t>
  </si>
  <si>
    <t>ARIANE DE SOUZA SANTOS - CALCADOS</t>
  </si>
  <si>
    <t>ARIANY E JANIO COM DE CONFEC LTDA</t>
  </si>
  <si>
    <t>ARIELA DORNELLES</t>
  </si>
  <si>
    <t>ARIELLY SILVA BLANK 03792436280</t>
  </si>
  <si>
    <t>ARLETE ROSSETTO COMERCIO DE VESTUARIO LTDA</t>
  </si>
  <si>
    <t>ARMARINHO PVG LTDA</t>
  </si>
  <si>
    <t>ARNALDO FELICIO FERRAZ DE MELLO LTDA</t>
  </si>
  <si>
    <t>ARRASADAO CALCADOS LTDA ME</t>
  </si>
  <si>
    <t>ARRASE COMERCIO DE CALCADOS LTDA</t>
  </si>
  <si>
    <t>ARRUDA &amp; BERWIG COMERCIO DE CALCADOS LTDA</t>
  </si>
  <si>
    <t>ARTUR COMERCIO DE ARTIGOS ESPORTIVOS EIRELI - EPP</t>
  </si>
  <si>
    <t>ARV MODAS LTDA</t>
  </si>
  <si>
    <t>ASS DE AQUINO ME</t>
  </si>
  <si>
    <t>ASTRAL CALCADOS LTDA -ME</t>
  </si>
  <si>
    <t>ATHAIDE ALVES RABELO LIMA</t>
  </si>
  <si>
    <t>ATIRVAL INDUSTRIA E COMERCIO DE ARTEFATOS DE COURO LTDA</t>
  </si>
  <si>
    <t>ATITUDE KIDS CALCADOS LTDA-ME</t>
  </si>
  <si>
    <t>ATITUDE LTDA</t>
  </si>
  <si>
    <t>ATREVIDINHA BOUTIQUE CONFECCOES LTDA</t>
  </si>
  <si>
    <t>AUCILEIDE DA SILVA NASCIMENTO</t>
  </si>
  <si>
    <t>AUDICEIA JALES DE MACEDO COMÉRCIO</t>
  </si>
  <si>
    <t>AUGUSTO LANGER CONFECCOES LTDA - ME</t>
  </si>
  <si>
    <t>AYENE CALCADOS INFANTIS LTDA</t>
  </si>
  <si>
    <t>B &amp; B COMÉRCIO DE CALCADOS LTDA</t>
  </si>
  <si>
    <t>B A DAS CHAGAS</t>
  </si>
  <si>
    <t>B B COMERCIO  DE CALCADOS  LTDA</t>
  </si>
  <si>
    <t>B F DANTAS LTDA</t>
  </si>
  <si>
    <t>B F MOREIRA - MERCEARIA</t>
  </si>
  <si>
    <t>B IASMYM DE SOUZA OLIVEIRA</t>
  </si>
  <si>
    <t>B L DA CUNHA LTDA</t>
  </si>
  <si>
    <t>B. D. O. CHAVES</t>
  </si>
  <si>
    <t>B. T. FRANCO &amp; ALMEIDA LTDA -EPP</t>
  </si>
  <si>
    <t>BABY BELA COMERCIO DE ROUPAS LTDA</t>
  </si>
  <si>
    <t>BABY KIDS COMERCIO INFANTIL LTDA</t>
  </si>
  <si>
    <t>BABYS HOUSE COMERCIO DE ARTIGOS DO VESTUARIO LTDA</t>
  </si>
  <si>
    <t>BAHIA CALCADOS LTDA</t>
  </si>
  <si>
    <t>BALLERINA CALCADOS LTDA - ME</t>
  </si>
  <si>
    <t>BARAO CALCADOS DE GARCA LTDA-ME</t>
  </si>
  <si>
    <t>BARATOAKI COMERCIO DE CALCADOS LTDA</t>
  </si>
  <si>
    <t>BARRETO &amp; SANTOS COMERCIO DE CALCADOS LTDA</t>
  </si>
  <si>
    <t>BARRETO &amp; SOUZA CALCADOS LTDA</t>
  </si>
  <si>
    <t>BARRETO CALCADOS LTDA-ME</t>
  </si>
  <si>
    <t>BARTOLOMEU ALMEIDA LIMA</t>
  </si>
  <si>
    <t>BATAGLION COMERCIO LTDA</t>
  </si>
  <si>
    <t>BATISTA &amp; NODIMATU LTDA</t>
  </si>
  <si>
    <t>BAZAR DOLORES LTDA</t>
  </si>
  <si>
    <t>BAZIA &amp; QUADROS LTDA</t>
  </si>
  <si>
    <t>BEATRIZ BONOMO DE SOUZA KIDS ARMARINHO</t>
  </si>
  <si>
    <t>BEBE MIJAO CONFECCAO INFANTIL LTDA</t>
  </si>
  <si>
    <t>BEBESHOW COMERCIO DE ROUPAS LTDA</t>
  </si>
  <si>
    <t>BEBEZINHO COMERCIO DE BRINQUEDOS MULTIMARCAS EIRELI</t>
  </si>
  <si>
    <t>BEIJINHO KIDS MODA INFANTIL LTDA</t>
  </si>
  <si>
    <t>BELEZE &amp; BALIEGO COMERCIO DE CALCADOS LTDA</t>
  </si>
  <si>
    <t>BELISSIMA COMERCIO DE CALCADOS E CONFECCOES LTDA</t>
  </si>
  <si>
    <t>BELLA VITA CONFECCOES E CALCADOS LTDA ME</t>
  </si>
  <si>
    <t>BELLE STAR EIRELI-ME</t>
  </si>
  <si>
    <t>BENEDUZI E JACHETTI COM DE CONFEC LTDA</t>
  </si>
  <si>
    <t>BENICIO VARIEDADES LTDA</t>
  </si>
  <si>
    <t>BERLATO E BERLATO CALCADOS DE SJCAMPOS LTDA</t>
  </si>
  <si>
    <t>BERNADETE DE OLIVEIRA</t>
  </si>
  <si>
    <t>BERNADETE MARIA DA SILVA</t>
  </si>
  <si>
    <t>BERNARDES COMERCIO E CIA LTDA ME</t>
  </si>
  <si>
    <t>BERNARDETE P. MANFIO ME</t>
  </si>
  <si>
    <t>BEZERRA &amp; BEZERRA CONFECCOES LTDA ME</t>
  </si>
  <si>
    <t>BG CALCADOS LTDA ME</t>
  </si>
  <si>
    <t>BH COMERCIO DE CALCADOS LTDA</t>
  </si>
  <si>
    <t>BH TT CALCADOS E ROUPAS LTDA</t>
  </si>
  <si>
    <t>BIANGULO E OLIVEIRA</t>
  </si>
  <si>
    <t>BIASHOES MODA E OUTLET - EIRELI</t>
  </si>
  <si>
    <t>BILA CALCADOS LTDA ME</t>
  </si>
  <si>
    <t>BILAL MAHAMAD HASAN ME</t>
  </si>
  <si>
    <t>BINDE CAETANO REPRESENTACOES LTDA</t>
  </si>
  <si>
    <t>BLISS FEMME ECOMMERCE LTDA</t>
  </si>
  <si>
    <t>BLUE E PINK MOVEIS E MODAS LTDA</t>
  </si>
  <si>
    <t>BOA COMPRA LTDA</t>
  </si>
  <si>
    <t>BOLSONI &amp; WELTER LTDA</t>
  </si>
  <si>
    <t>BOM JARDIM VAR.CALC.LTDA</t>
  </si>
  <si>
    <t>BOM PASSO COMERCIO DE CALCADOS EIRELI</t>
  </si>
  <si>
    <t>BOMPANI COMERCIO DE VESTUÁRIO E CALÇADOS LTDA</t>
  </si>
  <si>
    <t>BONIN &amp; BONIN LTDA - ME</t>
  </si>
  <si>
    <t>BORELA COMERCIAL UCHOA LTDA</t>
  </si>
  <si>
    <t>BORGES COMERCIO VAREJISTA LTDA</t>
  </si>
  <si>
    <t>BORGES E LIRK LTDA</t>
  </si>
  <si>
    <t>BOUTIQUE KARINA LTDA.</t>
  </si>
  <si>
    <t>BRANFAELA CONFECÇÕES LTDA</t>
  </si>
  <si>
    <t>BRASEIRO LTDA.</t>
  </si>
  <si>
    <t>BRASIL CALCADOS E BOLSAS LTDA</t>
  </si>
  <si>
    <t>BRASIL CALCADOS LTDA</t>
  </si>
  <si>
    <t>BRASILINAS VARIEDADES LTDA</t>
  </si>
  <si>
    <t>BRAZ E SANTOS LTDA</t>
  </si>
  <si>
    <t>BRAZ LIBERALINO COELHO</t>
  </si>
  <si>
    <t>BRENDA GOBBI CUNHA 11089379773</t>
  </si>
  <si>
    <t>BRIGIDA MODAS E ENXOVAIS LTDA</t>
  </si>
  <si>
    <t>BRINKE ARTIGOS INFANTIS LTDA</t>
  </si>
  <si>
    <t>BRUMAYK COMERCIO DE ROUPAS E ACESSORIOS LTDA</t>
  </si>
  <si>
    <t>BRUNA AUXILIADORA ANTUNES 87347636191</t>
  </si>
  <si>
    <t>BRUNA PIRES MIRANDA ESPINOZA 03147162117</t>
  </si>
  <si>
    <t>BRUNA SIQUEIRA LEITE DA SILVA</t>
  </si>
  <si>
    <t>BRUNHARO &amp; CIA LTDA</t>
  </si>
  <si>
    <t>BRUNO PERALTA PERES COMÉRCIO DE CALCADOS</t>
  </si>
  <si>
    <t>BUSCAPE IN REPRESENTACOES COMERCIAIS LTDA</t>
  </si>
  <si>
    <t>BUTIQUE RECANTO DA MODA LTDA</t>
  </si>
  <si>
    <t>BUZETTI &amp; RODRIGUES BUZETTI LTDA-EPP</t>
  </si>
  <si>
    <t>BV COMERCIO DE CALCADOS LTDA</t>
  </si>
  <si>
    <t>BY NIZUMA BABY LTDA</t>
  </si>
  <si>
    <t>C &amp; E WEBER CALCADOS LTDA</t>
  </si>
  <si>
    <t>C D D NEVES LTDA</t>
  </si>
  <si>
    <t>C H RADIGHIERI CAMPOS</t>
  </si>
  <si>
    <t>C J R PRIMO</t>
  </si>
  <si>
    <t>C L DE ALMEIDA &amp; CIA LTDA</t>
  </si>
  <si>
    <t>C M CALÇADOS E ACESSÓRIOS LTDA</t>
  </si>
  <si>
    <t>C M FERREIRA CASA NOVA TECIDOS</t>
  </si>
  <si>
    <t>C MAIS COMERCIO DE CALCADOS LTDA - ME</t>
  </si>
  <si>
    <t>340 E R P REPRESENTACOES COMERCIAIS LTDA</t>
  </si>
  <si>
    <t>C P DA SILVA MODA KIDS</t>
  </si>
  <si>
    <t>C S VIEIRA MODA INFANTIL</t>
  </si>
  <si>
    <t>C T S CORREA MAGAZINE</t>
  </si>
  <si>
    <t>C. B. COSTA</t>
  </si>
  <si>
    <t>C. P. GASPAR</t>
  </si>
  <si>
    <t>C.M. CALCADOS ARTIGOS ESPORTIVOS LTDA.</t>
  </si>
  <si>
    <t>C.R.G INDUSTRIA E CONFECCOES LTDA</t>
  </si>
  <si>
    <t>CACAU COMERCIAL LTDA</t>
  </si>
  <si>
    <t>CAIO CESAR DE CAMPOS 34504856875</t>
  </si>
  <si>
    <t>CALC PALUDETTI LTDA</t>
  </si>
  <si>
    <t>CALC VICAL LTDA ME</t>
  </si>
  <si>
    <t>CALCADOS 2000 LTDA</t>
  </si>
  <si>
    <t>CALCADOS BIRIGUI LTDA</t>
  </si>
  <si>
    <t>CALCADOS CASINHAS LTDA ME</t>
  </si>
  <si>
    <t>CALCADOS DESTAKE LTDA.</t>
  </si>
  <si>
    <t>CALCADOS E CONF. JANING LTDA</t>
  </si>
  <si>
    <t>CALCADOS E CONFECCOES MANO LTDA</t>
  </si>
  <si>
    <t>CALCADOS E CONFECCOES PEDRO II LTDA</t>
  </si>
  <si>
    <t>CALCADOS E CONFECCOES PLANETA EIRELI</t>
  </si>
  <si>
    <t>CALCADOS E CONFECCOES SANDRA LTDA-ME</t>
  </si>
  <si>
    <t>CALCADOS E CONFECCOES SAO FRANCISCO LTDA</t>
  </si>
  <si>
    <t>CALCADOS E CONFECCOES SAO LUIZ LTDA ME</t>
  </si>
  <si>
    <t>CALCADOS E CONFECCOES VASCONCELOS LTDA</t>
  </si>
  <si>
    <t>CALCADOS GEVAERD LTDA.</t>
  </si>
  <si>
    <t>CALCADOS ITAPARICA LTDA</t>
  </si>
  <si>
    <t>CALCADOS J R X LTDA</t>
  </si>
  <si>
    <t>CALCADOS LUVER LTDA</t>
  </si>
  <si>
    <t>CALCADOS MARISTELA LTDA</t>
  </si>
  <si>
    <t>CALCADOS MIRANDA LTDA.</t>
  </si>
  <si>
    <t>CALCADOS NACIONAL LTDA.</t>
  </si>
  <si>
    <t>CALCADOS PRADO DE ITAPORANGA LTDA</t>
  </si>
  <si>
    <t>CALCADOS REALENSE</t>
  </si>
  <si>
    <t>CALCADOS RIBEIRO LTDA.</t>
  </si>
  <si>
    <t>CALCADOS ROSANA MARIA LTDA.</t>
  </si>
  <si>
    <t>CALCADOS SOLANGE LTDA.</t>
  </si>
  <si>
    <t>CALCADOS SOUSA LTDA</t>
  </si>
  <si>
    <t>CALCADOS TANAKA LTDA</t>
  </si>
  <si>
    <t>CALCADOS TUTIPE LTDA ME</t>
  </si>
  <si>
    <t>CALCART COMERCIO DE CALCADOS LTDA</t>
  </si>
  <si>
    <t>CALCE 3 FRONTEIRAS COMERCIO DE CALCADOS LTDA</t>
  </si>
  <si>
    <t>CALCE BELLA CALCADOS E ACESSORIOS LTDA</t>
  </si>
  <si>
    <t>CALCE SHOES LTDA - ME</t>
  </si>
  <si>
    <t>CALCE SHOW LTDA</t>
  </si>
  <si>
    <t>CALCEFOZBEM COM.DE CALCADOS LTDA</t>
  </si>
  <si>
    <t>CALDEIRA E TURCCI LTDA</t>
  </si>
  <si>
    <t>CALIONI E CIA LTDA</t>
  </si>
  <si>
    <t>CALÇADOS BANDEIRANTES COMERCIAL LTDA</t>
  </si>
  <si>
    <t>CALÇADOS MONTEIRO LTDA</t>
  </si>
  <si>
    <t>CAMARGO E MACEDO LTDA</t>
  </si>
  <si>
    <t>CAMBALHOTA KIDS CALCADOS LTDA - ME</t>
  </si>
  <si>
    <t>CAMILA BRUNA DE OLIVEIRA SANTOS</t>
  </si>
  <si>
    <t>CAMILA FRANKEN 03435136090 - ME</t>
  </si>
  <si>
    <t>CAMILE MARCON</t>
  </si>
  <si>
    <t>CAMPOS E CAMPOS COMÉRCIO DE ROUPAS</t>
  </si>
  <si>
    <t>CANCIAN &amp; TUBIANA LTDA</t>
  </si>
  <si>
    <t>CANFOR TECIDOS LTDA</t>
  </si>
  <si>
    <t>CANGURU BEBE GAMA COMERCIO DE ARTIGOS INFANTIS LTDA</t>
  </si>
  <si>
    <t>CANTINHO BIJOUTERIAS LTDA</t>
  </si>
  <si>
    <t>CARAVELA COMERCIAL LTDA</t>
  </si>
  <si>
    <t>CARAZZA CALCADOS LTDA</t>
  </si>
  <si>
    <t>CARDOSO SOARES COMERCIO DE CALCADOS LTDA</t>
  </si>
  <si>
    <t>CARISMA A.D.D.CALC. E CONF. LTDA</t>
  </si>
  <si>
    <t>CARLA DANIELA WEIMER BERGAMIN</t>
  </si>
  <si>
    <t>CARLA IRAIR FERRARI</t>
  </si>
  <si>
    <t>CARLA MONIQUE MARQUES DE ARAUJO 39801850876</t>
  </si>
  <si>
    <t>CARLA REGINA DE LARA PEREIRA</t>
  </si>
  <si>
    <t>CARLA SALVADEGO EIRELI</t>
  </si>
  <si>
    <t>CARLENE ALVES PEREIRA SILVA</t>
  </si>
  <si>
    <t>CARLOS ALEF CALÇADOS</t>
  </si>
  <si>
    <t>CARLOS ARTIGOS ESPORTIVOS LTDA EPP</t>
  </si>
  <si>
    <t>CARLOS DEUSDADO CALCADOS E CONFECCOES LTDA</t>
  </si>
  <si>
    <t>CARLOS EVALDT MODEL</t>
  </si>
  <si>
    <t>CARLOS HENRIQUE PEREIRA DA SILVA - EPP</t>
  </si>
  <si>
    <t>CARLOS RIET VARGAS LANGENEGGER</t>
  </si>
  <si>
    <t>CARMELITA M. BRANDAO RODRIGUES</t>
  </si>
  <si>
    <t>CARMONA BOLSAS E CALCADOS LTDA</t>
  </si>
  <si>
    <t>CAROL GRACE CALCADOS E ACCESSORIOS LTDA</t>
  </si>
  <si>
    <t>CAROLINA COMERCIO DE CALCADOS LTDA</t>
  </si>
  <si>
    <t>CAROLINE TRIVELLATTO EIRELLI - EPP</t>
  </si>
  <si>
    <t>CARROSSEL COMERCIO DE ROUPAS E ACESSORIOS LTDA</t>
  </si>
  <si>
    <t>CASA ARANTES LTDA</t>
  </si>
  <si>
    <t>CASA DA CRIANCA BABY KIDS TEEN LTDA</t>
  </si>
  <si>
    <t>338 H THOMAS E SOUZA REPRESENTAÇÃO COMERCIAL LTDA</t>
  </si>
  <si>
    <t>CASA DA ECONOMIA COMERCIO DE CONFECCOES LTDA</t>
  </si>
  <si>
    <t>CASA DANTAS COMERCIAL DE CALCADOS LTDA - ME</t>
  </si>
  <si>
    <t>CASA DAS VARIEDADES MAGALHAES LTDA</t>
  </si>
  <si>
    <t>CASA DE CALCADOS GONCALVES</t>
  </si>
  <si>
    <t>CASA DE TECIDOS NICODEMO LTDA</t>
  </si>
  <si>
    <t>CASA DOS CALCADOS JUSTUS ALMEIDA LTDA - EPP</t>
  </si>
  <si>
    <t>CASA PARANA LTDA.</t>
  </si>
  <si>
    <t>CASA PEPE DE CALÇADOS LTDA</t>
  </si>
  <si>
    <t>CASA REGINA LTDA</t>
  </si>
  <si>
    <t>CATARIN &amp; MELO LTDA - ME</t>
  </si>
  <si>
    <t>CATARINA S E SILVA</t>
  </si>
  <si>
    <t>CATIA SUELI CANOSSA ME</t>
  </si>
  <si>
    <t>CATICIA APARECIDA RODRIGUES MARIA ME</t>
  </si>
  <si>
    <t>CAUSAR MODAS LTDA</t>
  </si>
  <si>
    <t>CECILIA KIDS EMPREENDIMENTOS LTDA - ME</t>
  </si>
  <si>
    <t>CECINER VESTUARIO LTDA ME</t>
  </si>
  <si>
    <t>CEDEL LTDA.</t>
  </si>
  <si>
    <t>CELIA APARECIDA DE FAVERI CHAMORRO ME</t>
  </si>
  <si>
    <t>CELIA CALCADOS LTDA</t>
  </si>
  <si>
    <t>CELIA CRISTINA DA SILVA COSTA</t>
  </si>
  <si>
    <t>CELIA MARIA CARDOSO A SAIS</t>
  </si>
  <si>
    <t>CELINA DAS GRACAS SILVA ME</t>
  </si>
  <si>
    <t>CELIO CAETANO SCUSEL E CIA LTDA</t>
  </si>
  <si>
    <t>CEMOL-COMERCIO DE VAREJISTA DE CONFECCOES E CALCADOS LTDA-ME</t>
  </si>
  <si>
    <t>CENTER BABY LTDA</t>
  </si>
  <si>
    <t>CENTRAL COMERCIO DE CALCADOS E ACESSORIOS LTDA</t>
  </si>
  <si>
    <t>CENTRAL SPORT CALCADOS LTDA</t>
  </si>
  <si>
    <t>CENTRO COMERCIAL CORREIA PINTO LTDA</t>
  </si>
  <si>
    <t>CENTRO COMERCIAL RENATA VITORIA LTDA</t>
  </si>
  <si>
    <t>CERQUEIRA &amp; PRIMO LTDA</t>
  </si>
  <si>
    <t>CESAR ADRIANO GOMES DA SILVA 22634565895</t>
  </si>
  <si>
    <t>CG DE SOUZA COMERCIO DE ROUPAS E BAZAR</t>
  </si>
  <si>
    <t>CGM - TECIDOS E CONFECCOES LTDA</t>
  </si>
  <si>
    <t>CGR ARCO-IRIS CONFECCOES E CALCADOS LTDA</t>
  </si>
  <si>
    <t>CHAIANE DA SILVA VALMORBIDA 04457068993</t>
  </si>
  <si>
    <t>CHAMORRO E CHAMORRO FILHO LTDA EPP</t>
  </si>
  <si>
    <t>CHAO DE ESTRELAS LTDA</t>
  </si>
  <si>
    <t>CHARLES BRAGANCA NOGUEIRA JUNIOR</t>
  </si>
  <si>
    <t>CHARME CALCADOS LTDA</t>
  </si>
  <si>
    <t>CHARME MODAS LTDA</t>
  </si>
  <si>
    <t>CHEIRINHO MAGAZINE LTDA</t>
  </si>
  <si>
    <t>CHIC CALCADOS DE TAGUAI LTDA-ME</t>
  </si>
  <si>
    <t>CHICO FARELO CALCADOS E CONFECCOES LTDA</t>
  </si>
  <si>
    <t>CHIK CALCADOS DE QUATA LTDA.</t>
  </si>
  <si>
    <t>CHIMENE L MACHADO MELO</t>
  </si>
  <si>
    <t>CHINELARIA PARQUE LTDA</t>
  </si>
  <si>
    <t>CHINELARIA PRIME CALCADOS LTDA</t>
  </si>
  <si>
    <t>CHIRLANE CORDEIRO DA ROCHA MENDES EIRELI</t>
  </si>
  <si>
    <t>CIA DO CALCADO ACESSORIOS CONFECCOES E PRESENTES LTDA</t>
  </si>
  <si>
    <t>CICEMAR COMERCIO DE CALCADOS E CONFECCOES LTDA.</t>
  </si>
  <si>
    <t>CICERA FERNANDA DE SOUZA SILVA 05441640596</t>
  </si>
  <si>
    <t>CICERO CARNEIRO NETO</t>
  </si>
  <si>
    <t>CICERO ZIFIRINO DOS SANTOS ME</t>
  </si>
  <si>
    <t>CIDENI ALVES DE ARAUJO 78067049149</t>
  </si>
  <si>
    <t>CINDERELA CALCADOS TUPA LTDA EPP</t>
  </si>
  <si>
    <t>CINDERELA MODAS E CALCADOS LTDA</t>
  </si>
  <si>
    <t>CINTIA APARECIDA BRANDAO</t>
  </si>
  <si>
    <t>CINTIA MARIA ALVES FACUNDO</t>
  </si>
  <si>
    <t>CLAJU-ARTIGOS DO VESTUARIO LTDA</t>
  </si>
  <si>
    <t>CLARICE PECINATO  ME</t>
  </si>
  <si>
    <t>CLARINANDA COM DE CONFECCOES LTDA</t>
  </si>
  <si>
    <t>CLARISSE FERRIGATI BATALINI - ME</t>
  </si>
  <si>
    <t>CLASSICO CALCADOS LTDA</t>
  </si>
  <si>
    <t>CLAUDENEI DUTRA DAS NEVES</t>
  </si>
  <si>
    <t>CLAUDENOR JOSSE DE MATOS</t>
  </si>
  <si>
    <t>CLAUDIA APARECIDA NUNES SOUSA ME</t>
  </si>
  <si>
    <t>CLAUDIA CALEGARI MARAFON</t>
  </si>
  <si>
    <t>CLAUDIA DE CARVALHO AGUIAR LTDA</t>
  </si>
  <si>
    <t>CLAUDIA HELENA PAULINO</t>
  </si>
  <si>
    <t>CLAUDIA HERNANDEZ SANTINATO BASSIQUETE - ME</t>
  </si>
  <si>
    <t>CLAUDIA MARA SOSTER COMERCIO DE CONFECCOES</t>
  </si>
  <si>
    <t>CLAUDIA SPINI ARANTES SILVA ME-</t>
  </si>
  <si>
    <t>CLAUDIA ZANETTI CALIANI</t>
  </si>
  <si>
    <t>CLAUDIO CARDOSO TOLFO ME</t>
  </si>
  <si>
    <t>CLAUDIO GERALDO DIAS CPF 009.643.836-32</t>
  </si>
  <si>
    <t>CLAUDIO SANTOS DA FONSECA ME</t>
  </si>
  <si>
    <t>CLAUDIONOR SANTOS BISPO-01958406589</t>
  </si>
  <si>
    <t>CLAYMAR CONFECCOES LTDA</t>
  </si>
  <si>
    <t>CLEBER HENRIQUE DA SILVA CALCADOS</t>
  </si>
  <si>
    <t>CLECI BERNARDO BOHN CHAPOVAL</t>
  </si>
  <si>
    <t>CLECI MARIA KRINDGES MUNZLINGER</t>
  </si>
  <si>
    <t>CLEICE CRISTIANE DE SOUZA RODRIGUES</t>
  </si>
  <si>
    <t>CLEIDE FRANCISCA DE SOUSA SILVA</t>
  </si>
  <si>
    <t>CLENI FERNANDES DE OLIVEIRA ME</t>
  </si>
  <si>
    <t>CLENIA COIMBRA SOARES GUSMAO ME</t>
  </si>
  <si>
    <t>CLENICE GEFFER SALVALAIO</t>
  </si>
  <si>
    <t>CLEONICE DA CONCEICAO 01415393303</t>
  </si>
  <si>
    <t>CLEUMA DE JESUS VIEIRA OLIVEIRA ME</t>
  </si>
  <si>
    <t>CLEUMAR SILVA DO NASCIMENTO - ME</t>
  </si>
  <si>
    <t>CLEUZANI CECATTO MASCARELLO 98203231004</t>
  </si>
  <si>
    <t>CLEVIANE PAULA POWROSNEK REBEICA</t>
  </si>
  <si>
    <t>CLIQUE E CALCE COMERCIO LTDA</t>
  </si>
  <si>
    <t>CLUB KIDS INDÚSTRIA E COMÉRCIO DE CONFECÇÕES LTDA</t>
  </si>
  <si>
    <t>CLUBE LOU ACESSORIOS PRA VESTUARIO LTDA</t>
  </si>
  <si>
    <t>COFEL COML DE FERRAGENS CRUZALMENSE LTDA</t>
  </si>
  <si>
    <t>COLOGI E PRAZERES LTDA</t>
  </si>
  <si>
    <t>COM CONF LA POPINA LTDA</t>
  </si>
  <si>
    <t>COM DE CONF E CALC ARNDT</t>
  </si>
  <si>
    <t>COM DE CONF MICHELS LTDA</t>
  </si>
  <si>
    <t>COM DE CONFEC VACARI LTDA</t>
  </si>
  <si>
    <t>COMERCIAL  DE  TECIDO  DE  RESENDE  LTDA</t>
  </si>
  <si>
    <t>COMERCIAL 3 IRMAS LTDA</t>
  </si>
  <si>
    <t>COMERCIAL ALO ALO BITURUNA LTDA</t>
  </si>
  <si>
    <t>COMERCIAL BR 381 DE CALCADOS LTDA</t>
  </si>
  <si>
    <t>COMERCIAL BRIZOT</t>
  </si>
  <si>
    <t>COMERCIAL DA FABRICAS DE CALCADOS LTDA</t>
  </si>
  <si>
    <t>COMERCIAL DE CALCADOS ANCORA LTDA</t>
  </si>
  <si>
    <t>COMERCIAL DE CALCADOS BOM CONSELHO LTDA</t>
  </si>
  <si>
    <t>COMERCIAL DE CALCADOS CINDERELA LTDA-ME</t>
  </si>
  <si>
    <t>COMERCIAL DE CALCADOS RC BARBOSA LTDA</t>
  </si>
  <si>
    <t>COMERCIAL DE CALCADOS RENATA DE PRUDENTE LTDA</t>
  </si>
  <si>
    <t>COMERCIAL DE CEREAIS BLUM LTDA</t>
  </si>
  <si>
    <t>COMERCIAL DE CONF GEMEU LTDA ME</t>
  </si>
  <si>
    <t>COMERCIAL DE CONFECCOES AMAZONAS LTDA.</t>
  </si>
  <si>
    <t>COMERCIAL DE TECIDOS TAVARES LTDA</t>
  </si>
  <si>
    <t>COMERCIAL DE TECIDOS XAVIER LTDA.</t>
  </si>
  <si>
    <t>COMERCIAL FARIAS DE CALCADOS E ACESSORIOS LTDA</t>
  </si>
  <si>
    <t>COMERCIAL JORGE RODRIGUES LTDA</t>
  </si>
  <si>
    <t>COMERCIAL JSI LTDA</t>
  </si>
  <si>
    <t>COMERCIAL KAMINSKI</t>
  </si>
  <si>
    <t>COMERCIAL KEKEI LTDA</t>
  </si>
  <si>
    <t>COMERCIAL KHALILI LTDA</t>
  </si>
  <si>
    <t>COMERCIAL LAVIPE LTDA</t>
  </si>
  <si>
    <t>COMERCIAL M DE ARAGUARI LTDA - ME</t>
  </si>
  <si>
    <t>COMERCIAL OBADIAS LTDA</t>
  </si>
  <si>
    <t>COMERCIAL OLIVEIRA MARTINS</t>
  </si>
  <si>
    <t>COMERCIAL PASCHOAL MACATUBA LTDA-EPP</t>
  </si>
  <si>
    <t>COMERCIAL PASTORE E SIQUEIRA LTDA ME</t>
  </si>
  <si>
    <t>COMERCIAL SAO LUIZ LTDA.</t>
  </si>
  <si>
    <t>COMERCIAL SERTA LTDA</t>
  </si>
  <si>
    <t>COMERCIAL SOSSAI LTDA</t>
  </si>
  <si>
    <t>COMERCIAL SOUZA RODRIGUES LTDA</t>
  </si>
  <si>
    <t>COMERCIO DE CAL E CONF DA NORA LTDA</t>
  </si>
  <si>
    <t>COMERCIO DE CALCADOS A PRINCIPAL LTDA</t>
  </si>
  <si>
    <t>COMERCIO DE CALCADOS E ACESSORIOS JOAO E MARIA LTDA</t>
  </si>
  <si>
    <t>COMERCIO DE CALCADOS FREITAS LTDA</t>
  </si>
  <si>
    <t>COMERCIO DE CALCADOS J. S. LTDA</t>
  </si>
  <si>
    <t>COMERCIO DE CALCADOS LTDA</t>
  </si>
  <si>
    <t>COMERCIO DE CALCADOS NOSSA SENHORA DA GLORIA LTDA</t>
  </si>
  <si>
    <t>COMERCIO DE CALCADOS ROLOFF LTDA</t>
  </si>
  <si>
    <t>COMERCIO DE CALCADOS SOUZA LTDA</t>
  </si>
  <si>
    <t>COMERCIO DE CALÇADOS AMIRA LTDA</t>
  </si>
  <si>
    <t>COMERCIO DE CONFECCOES HACALPI LTDA</t>
  </si>
  <si>
    <t>COMERCIO DE CONFECCOES LINDY LTDA</t>
  </si>
  <si>
    <t>COMERCIO DE CONFECCOES REGIS LTDA</t>
  </si>
  <si>
    <t>COMERCIO DE CONFECCOES TEIXEIRA SOARES LTDA</t>
  </si>
  <si>
    <t>COMERCIO DE CONFECÇOES LA POPITA MODAS LTDA-ME</t>
  </si>
  <si>
    <t>COMERCIO DE MÓVEIS SANTA FE LTDA EPP</t>
  </si>
  <si>
    <t>COMERCIO DE ROUPAS MATSUI LTDA.</t>
  </si>
  <si>
    <t>COMERCIO DE TECIDOS OURO VERDE LTDA</t>
  </si>
  <si>
    <t>COMPRE MAIS MAGAZINE LTDA - ME</t>
  </si>
  <si>
    <t>COMÉRCIO DE CALÇADOS VÁRZEA BRUMADO LTDA</t>
  </si>
  <si>
    <t>CONCEICAO MAGARO CARRENO COMERCIO ROUPAS LTDA</t>
  </si>
  <si>
    <t>CONCEITO CALÇADOS LTDA</t>
  </si>
  <si>
    <t>CONCEITO MODA LTDA</t>
  </si>
  <si>
    <t>CONCEIÇÃO APARECIDA MENDES ME</t>
  </si>
  <si>
    <t>CONFEC IRMAOS PERIN LTDA</t>
  </si>
  <si>
    <t>CONFECCOES BIOLCHI LTDA ME</t>
  </si>
  <si>
    <t>CONFECCOES E BAZAR BOM PRECO LTDA</t>
  </si>
  <si>
    <t>CONFECCOES E CALCADOS FRANCESCHI LTDA</t>
  </si>
  <si>
    <t>CONFECCOES E ENXOVAIS HALLIN LTDA</t>
  </si>
  <si>
    <t>CONFECCOES EDRIANE LTDA</t>
  </si>
  <si>
    <t>CONFECCOES GARTAU LTDA ME</t>
  </si>
  <si>
    <t>CONFECCOES JAVANESA LTDA.</t>
  </si>
  <si>
    <t>CONFECCOES JULIANA LTDA EPP</t>
  </si>
  <si>
    <t>CONFECCOES NAZARI LTDA ME</t>
  </si>
  <si>
    <t>CONFECCOES P Z LTDA ME</t>
  </si>
  <si>
    <t>CONFECOES GOBBI</t>
  </si>
  <si>
    <t>CONFECÇÕES E CALÇADOS FABIO &amp; JUNIOR LTDA - EPP</t>
  </si>
  <si>
    <t>CONFECÇÕES E COMÉRCIO DIAMANTINA LTDA</t>
  </si>
  <si>
    <t>CONFECÇÕES M.BABY LTDA EPP</t>
  </si>
  <si>
    <t>CONFIANCA CALCADOS E CONFECCOES LTDA</t>
  </si>
  <si>
    <t>CONFORT SHOES COMERCIO DE CALCADOS LTDA</t>
  </si>
  <si>
    <t>CONGREGACAO CRISTA NO BRASIL</t>
  </si>
  <si>
    <t>CONSTANCIO E PALLASSINI CALCADOS E ACESS.LTDA</t>
  </si>
  <si>
    <t>CONSTANTINOS LIBONI COUGIAS - ME</t>
  </si>
  <si>
    <t>CONSTRUCOES LM LTDA</t>
  </si>
  <si>
    <t>CONTACTO PRIMAZIA EM MODAS LTDA</t>
  </si>
  <si>
    <t>COOPER - COMERCIO DE CALCADOS, CONFECCOES E ACESSORIOS LTDA</t>
  </si>
  <si>
    <t>COOPERAT.DE CONSUMO DE INUBIA PAULI</t>
  </si>
  <si>
    <t>CORDEIRO CALCADOS LTDA</t>
  </si>
  <si>
    <t>CORDEIRO E LOPES SOROCABA LTDA ME</t>
  </si>
  <si>
    <t>CORUJAO COMERCIAL LTDA ME</t>
  </si>
  <si>
    <t>COSTA E SERRA LTDA</t>
  </si>
  <si>
    <t>COSTA E TAVARES LTDA.</t>
  </si>
  <si>
    <t>COUTO MARCONDES &amp; MARCONDES LTDA</t>
  </si>
  <si>
    <t>CRIACOES LEITE E LAUAR LTDA</t>
  </si>
  <si>
    <t>CRIATIVA MODAS LTDA</t>
  </si>
  <si>
    <t>CRISTAL COM. CALCADOS E CONFECCOES LTDA</t>
  </si>
  <si>
    <t>CRISTIANE DOS SANTOS</t>
  </si>
  <si>
    <t>CRISTINA PIRES DE OLIVEIRA E CIA LTDA ME</t>
  </si>
  <si>
    <t>CRISTINA VIEIRA DE MORAES GONZAGA 00616721145</t>
  </si>
  <si>
    <t>CRN COM DE ROUPAS E CALÇADOS LTDA ME</t>
  </si>
  <si>
    <t>CUCA BABY &amp; KIDS LTDA</t>
  </si>
  <si>
    <t>CURIONI &amp; CARDOSO LTDA ME</t>
  </si>
  <si>
    <t>CUSTODIO &amp; DIAS LTDA - ME</t>
  </si>
  <si>
    <t>CYMIRAMIS GARRIDO OLIVEIRA</t>
  </si>
  <si>
    <t>D &amp; L CONFECÇÕES LTDA</t>
  </si>
  <si>
    <t>D A SHOES CALCADOS E ACESSORIOS LTDA</t>
  </si>
  <si>
    <t>D AROIO CALCADOS LTDA</t>
  </si>
  <si>
    <t>D F COELHO</t>
  </si>
  <si>
    <t>D FRANCISCA E FILHOS CALÇADOS</t>
  </si>
  <si>
    <t>D KIDS MODA INFANTIL LTDA</t>
  </si>
  <si>
    <t>D L ALVES  F C MOREIRA LTDA</t>
  </si>
  <si>
    <t>D M A LANG LTDA</t>
  </si>
  <si>
    <t>D N CARDOZO CONFECCOES</t>
  </si>
  <si>
    <t>D PANIZ ARTIGOS DO VESTUARIO LTDA</t>
  </si>
  <si>
    <t>D POLICE COMERCIO E INDUSTRIA DE ARTIGOS LTDA</t>
  </si>
  <si>
    <t>D TERRA CALCADOS LTDA - ME</t>
  </si>
  <si>
    <t>D. SANTANA SILVA</t>
  </si>
  <si>
    <t>D.J. CALCADOS LTDA-ME</t>
  </si>
  <si>
    <t>D.M.H. DOS SANTOS ME</t>
  </si>
  <si>
    <t>D.S. DE FREITAS  COMERCIO EPP</t>
  </si>
  <si>
    <t>D4M SPORTS LTDA</t>
  </si>
  <si>
    <t>DA SOLER E DA SOLER LTDA</t>
  </si>
  <si>
    <t>DADALAIT COMERCIAL LTDA</t>
  </si>
  <si>
    <t>DAIANA LORENZON MARCHEZAN</t>
  </si>
  <si>
    <t>DALA MORE IMPORTACAO E EXPORT DE CALCADOS E CONF LTDA</t>
  </si>
  <si>
    <t>DALOMA CALCADOS LTDA</t>
  </si>
  <si>
    <t>DALTON LUIZ SOARES PINTO</t>
  </si>
  <si>
    <t>DALVA DA SILVA MODANESE</t>
  </si>
  <si>
    <t>DAMAS E DAMAS LTDA</t>
  </si>
  <si>
    <t>DAMIANA S ALVES REIS ME</t>
  </si>
  <si>
    <t>DANIEL CESAR DE FARIA</t>
  </si>
  <si>
    <t>DANIEL HENRIQUE DE SOUZA</t>
  </si>
  <si>
    <t>DANIELA CAETANO DE MELO ME</t>
  </si>
  <si>
    <t>DANIELA DE CARVALHO PARREIRA 03759208118</t>
  </si>
  <si>
    <t>DANIELA PELATTI ARAUJO CALCADOS E VESTUARIO LTDA</t>
  </si>
  <si>
    <t>DANIELA S DE OLIVEIRA</t>
  </si>
  <si>
    <t>DANIELE COSTA FERREIRA 37343121839</t>
  </si>
  <si>
    <t>DANIELI RATKI ME</t>
  </si>
  <si>
    <t>DANIELLE LOPES DOS SANTOS 08779140440</t>
  </si>
  <si>
    <t>DANNY FANNY LTDA</t>
  </si>
  <si>
    <t>DANUBIA PEDREIRA SANTOS VIAJANTE 03479778550</t>
  </si>
  <si>
    <t>DAPPER CALCADOS E CONFECÇOES LTDA ME</t>
  </si>
  <si>
    <t>DARLENE MELO WENCESLAU 35552324870</t>
  </si>
  <si>
    <t>DASJU COMERCIO DE CALCADOS LTDA</t>
  </si>
  <si>
    <t>DASLI COMERCIO DE CALCADOS LTDA</t>
  </si>
  <si>
    <t>DAVI RIGONATTO</t>
  </si>
  <si>
    <t>DAVID E SANTOS LTDA</t>
  </si>
  <si>
    <t>DAVID FRANCO SALLES &amp; CIA LTDA ME</t>
  </si>
  <si>
    <t>DAVID RAFAEL FERREIRA</t>
  </si>
  <si>
    <t>DAVID STEFANO PATRONI ME</t>
  </si>
  <si>
    <t>DAVISON RAUBER ANTONINI</t>
  </si>
  <si>
    <t>DAYANE RAMOS DOS SANTOS NICOLAU 37242216818</t>
  </si>
  <si>
    <t>DB ENCOMENDAS COMERCIAL LTDA</t>
  </si>
  <si>
    <t>DE CESARO COM DE CONFEC LTDA</t>
  </si>
  <si>
    <t>DE CORACAO SHOP LTDA</t>
  </si>
  <si>
    <t>DE PAULA ARMARINHOS E VARIEDADES LTDA</t>
  </si>
  <si>
    <t>DEBORA CRISTINA DE OMENA FERNANDES</t>
  </si>
  <si>
    <t>DEBORA RAMOS DE MORAIS 09723492601</t>
  </si>
  <si>
    <t>DEBORAH JULIANI DE SOUZA CALCADOS</t>
  </si>
  <si>
    <t>DEISI MARIA RATZLAFF</t>
  </si>
  <si>
    <t>DELCI ALVES PINHEIRO ME</t>
  </si>
  <si>
    <t>DELCIO OSCAR MAGALHAES</t>
  </si>
  <si>
    <t>DELI CALCADOS LTDA ME</t>
  </si>
  <si>
    <t>DELSIDE DE SOUZA SANTOS</t>
  </si>
  <si>
    <t>DEMETRIOS LIBONI COUGIAS - EPP</t>
  </si>
  <si>
    <t>DEMILSON MONTEIRO DA SILVA EIRELI</t>
  </si>
  <si>
    <t>DENILSON FERREIRA CARNEIRO ME</t>
  </si>
  <si>
    <t>DENIS FERNANDO MANZOLI - ME</t>
  </si>
  <si>
    <t>DENISE DE FATIMA MOREIRA DA SILVA LINHARES 08890016930</t>
  </si>
  <si>
    <t>DENISE ZANIN DE ALMEIDA 04091605982</t>
  </si>
  <si>
    <t>DENIVAR TRENTIN &amp; CIA LTDA</t>
  </si>
  <si>
    <t>DEON &amp; MOSCHEN LTDA</t>
  </si>
  <si>
    <t>DERING E BERNARDO LTDA.</t>
  </si>
  <si>
    <t>DERRARA CALCADOS E ACESSORIOS LTDA</t>
  </si>
  <si>
    <t>DETINHA CALCADOS E VESTUARIO LTDA</t>
  </si>
  <si>
    <t>DEUSDETE DE JESUS DE MELO-ME</t>
  </si>
  <si>
    <t>DEUZIMAR DOS SANTOS LIMA</t>
  </si>
  <si>
    <t>DI COURO CALCADOS LTDA ME</t>
  </si>
  <si>
    <t>DI JUJU KIDS MODA INFANTIL E JUVENIL LTDA</t>
  </si>
  <si>
    <t>DIANA MERCIA RAMOS AIRES SOUZA</t>
  </si>
  <si>
    <t>DIAS COMERCIO DE ROUPAS LTDA</t>
  </si>
  <si>
    <t>DIAS E ARAUJO LTDA ME</t>
  </si>
  <si>
    <t>DIEGO PERIN</t>
  </si>
  <si>
    <t>DIGITTAL E ACONCHEGO LTDA</t>
  </si>
  <si>
    <t>DIGOS ONLINE COMERCIO VAREJISTA DE MERCADORIAS LTDA</t>
  </si>
  <si>
    <t>DILMA SOUZA DE OLIVEIRA</t>
  </si>
  <si>
    <t>DILVANIR SILVA PEREIRA</t>
  </si>
  <si>
    <t>DIMAR CALCADOS LTDA</t>
  </si>
  <si>
    <t>DIOGENES AZEVEDO.</t>
  </si>
  <si>
    <t>DIRCE MARIA UEBEL DE OLIVEIRA</t>
  </si>
  <si>
    <t>DIRCE POLLI &amp; CIA LTDA</t>
  </si>
  <si>
    <t>DIRCEU LUIZ SMANIOTTO</t>
  </si>
  <si>
    <t>DIRLEY DIAS BORGES</t>
  </si>
  <si>
    <t>DISTAK CALCADOS LTDA</t>
  </si>
  <si>
    <t>DISTRIBUIDORA DE CALCADOS CENTRAL</t>
  </si>
  <si>
    <t>DISTRIBUIDORA ICAPUI DE CALCADOS LTDA</t>
  </si>
  <si>
    <t>DIULLIA DE SOUZA AMORIM</t>
  </si>
  <si>
    <t>DIVINA MODAS LTDA</t>
  </si>
  <si>
    <t>DIVINA RITA MOREIRA CARNEIRO</t>
  </si>
  <si>
    <t>DKA BABY CONFECCOES LTDA</t>
  </si>
  <si>
    <t>DO RE MI MOD KIDS LTDA</t>
  </si>
  <si>
    <t>DOBE MODA CIRCULAR LTDA</t>
  </si>
  <si>
    <t>DOCE ENCANTO KIDS</t>
  </si>
  <si>
    <t>DOCE KABANA VESTUARIO LTDA</t>
  </si>
  <si>
    <t>DOCE MEL BOUTIQUE COMERCIAL LTDA</t>
  </si>
  <si>
    <t>DOM STORE LTDA</t>
  </si>
  <si>
    <t>DORA BABY E KIDS LTDA ME</t>
  </si>
  <si>
    <t>DORCA BARROS ARAUJO &amp; CIA LTDA ME</t>
  </si>
  <si>
    <t>DORINHA BALSAMO CONFECCOES LTDA - ME</t>
  </si>
  <si>
    <t>DORIS HENSEL</t>
  </si>
  <si>
    <t>DOUGLAS DE OLIVEIRA LIMA 39089050876</t>
  </si>
  <si>
    <t>DOUGLAS GANDOLF LTDA</t>
  </si>
  <si>
    <t>DP CALÇADOS LTDA</t>
  </si>
  <si>
    <t>DQN COMERCIAL LTDA</t>
  </si>
  <si>
    <t>DS COM DE ALIMENTOS E VESTS LTDA</t>
  </si>
  <si>
    <t>DTALLY MODAS LTDA ME</t>
  </si>
  <si>
    <t>DUBBAI CORAGEM SAPATOS E ARTIGOS ESPORTIVOS LTDA</t>
  </si>
  <si>
    <t>DUMAR CALCADOS LTDA ME</t>
  </si>
  <si>
    <t>DUPASSINHO COMERCIAL LTDA</t>
  </si>
  <si>
    <t>DURBAM CUSTODIO CONFECCOES E CALCADOS</t>
  </si>
  <si>
    <t>DYSTACK LTDA</t>
  </si>
  <si>
    <t>DÉBORA DE LIMA PAIVA</t>
  </si>
  <si>
    <t>E BENTO DA SILVA</t>
  </si>
  <si>
    <t>E C B CALCADOS LTDA</t>
  </si>
  <si>
    <t>E C DULSKI VESTUÁRIO E CALÇADOS</t>
  </si>
  <si>
    <t>E DE CARVALHO MACHADO CALCADOS ME</t>
  </si>
  <si>
    <t>E DE SOUZA GALVAO</t>
  </si>
  <si>
    <t>E F GONCALVES CALCADOS EIRELI</t>
  </si>
  <si>
    <t>E F LIMA NETO</t>
  </si>
  <si>
    <t>E FARIAS DE SOUZA ME</t>
  </si>
  <si>
    <t>E K R DE OLIVEIRA LOPES</t>
  </si>
  <si>
    <t>E M COMERCIAL DE CALCADOS LTDA</t>
  </si>
  <si>
    <t>E M OLIVEIRA CALCADOS LTDA</t>
  </si>
  <si>
    <t>E MARIA ALVES COMERCIO DE ROUPAS LTDA</t>
  </si>
  <si>
    <t>E O DA SILVA COMERCIO DE CALCADOS LTDA</t>
  </si>
  <si>
    <t>E P DE SOUZA DOS REIS</t>
  </si>
  <si>
    <t>E P TEIXEIRA SILVA SIMPLES - ME</t>
  </si>
  <si>
    <t>E S GALINDO LTDA</t>
  </si>
  <si>
    <t>E. DE OLIVEIRA MARQUES - CALCADOS ME</t>
  </si>
  <si>
    <t>E. L. COMÉRCIO LTDA</t>
  </si>
  <si>
    <t>E. PAZ TEIXEIRA - ME</t>
  </si>
  <si>
    <t>E.A.LORENSI E CIA LTDA</t>
  </si>
  <si>
    <t>E.F. DE ASSUNÇÃO COMERCIO VAREJISTA DE CALÇADOS</t>
  </si>
  <si>
    <t>E.L. DE ABREU</t>
  </si>
  <si>
    <t>E.R DE BRITO ACACIO</t>
  </si>
  <si>
    <t>E.R.S CALCADOS LTDA</t>
  </si>
  <si>
    <t>EBENEZER COMERCIO DE CALCADOS LTDA</t>
  </si>
  <si>
    <t>EBERTON MARCOS DOS SANTOS</t>
  </si>
  <si>
    <t>ED MODAS LTDA</t>
  </si>
  <si>
    <t>EDELEUSA MARIA ZANOTTO SFOGGIA</t>
  </si>
  <si>
    <t>EDELVANE DE CAMARGO BAGETI</t>
  </si>
  <si>
    <t>EDER ROCHA  ROCHA LTDA</t>
  </si>
  <si>
    <t>EDGAR BENETTI</t>
  </si>
  <si>
    <t>EDIANE GOMES BARBOSA</t>
  </si>
  <si>
    <t>EDILANA FISCHER DE LIMA</t>
  </si>
  <si>
    <t>EDILENE MOREIRA DA SILVA</t>
  </si>
  <si>
    <t>EDIMAR JOSE BARBOSA</t>
  </si>
  <si>
    <t>EDIMILSON F DOS SANTOS - ME</t>
  </si>
  <si>
    <t>EDINALIA SILVA DE BRITO SANTOS ME</t>
  </si>
  <si>
    <t>EDINELMA MARIA SOUSA DE ALMEIDA</t>
  </si>
  <si>
    <t>EDISON DE AGUIAR MACHADO</t>
  </si>
  <si>
    <t>EDITE DE OLIVEIRA COSTA DE RIACHO DE SANTANA - ME</t>
  </si>
  <si>
    <t>EDIVALDO FERNANDES RIBAS - ME</t>
  </si>
  <si>
    <t>EDIVAN B DE SOUZA CONFECCOES ME</t>
  </si>
  <si>
    <t>EDIVANIA LOURIVAL DA SILVA FARIAS- EPP</t>
  </si>
  <si>
    <t>EDLAYN MARIA ASSUNCAO VASCONCELOS TAVARES - ME</t>
  </si>
  <si>
    <t>EDNA DRUDI DE ALMEIDA ME</t>
  </si>
  <si>
    <t>EDNA PIMENTEL DE SOUZA ROCHA</t>
  </si>
  <si>
    <t>EDNA TEREZINHA COAN SOUZA ME</t>
  </si>
  <si>
    <t>EDNEIA A. FERREIRA DE MELO E CIA LTDA</t>
  </si>
  <si>
    <t>EDSON CLAUDIO MENDELSKI</t>
  </si>
  <si>
    <t>EDSON DORNELAS DE ARAUJO</t>
  </si>
  <si>
    <t>EDUARDO B.VISENTAINER E CIA LTDA</t>
  </si>
  <si>
    <t>EDUARDO CASA</t>
  </si>
  <si>
    <t>EDUARDO EL A.SALLUM ME</t>
  </si>
  <si>
    <t>EDUARDO GOMES PEREIRA 05656933601</t>
  </si>
  <si>
    <t>EDUARDO MAGAZINE LTDA.</t>
  </si>
  <si>
    <t>EDUARDO NEVES FARIAS ME</t>
  </si>
  <si>
    <t>EDUARDO NUNES DE LIMA</t>
  </si>
  <si>
    <t>EDUARDO RICARDO FLESCH CALCADOS ME</t>
  </si>
  <si>
    <t>EDVALDO CARLOS TOGNI</t>
  </si>
  <si>
    <t>EDVALDO CEZAR ANDRADE-ME</t>
  </si>
  <si>
    <t>EDVALDO JOSE PEREIRA DOS SANTOS EPP</t>
  </si>
  <si>
    <t>EDVAR XAVIER DA COSTA ME</t>
  </si>
  <si>
    <t>ELAINE BEATRIZ DE SORDI</t>
  </si>
  <si>
    <t>ELAINE CRISTINA ROCHA</t>
  </si>
  <si>
    <t>ELAINE OLIVEIRA RODRIGO COSTA CONFECCOES ME</t>
  </si>
  <si>
    <t>ELCIRA ESKELSEN</t>
  </si>
  <si>
    <t>ELDA AZEVEDO GUERRA</t>
  </si>
  <si>
    <t>ELEGANCE CALCADOS LTDA</t>
  </si>
  <si>
    <t>ELENICE ALVES DE ARAUJO 92554644187</t>
  </si>
  <si>
    <t>ELI &amp; HOFFMANN LTDA</t>
  </si>
  <si>
    <t>ELIANA KIDS MODA INFANTIL LTDA. ME</t>
  </si>
  <si>
    <t>ELIANA LEITE RIBEIRO CALCADOS ME</t>
  </si>
  <si>
    <t>ELIANA SILVA B. LACERDA ME</t>
  </si>
  <si>
    <t>ELIANE DE OLIVEIRA ARAUJO</t>
  </si>
  <si>
    <t>ELIANE ERECELINE MARTINS DA GLORIA</t>
  </si>
  <si>
    <t>ELIANE ZACARIAS AUAD-ME</t>
  </si>
  <si>
    <t>ELIANE ZILLI CRUZ</t>
  </si>
  <si>
    <t>ELIAS BENTO RODRIGUES ME</t>
  </si>
  <si>
    <t>ELIDA CALCADOS LTDA ME</t>
  </si>
  <si>
    <t>ELIETE IBARRA GONSALVES</t>
  </si>
  <si>
    <t>ELIETE L DA SILVA</t>
  </si>
  <si>
    <t>ELISA RUPPENTHAL - ME</t>
  </si>
  <si>
    <t>ELISAMARA MOURA LTDA</t>
  </si>
  <si>
    <t>ELISANGELA DE F DE A REDONDO ME</t>
  </si>
  <si>
    <t>ELISETE MADEIRA CARVALHO - ME</t>
  </si>
  <si>
    <t>ELISOMAR GEMAQUE DE CASTRO 44988516253</t>
  </si>
  <si>
    <t>ELITE DOS PES LTDA</t>
  </si>
  <si>
    <t>ELIU CALCADOS LTDA - ME</t>
  </si>
  <si>
    <t>ELIZANGELA SOARES CARNEIRO MACHADO</t>
  </si>
  <si>
    <t>ELIZETE SCHEMEKEL ME</t>
  </si>
  <si>
    <t>ELLEGANCE MODAS LTDA</t>
  </si>
  <si>
    <t>ELLEN C A TURCI E CIA LTDA</t>
  </si>
  <si>
    <t>ELMA M B DA FONSECA</t>
  </si>
  <si>
    <t>ELO CALCADOS LTDA</t>
  </si>
  <si>
    <t>ELOY CONFECCOES LTDA. - ME</t>
  </si>
  <si>
    <t>ELSON MARCOS OLIVEIRA CIA LTDA</t>
  </si>
  <si>
    <t>ELTON AQUILAS</t>
  </si>
  <si>
    <t>ELTON JONES SILVA GONCALVES 06102843126</t>
  </si>
  <si>
    <t>ELVIS THIAGO HOLANDA DOS SANTOS ME</t>
  </si>
  <si>
    <t>ELZA ARANTES</t>
  </si>
  <si>
    <t>ELZA HABOLAD TUSSI</t>
  </si>
  <si>
    <t>ELZA SILVA ROCHA LEITE</t>
  </si>
  <si>
    <t>EMANOEL DOMINGOS GUIMARAES - ME</t>
  </si>
  <si>
    <t>EMERSON MARQUEZ</t>
  </si>
  <si>
    <t>EMERSON SOUSA CAVALCANTE</t>
  </si>
  <si>
    <t>EMILIA AKEMI HAYASHI</t>
  </si>
  <si>
    <t>EMILIA COMERCIO CONFECCOES CALCADOS LTDA</t>
  </si>
  <si>
    <t>EMILIA SARAIVA DE MATOS DA CRUZ</t>
  </si>
  <si>
    <t>EMPORIO MODA LTDA</t>
  </si>
  <si>
    <t>ENCANTO CALCADOS E ACESSORIOS INFANTIS LTDA</t>
  </si>
  <si>
    <t>ENCANTO CONFECCOES LTDA</t>
  </si>
  <si>
    <t>ENCANTO KIDS LTDA</t>
  </si>
  <si>
    <t>ENERINA BISPO FRANCISCO DE SOUSA 006.516.511-07</t>
  </si>
  <si>
    <t>ENXOVAIS &amp; CIA LTDA</t>
  </si>
  <si>
    <t>ERCA DE QUADROS DA SILVA ME</t>
  </si>
  <si>
    <t>ERCI MARIN STEFFENS LTDA</t>
  </si>
  <si>
    <t>ERIC CAVALCANTE DE ALMEIDA</t>
  </si>
  <si>
    <t>ERICA GONCALVES DE SANTANA ME</t>
  </si>
  <si>
    <t>ERICO DE OLIVEIRA ZANCHETTA 02148393030</t>
  </si>
  <si>
    <t>ERLEIS ROBERTO SAMPAIO ME</t>
  </si>
  <si>
    <t>ERNESTO GUIMARES &amp; FILHOS LTDA</t>
  </si>
  <si>
    <t>ESPACO DA MODA VESTUARIOS LTDA</t>
  </si>
  <si>
    <t>ESPACO VIP ARTIGOS DO VESTUARIO LTDA ME</t>
  </si>
  <si>
    <t>ESPORTE SHOW EIRELI</t>
  </si>
  <si>
    <t>ESPORTE VALOTA CALCADOS LTDA</t>
  </si>
  <si>
    <t>ESTER BEZERRA DA SILVA 06449036354</t>
  </si>
  <si>
    <t>ESTER M G ZANINI</t>
  </si>
  <si>
    <t>ETEVALDO MARQUES DE OLIVEIRA-ME.</t>
  </si>
  <si>
    <t>ETIENE INEU BASSAN</t>
  </si>
  <si>
    <t>EUCLIDES ALVES DE SOUZA CALCADOS</t>
  </si>
  <si>
    <t>EUCLIDES JOSE CAMPOS</t>
  </si>
  <si>
    <t>EUGENIA MARIA DE REZENDE</t>
  </si>
  <si>
    <t>EUTIAS COMERCIO DE CALCADOS LTDA - EPP</t>
  </si>
  <si>
    <t>EUZI FURTADO ALVES</t>
  </si>
  <si>
    <t>EVA CRIZEL DOS SANTOS &amp; CIA LTDA</t>
  </si>
  <si>
    <t>EVA LÚCIA M GUTERRES</t>
  </si>
  <si>
    <t>EVANE HANSEL</t>
  </si>
  <si>
    <t>EVANEIDE DOS SANTOS SILVA CARVALHO EIRELI</t>
  </si>
  <si>
    <t>EVELEN CALCADOS LTDA - ME</t>
  </si>
  <si>
    <t>EVELTON JAIR SCHMITT</t>
  </si>
  <si>
    <t>EVERALDO DE MELO LIMA</t>
  </si>
  <si>
    <t>EVERALDO KOVALSKI</t>
  </si>
  <si>
    <t>EVERALDO VIANA MOTENEGRO</t>
  </si>
  <si>
    <t>EVERTON LUCAS PUTTI LTDA</t>
  </si>
  <si>
    <t>EVOLUTION ECOMMERCE LTDA</t>
  </si>
  <si>
    <t>EXCLUSIVA CHINELOS LTDA</t>
  </si>
  <si>
    <t>EXCLUSIVO CALCADOS LTDA EPP</t>
  </si>
  <si>
    <t>EXPRESSAO CALCADOS LTDA.</t>
  </si>
  <si>
    <t>F &amp; C CALÇADOS DE PADUA LTDA</t>
  </si>
  <si>
    <t>F C VOTTRI  LTDA</t>
  </si>
  <si>
    <t>F DAS C MATOS JUNIOR</t>
  </si>
  <si>
    <t>F DAS CHAGAS ALMEIDA VESTUARIO ME</t>
  </si>
  <si>
    <t>F J PEREIRA DE SOUSA</t>
  </si>
  <si>
    <t>F K E MODA INFANTIL LTDA</t>
  </si>
  <si>
    <t>F R CHAVES CHAGAS</t>
  </si>
  <si>
    <t>F S BEZERRA ARAUJO</t>
  </si>
  <si>
    <t>F W DAMASCENO LUCAS</t>
  </si>
  <si>
    <t>F. A. OLIVEIRA COMERCIO DE ROUPAS LTDA - EPP</t>
  </si>
  <si>
    <t>F. ANTONIO DE CARVALHO -ME</t>
  </si>
  <si>
    <t>F. G. A. CAMINHA e CIA LTDA - ME</t>
  </si>
  <si>
    <t>F. J. CALCADOS E ACESSORIOS LTDA</t>
  </si>
  <si>
    <t>F. M. V. COMERCIO DE CALCADOS LTDA</t>
  </si>
  <si>
    <t>F. W. COMERCIO DE CALCADOS LTDA.</t>
  </si>
  <si>
    <t>F.C. DE ARAUJO</t>
  </si>
  <si>
    <t>F.I. CALCADOS LTDA</t>
  </si>
  <si>
    <t>F.J DE ALMEIDA NETO-ME</t>
  </si>
  <si>
    <t>FABIANA BELLA FASCHION LTDA - ME</t>
  </si>
  <si>
    <t>FABIANA CALÇADOS LTDA</t>
  </si>
  <si>
    <t>FABIANA GUIMARAES DIAS</t>
  </si>
  <si>
    <t>FABIANA NASCIMBEM ANTUNES 32037804881</t>
  </si>
  <si>
    <t>FABIANE CHAVES KEPLIN</t>
  </si>
  <si>
    <t>FABIANO BARBOZA GOMES</t>
  </si>
  <si>
    <t>FABIANO SIMEONI</t>
  </si>
  <si>
    <t>FABIO SCUSSIATTO &amp; CIA LTDA</t>
  </si>
  <si>
    <t>FABIOLA MODA E ESTILO LTDA</t>
  </si>
  <si>
    <t>FABRICIO MENDES FERREIRA</t>
  </si>
  <si>
    <t>FADA MADRINHA KIDS MODA INFANTIL LTDA</t>
  </si>
  <si>
    <t>FARIAS CALCADOS LTDA.</t>
  </si>
  <si>
    <t>FASHION CALCADOS LTDA</t>
  </si>
  <si>
    <t>FATIMA M. ANZOLIM</t>
  </si>
  <si>
    <t>FATIMA PAIVA DE MELO</t>
  </si>
  <si>
    <t>FEDERHEN CALÇADOS LTDA</t>
  </si>
  <si>
    <t>FEIRAO CALCADOS LTDA</t>
  </si>
  <si>
    <t>FEIRAO DOS CALCADOS EIRELI MR</t>
  </si>
  <si>
    <t>FELIPE FERREIRA CALCADOS E ACESSORIOS LTDA</t>
  </si>
  <si>
    <t>FELIPE KAZUTO MENDES UTINO</t>
  </si>
  <si>
    <t>FENIX CALÇADOS E ROUPAS LTDA</t>
  </si>
  <si>
    <t>FENIX CONFECCOES CAARAPO LTDA</t>
  </si>
  <si>
    <t>FENIX MAGAZINE CONFECCOES E CALCADOS LTDA</t>
  </si>
  <si>
    <t>FERJU INDUSTRIA E COM DO VESTUARIO LTDA</t>
  </si>
  <si>
    <t>FERNANDA CEDRO DE SOUZA LTDA</t>
  </si>
  <si>
    <t>FERNANDES &amp; GAIST LTDA</t>
  </si>
  <si>
    <t>FERNANDES E SOUSA CALCADOS LTDA ME</t>
  </si>
  <si>
    <t>FERNANDES JARDIM CALCADOS LTDA</t>
  </si>
  <si>
    <t>FERNANDES STORE LTDA</t>
  </si>
  <si>
    <t>FERNANDO HENRIQUE DA SILVA COSTA 38370683827</t>
  </si>
  <si>
    <t>FERNANDO MONSERRAT GRECCO EPP</t>
  </si>
  <si>
    <t>FERREIRA &amp; MELLO LTDA ME</t>
  </si>
  <si>
    <t>FINAMOR BABY COM VAR DE ROUPAS ME LTDA</t>
  </si>
  <si>
    <t>FLAVEL CONFECCOES LTDA</t>
  </si>
  <si>
    <t>FLAVIA MARA GARCIA DE OLIVEIRA LAMY 07708706602</t>
  </si>
  <si>
    <t>FLAVIA SANTOS DE LIMA</t>
  </si>
  <si>
    <t>FLAVIANE FOCHESATO</t>
  </si>
  <si>
    <t>FLAVIANO TAVARES DE OLIVEIRA ME</t>
  </si>
  <si>
    <t>FLORISBELO CAMPOS VERDE JUNIOR-ME</t>
  </si>
  <si>
    <t>FONSECA LIMA CALCADOS LTDA</t>
  </si>
  <si>
    <t>FORTALEZA COMERCIO DE ROUPAS LTDA</t>
  </si>
  <si>
    <t>FP BABY LTDA</t>
  </si>
  <si>
    <t>FRANCA MATTOS &amp; CIA LTDA</t>
  </si>
  <si>
    <t>FRANCIELI CARINE BUSS LTDA</t>
  </si>
  <si>
    <t>FRANCIELI GAERTNER</t>
  </si>
  <si>
    <t>FRANCIELI K CARDOSO ME</t>
  </si>
  <si>
    <t>FRANCIS PAULO SARTORATO LOPES-ME</t>
  </si>
  <si>
    <t>FRANCISCA ANTÔNIA XIMENES ME</t>
  </si>
  <si>
    <t>FRANCISCA DAS CHAGAS DA SILVA LIMA</t>
  </si>
  <si>
    <t>FRANCISCA FELICIA COELHO FONTES-MEE.</t>
  </si>
  <si>
    <t>FRANCISCA GOMES DE OLIVEIRA 07528811750</t>
  </si>
  <si>
    <t>FRANCISCA IRACEMA DE MORAIS</t>
  </si>
  <si>
    <t>FRANCISCO GRADEWALL DE ARAUJO ME</t>
  </si>
  <si>
    <t>FRANCISCO HERMES DE SOUSA BOSON BENVINDO ME</t>
  </si>
  <si>
    <t>FRANCISCO INACIO PINHEIRO &amp; FILHO LTDA.</t>
  </si>
  <si>
    <t>FRANCISCO JOSE DE OLIVEIRA</t>
  </si>
  <si>
    <t>FRANCISCO MORALES E CIA LTDA</t>
  </si>
  <si>
    <t>FRANCISCO VANDERLEI MARREIRO LOPES</t>
  </si>
  <si>
    <t>FRANCK MAMEDE LEITE</t>
  </si>
  <si>
    <t>FRANZ &amp; FERNANDES LTDA</t>
  </si>
  <si>
    <t>FRIGO MARAJO COMERCIO E SERVIÇOS LTDA</t>
  </si>
  <si>
    <t>FRILA- COMERCIAL DE ARMARINHOS LTDA</t>
  </si>
  <si>
    <t>G C DE ALMEIDA EIRELI EPP</t>
  </si>
  <si>
    <t>G C HELKER</t>
  </si>
  <si>
    <t>G DOS A S LUSTOSA - ME</t>
  </si>
  <si>
    <t>G L DE SOUZA</t>
  </si>
  <si>
    <t>G M ZACHI E CIA LTDA ME</t>
  </si>
  <si>
    <t>G R DA CUNHA CONFECCOES ME</t>
  </si>
  <si>
    <t>G S DA SILVA COMERCIO LTDA</t>
  </si>
  <si>
    <t>G SOBRAL DA SILVA E CIA LTDA</t>
  </si>
  <si>
    <t>G. CARLOS TEIXEIRA DE ARAUJO LTDA</t>
  </si>
  <si>
    <t>G. F. DE ARAUJO</t>
  </si>
  <si>
    <t>G. M. ABREU LTDA</t>
  </si>
  <si>
    <t>GAB MODAS XXIII LTDA</t>
  </si>
  <si>
    <t>GABRIELA DO PRADO SA BRITO</t>
  </si>
  <si>
    <t>GABRIELA REZENDE DE SANTANA</t>
  </si>
  <si>
    <t>GADAN CALCADOS LTDA</t>
  </si>
  <si>
    <t>GALDINO &amp; GALDINO CALCADOS LTDA.</t>
  </si>
  <si>
    <t>GALHOTTO E GALHOTTO COM. CALC. LTDA ME</t>
  </si>
  <si>
    <t>GANDU CALCADOS LTDA</t>
  </si>
  <si>
    <t>GAPH ARTIGOS DE VESTUARIO LTDA ME</t>
  </si>
  <si>
    <t>GARDENIA M A DE OLIVEIRA COMERCIO</t>
  </si>
  <si>
    <t>GARRIDO COMERCIO DE ROUPAS INFANTIS EIRELLI</t>
  </si>
  <si>
    <t>GATTO E CIA LTDA</t>
  </si>
  <si>
    <t>GAZETTI &amp; BRANDAO MAGAZINE LTDA.</t>
  </si>
  <si>
    <t>GDLA COMERCIO DE CALCADOS E CONFECCOES LTDA</t>
  </si>
  <si>
    <t>GEIZIELE CANDIDA DA SILVA ME</t>
  </si>
  <si>
    <t>GELMA LUCI SANSSANOVICZ ME</t>
  </si>
  <si>
    <t>GEMA MAGAZINE LTDA.</t>
  </si>
  <si>
    <t>GENAINA MARTINS ROSA</t>
  </si>
  <si>
    <t>GENALDO FERNANDES DA SILVA</t>
  </si>
  <si>
    <t>GENI DA SILVEIRA VIEIRA COMERCIO DO VESTUARIO - ME</t>
  </si>
  <si>
    <t>GENILDO EURIPEDES DA SILVA</t>
  </si>
  <si>
    <t>GENIVALDO RIZZO EPP</t>
  </si>
  <si>
    <t>GENTE MIUDA COMERCIO DA CALCADOS LTDA - ME</t>
  </si>
  <si>
    <t>GEOVA CECILIO DA SILVA</t>
  </si>
  <si>
    <t>GEOVANA TOME RODRIGUES</t>
  </si>
  <si>
    <t>GERALDO MAGELA CAMPOS</t>
  </si>
  <si>
    <t>GERLI BARBARA DE JESUS 02754411720</t>
  </si>
  <si>
    <t>GERSI ROBERTO DA SILVEIRA JUNIOR</t>
  </si>
  <si>
    <t>GESON E JULIANA SECCHIM ME EPPE</t>
  </si>
  <si>
    <t>GESSYCA SUZANO ALMEIDA 06771878589</t>
  </si>
  <si>
    <t>GHANEN ABDEL JAWAD SAFA</t>
  </si>
  <si>
    <t>GHEYRLLANY CONFECCOES LTDA</t>
  </si>
  <si>
    <t>GI KIDS MODAS LTDA</t>
  </si>
  <si>
    <t>GIACOMINI &amp; BRANCALIONE LTDA ME</t>
  </si>
  <si>
    <t>GIAN PAVANI BARBOZA</t>
  </si>
  <si>
    <t>GIBI KIDS LTDA</t>
  </si>
  <si>
    <t>GIBRAN KOBO AMARI EIRELI</t>
  </si>
  <si>
    <t>GICELI BRITO BARBOSA NASCIMENTO</t>
  </si>
  <si>
    <t>GICELMAS KIDS LTDA</t>
  </si>
  <si>
    <t>GIL MOSCIATI COMERCIO DE CALCADOS LTDA</t>
  </si>
  <si>
    <t>GILBERTO CEZAR SILVEIRA - ME</t>
  </si>
  <si>
    <t>GILBERTO DAS DORES ALVES DE ASSIS</t>
  </si>
  <si>
    <t>GILBERTO VIEIRA DA SILVA</t>
  </si>
  <si>
    <t>GILDA ARAUJO DE OLIVEIRA-ME</t>
  </si>
  <si>
    <t>GILMAR DIETTRICH CONFEC LTDA</t>
  </si>
  <si>
    <t>GILMAR LUIZ CONRADO MORAES</t>
  </si>
  <si>
    <t>GILMAR NORONHA</t>
  </si>
  <si>
    <t>GILMARA ALVES DE SANTANA ME</t>
  </si>
  <si>
    <t>GILSON C. DA SILVA</t>
  </si>
  <si>
    <t>GILVAN FERREIRA DA SILVA 39326527549</t>
  </si>
  <si>
    <t>GILVANINHO CALCAODOS LTDA ME</t>
  </si>
  <si>
    <t>GILVANIO SERGIO MATTOS</t>
  </si>
  <si>
    <t>GINO CHAMORRO FILHO</t>
  </si>
  <si>
    <t>GIOVANE LUIS DA SILVA</t>
  </si>
  <si>
    <t>GIOVANI DOMINIQUINI</t>
  </si>
  <si>
    <t>GIRAFA'S SAPATARIA INFANTIL LTDA - ME</t>
  </si>
  <si>
    <t>GISELA CALCADOS E ESPORTES LTDA</t>
  </si>
  <si>
    <t>GISELE FAGUNDES AULER</t>
  </si>
  <si>
    <t>GISEUDA BATISTA RODRIGUES RIBEIRO 96857439320</t>
  </si>
  <si>
    <t>GISLAINE DE OLIVEIRA NUNES ME</t>
  </si>
  <si>
    <t>GISLEIDE WOLTER</t>
  </si>
  <si>
    <t>GISLENE SANTIAGO LIMA DE BRITO</t>
  </si>
  <si>
    <t>GIZELE CORREA DE ALENCAR LEITE LINO 71684506115</t>
  </si>
  <si>
    <t>GKL VESTUARIOS LTDA ME</t>
  </si>
  <si>
    <t>GLAMOUROSA CALCADOS LTDA</t>
  </si>
  <si>
    <t>GLEICE SOUZA DA CRUZ 95991930163</t>
  </si>
  <si>
    <t>GLEICIANE BARRETO FERREIRA 03349417337</t>
  </si>
  <si>
    <t>GLENDA NEVES BERNARDINO</t>
  </si>
  <si>
    <t>GOIANA MULTIMARCAS E PRESENTES LTDA - ME</t>
  </si>
  <si>
    <t>GOLD CALCADOS LTDA</t>
  </si>
  <si>
    <t>GOLL MODA LTDA</t>
  </si>
  <si>
    <t>GONTIJO CALCADOS LTDA</t>
  </si>
  <si>
    <t>GR SANTA TEREZA COMERCIO DE MODA E ACESSORIOS INFANTIS LTDA</t>
  </si>
  <si>
    <t>GRACIELI  BARBOSA CORDEIRO</t>
  </si>
  <si>
    <t>GRAZI PRIMEIROS PASSOS LTDA</t>
  </si>
  <si>
    <t>GREBA COMERCIO DE CALCADOS E CONFECCOES LTDA. - ME</t>
  </si>
  <si>
    <t>GREICI KELLI HOLSBACK DE BRITO ME</t>
  </si>
  <si>
    <t>GRICELIO CORDEIRO VELOSO</t>
  </si>
  <si>
    <t>GS EITABEBE LTDA</t>
  </si>
  <si>
    <t>GUEDES &amp; MORAES LTDA ME</t>
  </si>
  <si>
    <t>GUIGUITATA MODA INFANTIL E JUVENIL LTDA</t>
  </si>
  <si>
    <t>GUIJU COMERCIO DE CONFECÇÕES LTDA</t>
  </si>
  <si>
    <t>GUILHERME P ROUPAS E ACESSORIOS LTDA</t>
  </si>
  <si>
    <t>GUIMEL COMERCIO DE MODAS EIRELI ME</t>
  </si>
  <si>
    <t>GUIMMI CALCADOS LTDA</t>
  </si>
  <si>
    <t>GURTLER &amp; CIA LTDA</t>
  </si>
  <si>
    <t>GUSTAVO DE PASCULE -ME</t>
  </si>
  <si>
    <t>GUSTAVO DOS SANTOS RECEPUTI</t>
  </si>
  <si>
    <t>GW CALCADOS LTDA</t>
  </si>
  <si>
    <t>H R LEANDRO VARIEDADES</t>
  </si>
  <si>
    <t>H. DE A. BARROS - ME</t>
  </si>
  <si>
    <t>H. M. DE ARAUJO GOMES</t>
  </si>
  <si>
    <t>HAIZA CALCADOS LTDA</t>
  </si>
  <si>
    <t>HALI COMERCIO DE CALCADOS LTDA</t>
  </si>
  <si>
    <t>HANNA FORTUNATO COMERCIO DE ROUPAS E ACESSORIOS EIRELI</t>
  </si>
  <si>
    <t>HAPPY KIDS CONFECCOES LTDA</t>
  </si>
  <si>
    <t>HARMONIA CALCADOS E CONFECCOES LTDA</t>
  </si>
  <si>
    <t>HASSAN CALCADOS LTDA</t>
  </si>
  <si>
    <t>HEDILAINE DA SILVA CARVALHO</t>
  </si>
  <si>
    <t>HELENA CLARA GARCIA ME</t>
  </si>
  <si>
    <t>HELENA DE FATIMA MARTINS</t>
  </si>
  <si>
    <t>HELENA DE LIMA BRANDALISE</t>
  </si>
  <si>
    <t>HELENA DOMICIANO FERNANDES - ME</t>
  </si>
  <si>
    <t>HELENA H DA SILVA COMERCIO DE CALCADOS</t>
  </si>
  <si>
    <t>HELIO GOMES DE AMORIM &amp; CIA LTDA</t>
  </si>
  <si>
    <t>HELK KIDS LTDA.</t>
  </si>
  <si>
    <t>HELO BABY MODA INFANTIL LTDA</t>
  </si>
  <si>
    <t>HELO CALCADOS E ESPORTES LTDA.</t>
  </si>
  <si>
    <t>HELTON MENDES SILVA COMERCIO</t>
  </si>
  <si>
    <t>HEMARODAN CALCADOS LTDA</t>
  </si>
  <si>
    <t>HERMINIA DOMINGOS BRAIT WOLFF LTDA</t>
  </si>
  <si>
    <t>HERTHA LUANNA MEDEIROS GOMES FRANCA 12150091437</t>
  </si>
  <si>
    <t>HILARIO CARLOS RODRIGUES-ME</t>
  </si>
  <si>
    <t>HIPER CALCADOS LTDA</t>
  </si>
  <si>
    <t>HIPER LOCAL MODAS DE MORRINHOS LTDA - EPP</t>
  </si>
  <si>
    <t>HIRLE &amp; SOUSA COMERCIO DE CALCADOS E VESTUARIO LTDA. - ME</t>
  </si>
  <si>
    <t>HOUSE &amp; KIDS LTDA</t>
  </si>
  <si>
    <t>HUBNER E RIBEIRO LTDA ME</t>
  </si>
  <si>
    <t>HUGO FLORES DIAZ</t>
  </si>
  <si>
    <t>HUMBERTO TOMAS PEREIRA - ME</t>
  </si>
  <si>
    <t>I C DE ALBUQUERQUE SERVICOS</t>
  </si>
  <si>
    <t>I P BORGES CALCADOS LTDA</t>
  </si>
  <si>
    <t>I R DA PAIXAO - ME</t>
  </si>
  <si>
    <t>I S COMIRAM</t>
  </si>
  <si>
    <t>I. C. C. CANTO</t>
  </si>
  <si>
    <t>I. N. CALCADOS LTDA</t>
  </si>
  <si>
    <t>I.J. TEREBINTO &amp; CIA LTDA</t>
  </si>
  <si>
    <t>I9 MAGAZZINO LTDA</t>
  </si>
  <si>
    <t>IARGAS E CIA LTDA</t>
  </si>
  <si>
    <t>IBRAIM AHMAD</t>
  </si>
  <si>
    <t>IDALINA STRELOW ME</t>
  </si>
  <si>
    <t>IDEK COMERCIO LTDA</t>
  </si>
  <si>
    <t>IDERALDO BELTRAME LAIA</t>
  </si>
  <si>
    <t>IG COMERCIO DE CALCADOS LTDA ME</t>
  </si>
  <si>
    <t>IL DE OLIVEIRA CALÇADOS</t>
  </si>
  <si>
    <t>ILMA NESI KRUGER LTDA</t>
  </si>
  <si>
    <t>ILTO FRANCISCO DAL VESCO</t>
  </si>
  <si>
    <t>IMPERIO CALCADOS E ACESSORIOS LTDA ME</t>
  </si>
  <si>
    <t>IMPERIO DA MODA FOZ LTDA</t>
  </si>
  <si>
    <t>IMPERIO DO CALCADO LTDA</t>
  </si>
  <si>
    <t>IMPERIO MODAS GUAICARA ARTIGOS DO VESTUARIO LTDA</t>
  </si>
  <si>
    <t>INACIELE PASSOS SILVA ME</t>
  </si>
  <si>
    <t>INACIO ROSIN ME</t>
  </si>
  <si>
    <t>INDIANARA SILVA DOS SANTOS CRUZ</t>
  </si>
  <si>
    <t>INDUMENTO COM DO VEST E CALCADOS LTDA</t>
  </si>
  <si>
    <t>INDUSTRIA E COMERCIO DE CONFECCAO ESTILO VICIOSO LTDA</t>
  </si>
  <si>
    <t>INDUSTRIA E COMERCIO DE CONFECCOES SPEGUEM LTDA</t>
  </si>
  <si>
    <t>INDUSTRIA E COMERCIO STAR LTDA</t>
  </si>
  <si>
    <t>INES BESEN ME</t>
  </si>
  <si>
    <t>INEZ VERGINIA TUDESCHINI BAZAR</t>
  </si>
  <si>
    <t>INFANCI BABY EIRELI - ME</t>
  </si>
  <si>
    <t>INFANT COMERCIO DE ARTIGOS DO VESTUARIO EIRELI ME</t>
  </si>
  <si>
    <t>INFANTE CHIC MODA INFANTIL LTDA</t>
  </si>
  <si>
    <t>INGRID BIANCADO ROSARIOLOBATO</t>
  </si>
  <si>
    <t>INGRID LARYSSA NEVES DA COSTA 10868629456</t>
  </si>
  <si>
    <t>INOVACAO COMERCIO DE ARTIGOS DO VESTUARIO LTDA ME</t>
  </si>
  <si>
    <t>IPIRANGA CALCADOS LTDA.</t>
  </si>
  <si>
    <t>IRACY PEDRO DA COSTA</t>
  </si>
  <si>
    <t>IRINEO CHOQUE LIMACHI 23215034832</t>
  </si>
  <si>
    <t>IRINEU P. R. DIRAMI</t>
  </si>
  <si>
    <t>IRIS SOUSA RAMOS SIMPLES PE</t>
  </si>
  <si>
    <t>IRLA MARIA DE SOUSA CALCADOS ME</t>
  </si>
  <si>
    <t>IRLAN MARIA SOUZA SANTANA - ME</t>
  </si>
  <si>
    <t>IRMAOS BOTINI LTDA - ME</t>
  </si>
  <si>
    <t>IRMAOS NEUVALD ARTS ESPORTIVOS LTDA</t>
  </si>
  <si>
    <t>IRMAOS SENRA LTDA</t>
  </si>
  <si>
    <t>IROMAR ALVES DOS SANTOS CALCADOS ME</t>
  </si>
  <si>
    <t>IRONI CARDOSO E FILHOS LTDA-ME</t>
  </si>
  <si>
    <t>ISABEL CRISTINA NOLETO GUTERRE</t>
  </si>
  <si>
    <t>ISABEL MARIA SILVA CALCADOS ME</t>
  </si>
  <si>
    <t>ISMAEL AHMAD</t>
  </si>
  <si>
    <t>ISMAR BRITO CARDOSO - ME</t>
  </si>
  <si>
    <t>ISMAR LEITE RIBEIRO</t>
  </si>
  <si>
    <t>ISOUDA BEZERRA GOMES MICROEMPRESA</t>
  </si>
  <si>
    <t>IT COUGO</t>
  </si>
  <si>
    <t>ITABERAI CALCADOS E ROUPAS LTDA</t>
  </si>
  <si>
    <t>ITALO CARVALHO CARDOSO</t>
  </si>
  <si>
    <t>ITALO GABRIEL FERNANDES LOPES ME</t>
  </si>
  <si>
    <t>IURI EMANUEL GOMES DA SILVA</t>
  </si>
  <si>
    <t>IVAN DA SILVA</t>
  </si>
  <si>
    <t>IVAN SOARES GOMES E CIA LTDA</t>
  </si>
  <si>
    <t>IVANA CALCADOS &amp; CIA LTDA-EPP</t>
  </si>
  <si>
    <t>IVANILDA BARBOSA DE ALEXANDRIA</t>
  </si>
  <si>
    <t>IVANILDA TAVARES CALIXTO</t>
  </si>
  <si>
    <t>IVANILDO DA COSTA RODRIGUES</t>
  </si>
  <si>
    <t>IVANIR VALENTINO CHRISTIANINI</t>
  </si>
  <si>
    <t>IVETE MARIA A T BATISTA ME</t>
  </si>
  <si>
    <t>IVETE MARIA DE OLIVEIRA FAVALI - ME</t>
  </si>
  <si>
    <t>IVONALDO CESAR BARROS</t>
  </si>
  <si>
    <t>IVONALDO CÉSAR DE BARROS EIRELI</t>
  </si>
  <si>
    <t>IVONE TEREZINHA RIGO SCOPEL - ME</t>
  </si>
  <si>
    <t>IVONETE DA SILVA ALMEIDA</t>
  </si>
  <si>
    <t>IVONETE MARIA DALMOLIN ME</t>
  </si>
  <si>
    <t>IWANKO &amp; CIA. LTDA.</t>
  </si>
  <si>
    <t>IZABEL CRISTINA DA SILVA PEREIRA</t>
  </si>
  <si>
    <t>J &amp; IRANIR CALCADOS LTDA ME</t>
  </si>
  <si>
    <t>J &amp; M COMERCIO DE ROUPAS LTDA</t>
  </si>
  <si>
    <t>J &amp; SIQUEIRA CALCADOS E CONFECCOES LTDA ME</t>
  </si>
  <si>
    <t>J A COM DE CALCADOS LTDA</t>
  </si>
  <si>
    <t>J A CONFECCOES LTDA</t>
  </si>
  <si>
    <t>J A DA SILVA ARTIGOS DE COURO ME</t>
  </si>
  <si>
    <t>J A H DE MATOS CONFECCCOES</t>
  </si>
  <si>
    <t>J A M PIMENTEL</t>
  </si>
  <si>
    <t>J C CALÇADOS E ACESSÓRIOS LTDA</t>
  </si>
  <si>
    <t>J C FERNANDES ELETRODOMESTICOS</t>
  </si>
  <si>
    <t>J CRISTINA PERES PEREIRA &amp; CIA LTDA</t>
  </si>
  <si>
    <t>J CRISTOVAO DE ARAUJO</t>
  </si>
  <si>
    <t>J DA R GOMES &amp; CIA LTDA</t>
  </si>
  <si>
    <t>J E F CALÇADOS LTDA ME</t>
  </si>
  <si>
    <t>J F BARROS ME</t>
  </si>
  <si>
    <t>J G SILVA ALVES CALCADOS</t>
  </si>
  <si>
    <t>J H ROCHA IND E COMERCIO MEE</t>
  </si>
  <si>
    <t>J J M CALCADOS LTDA</t>
  </si>
  <si>
    <t>J K CALCADOS LTDA</t>
  </si>
  <si>
    <t>J K COMERCIO DE CALCADOS LTDA</t>
  </si>
  <si>
    <t>J K PEDROSO &amp; TAUSCHER LTDA - ME</t>
  </si>
  <si>
    <t>J O DA COSTA E CIA LTDA ME</t>
  </si>
  <si>
    <t>J RILDO FARIAS</t>
  </si>
  <si>
    <t>J S GUERRA</t>
  </si>
  <si>
    <t>J S JUSTINO</t>
  </si>
  <si>
    <t>J SANTOS DA SILVA EIRELI - ME</t>
  </si>
  <si>
    <t>J V DO NASCIMENTO</t>
  </si>
  <si>
    <t>J W LIMA SILVA</t>
  </si>
  <si>
    <t>J. A. O. DO CARMO E CIA LTDA</t>
  </si>
  <si>
    <t>J. B. S. CALCADOS LTDA</t>
  </si>
  <si>
    <t>J. COSTA LIMA COMERCIO</t>
  </si>
  <si>
    <t>J. D. ZIMMER E CIA LTDA</t>
  </si>
  <si>
    <t>J. E. ALMEIDA CONFECCOES - ME</t>
  </si>
  <si>
    <t>J. F. BICA LTDA</t>
  </si>
  <si>
    <t>J. F. DOS SANTOS</t>
  </si>
  <si>
    <t>J. F. PEREIRA &amp; CIA. LTDA.</t>
  </si>
  <si>
    <t>J. FERNANDES DE MEDEIROS COM. VAREJISTA</t>
  </si>
  <si>
    <t>J. FRAGOSO E CIA LTDA</t>
  </si>
  <si>
    <t>J. G. FIALHO DA SILVA - ME.</t>
  </si>
  <si>
    <t>J. G. MARQUES CALÇADOS LTDA</t>
  </si>
  <si>
    <t>J. L. M. BARROSO</t>
  </si>
  <si>
    <t>J. M. QUEIROZ &amp; CIA LTDA</t>
  </si>
  <si>
    <t>J. OLIVEIRA SILVA CALÇADOS</t>
  </si>
  <si>
    <t>J. P. CALCADOS LTDA</t>
  </si>
  <si>
    <t>J. SOUSA VIEIRA E CIA LTDA</t>
  </si>
  <si>
    <t>J.B. COMERCIO DE CONFECCOES &amp; VARIEDADES LTDA</t>
  </si>
  <si>
    <t>J.C.DE SIQUEIRA-ME</t>
  </si>
  <si>
    <t>J.C.VASCONCELOS &amp; VASCONCELOS LTDA</t>
  </si>
  <si>
    <t>J.DE SOUZA DIAS GUTIERREZ</t>
  </si>
  <si>
    <t>J.E. KARPINSK E CIA LTDA.</t>
  </si>
  <si>
    <t>J.J. COMERCIO DE CALCADOS LTDA</t>
  </si>
  <si>
    <t>J.L. MASSARO EPP</t>
  </si>
  <si>
    <t>J.L. URQUIZA - CALCADOS</t>
  </si>
  <si>
    <t>J.M. DE CASTRO</t>
  </si>
  <si>
    <t>J.PEREIRA E CIA LTDA</t>
  </si>
  <si>
    <t>JA DE LIMA CONFECCOES ME</t>
  </si>
  <si>
    <t>JACI SOUSA SANTOS &amp; CIA LTDA</t>
  </si>
  <si>
    <t>JACY CORTAZIO JUNIOR 12256717798</t>
  </si>
  <si>
    <t>JADNA DEL PRATO NASARIO</t>
  </si>
  <si>
    <t>JAILSON DO CARMOS SANTOS ME</t>
  </si>
  <si>
    <t>JAILSON F DA SILVA LTDA</t>
  </si>
  <si>
    <t>JAIME CORREIA ARAUJO</t>
  </si>
  <si>
    <t>JAIME SASTRE MARTINS</t>
  </si>
  <si>
    <t>JAIRO MORENO</t>
  </si>
  <si>
    <t>JAKELINE DE FÁTIMA BARBOSA</t>
  </si>
  <si>
    <t>JAKELINE SIMONE DA SILVA</t>
  </si>
  <si>
    <t>JAMALITO CONFECCOES LTDA ME</t>
  </si>
  <si>
    <t>JAMILE CALCADOS LTDA.</t>
  </si>
  <si>
    <t>JAMILE MEGIAS DA CRUZ</t>
  </si>
  <si>
    <t>JANALU CALCADOS LTDA.</t>
  </si>
  <si>
    <t>JANDARAY RODRIGUES DA SILVA</t>
  </si>
  <si>
    <t>JANE CRISTINA PEREIRA PIMENTA 29726569893</t>
  </si>
  <si>
    <t>JANEIT BITAR ME</t>
  </si>
  <si>
    <t>JANEJU COM DE CALCADOS LTDA</t>
  </si>
  <si>
    <t>JANETE FERREIRA DE SOUZA</t>
  </si>
  <si>
    <t>JANETE SAPATOS E ACESSORIOS LTDA</t>
  </si>
  <si>
    <t>JANINE PRANDO DUARTE</t>
  </si>
  <si>
    <t>JANNETE MARIA TEXEIRA VARAO-ME</t>
  </si>
  <si>
    <t>JAPPONI COM DE CALCADOS E AC. LTDA</t>
  </si>
  <si>
    <t>JAQUELINE BEZERRA DA SILVA</t>
  </si>
  <si>
    <t>JAQUELINE HENNING LTDA</t>
  </si>
  <si>
    <t>JAQUELINE PCP DA SILVA - ME</t>
  </si>
  <si>
    <t>JARI MAGAZINE LTDA</t>
  </si>
  <si>
    <t>JASER ABOU ALYA</t>
  </si>
  <si>
    <t>JC DANTAS SILVA ME</t>
  </si>
  <si>
    <t>JC LOURENCO CONFECCOE ME</t>
  </si>
  <si>
    <t>JDMM COMERCIO DE CALCADOS LTDA</t>
  </si>
  <si>
    <t>JEANE GOMES DA SILVA E CIA LTDA</t>
  </si>
  <si>
    <t>JEANNE TEXEIRA VARAO ME</t>
  </si>
  <si>
    <t>JEFF CALCADOS &amp; CONFECCOES LTDA</t>
  </si>
  <si>
    <t>JELLUS MAGAZINE LTDA</t>
  </si>
  <si>
    <t>JESSICA DE A SANTOS</t>
  </si>
  <si>
    <t>JESSICA E EMILIO CALCADOS LTDA</t>
  </si>
  <si>
    <t>JESSICA MARIA JEMICZAK LTDA</t>
  </si>
  <si>
    <t>JESSICA RAFAELA DA SILVA</t>
  </si>
  <si>
    <t>JESULINO ANTONIO DOS SANTOS</t>
  </si>
  <si>
    <t>JF COLOMBO CALCADOS E ACESSORIOS LTDA</t>
  </si>
  <si>
    <t>JG CALCADOS LTDA</t>
  </si>
  <si>
    <t>JHESSICA GARCIA FONSECA 10993994679</t>
  </si>
  <si>
    <t>JILDIVAN FERREIRA LEMOS ME</t>
  </si>
  <si>
    <t>JILMAR HUMBERTO CHIARELLI</t>
  </si>
  <si>
    <t>JK COM DE CALCADOS LTDA ME</t>
  </si>
  <si>
    <t>JL COMERCIO DE CALCADOS LTDA</t>
  </si>
  <si>
    <t>JM SOARES VESTUARIO ME</t>
  </si>
  <si>
    <t>JME COMERCIO E CONFECCOES DE CALCADOS, ARTIGOS ESPORTIVOS E</t>
  </si>
  <si>
    <t>JOANA DARC DE O CAIXETA ME</t>
  </si>
  <si>
    <t>JOAO ATADEU MADUREIRA</t>
  </si>
  <si>
    <t>JOAO BATISTA DE SOUZA MAGALHAES LTDA.</t>
  </si>
  <si>
    <t>JOAO CARLOS SCOPARO ME</t>
  </si>
  <si>
    <t>JOAO DEODATO DE A. FILHO ME</t>
  </si>
  <si>
    <t>JOAO FARIAS DE PAULA OLIVEIRA</t>
  </si>
  <si>
    <t>JOAO FILLIPE FERREIRA DE ALMEIDA</t>
  </si>
  <si>
    <t>JOAO HENRIQUE DEMARTINI</t>
  </si>
  <si>
    <t>JOAO HOEPERS</t>
  </si>
  <si>
    <t>JOAO IZOLAN E CIA LTDA</t>
  </si>
  <si>
    <t>JOAO LUIZ DOS PASSOS-ACESSORIOS - ME</t>
  </si>
  <si>
    <t>JOAO MARCOLINO COSTA TECIDOS LTDA</t>
  </si>
  <si>
    <t>JOAO MARIA REZENDE</t>
  </si>
  <si>
    <t>JOAO MARINHO DA SILVA</t>
  </si>
  <si>
    <t>JOAO MARTINS DE SOUZA</t>
  </si>
  <si>
    <t>JOAO PAULO PEREIRA BARBOSA 10332408698</t>
  </si>
  <si>
    <t>JOAO RODOLFO APARECIDO ARAUJO DE SOUZA CALCADOS</t>
  </si>
  <si>
    <t>JOAQUIM CALCADOS LTDA</t>
  </si>
  <si>
    <t>JOAQUIM RODRIGUES NETO ITAÍ ME</t>
  </si>
  <si>
    <t>JOELMA F DA SILVA</t>
  </si>
  <si>
    <t>JOELMA SIL.ALMEIDA QUIJINGUE</t>
  </si>
  <si>
    <t>JOLANINHA IND E COM DE CONF LTDA</t>
  </si>
  <si>
    <t>JOMAG FASHION LTDA</t>
  </si>
  <si>
    <t>JONAS MOLINO 10310368812</t>
  </si>
  <si>
    <t>JONATAS CALCADOS LTDA</t>
  </si>
  <si>
    <t>JONICY WESLLEY FERREIRA COIMBRA</t>
  </si>
  <si>
    <t>JORDANA LUIZA DOS SANTOS QUINTELA 12812522470</t>
  </si>
  <si>
    <t>JORGE CERQUEIRA DE JESUS</t>
  </si>
  <si>
    <t>JOSE ADRIANO ONCA DE CARVALHO 88778720206</t>
  </si>
  <si>
    <t>JOSE AILTON FERREIRA SANTOS 68559283404</t>
  </si>
  <si>
    <t>JOSE ALEXANDRE DE ALBUQUERQUE</t>
  </si>
  <si>
    <t>JOSE ALMEIDA DE MEDEIROS</t>
  </si>
  <si>
    <t>JOSE AMERICO SIMEONI - ME</t>
  </si>
  <si>
    <t>JOSE ANTONIO DE ALMEIDA ARMARINHOS ME</t>
  </si>
  <si>
    <t>JOSE ARRAIS DE OLIVEIRA AMORIM</t>
  </si>
  <si>
    <t>JOSE CARLOS COSTA</t>
  </si>
  <si>
    <t>JOSE DAS GRACAS PEREIRA ME</t>
  </si>
  <si>
    <t>JOSE DO CORACAO DE JESUS TOMAZ 07347329884</t>
  </si>
  <si>
    <t>JOSE DOMINGOS DA SILVA E CIA LTDA</t>
  </si>
  <si>
    <t>JOSE FRANCISCO DE LIMA NETO</t>
  </si>
  <si>
    <t>JOSE FROTA ARAUJO</t>
  </si>
  <si>
    <t>JOSE INACIO SILVA MARTINS-07385769560</t>
  </si>
  <si>
    <t>JOSE LEAO DE OLIVEIRA &amp; CIA LTDA - ME</t>
  </si>
  <si>
    <t>JOSE MIKAEL CAVALCANTE GALDINO</t>
  </si>
  <si>
    <t>JOSE NATHAN PEREIRA TORRES 06977590327</t>
  </si>
  <si>
    <t>JOSE NUNES FARIA</t>
  </si>
  <si>
    <t>JOSE PAULO FERREIRA ALBUQUERQUE</t>
  </si>
  <si>
    <t>JOSE PAULO NOGUEIRA QUADROS ME</t>
  </si>
  <si>
    <t>JOSE REINALDO BANDEIRA</t>
  </si>
  <si>
    <t>JOSE RINALDO TEIXEIRA ME</t>
  </si>
  <si>
    <t>JOSE ROBERTO CIRIACO TAVARES</t>
  </si>
  <si>
    <t>JOSE ROBERTO PATRIARCA  LTDA</t>
  </si>
  <si>
    <t>JOSE ROBERVAL PEREIRA NASCIMENTO ME</t>
  </si>
  <si>
    <t>JOSE VILMAR DA SILVA - EPP</t>
  </si>
  <si>
    <t>JOSEANE SANTOS CARDOSO COMERCIO LTDA</t>
  </si>
  <si>
    <t>JOSEFA ALMEIDA SERGIO E CIA LTDA</t>
  </si>
  <si>
    <t>JOSEFA CARDOSO REIS</t>
  </si>
  <si>
    <t>JOSEFA DOS S PEREIRA VESTUARIOS EM GERAL</t>
  </si>
  <si>
    <t>JOSEFA PEDRO DA SILVA</t>
  </si>
  <si>
    <t>JOSELIA ARAUJO DA SILVA XAVIER 02438922338</t>
  </si>
  <si>
    <t>JOSELMA CALCADOS DA VILA EIRELI</t>
  </si>
  <si>
    <t>JOSIANA APARECIDA CARRERA GIACOMELLI</t>
  </si>
  <si>
    <t>JOSIANE EUFRASIO RAMOS 11065695470</t>
  </si>
  <si>
    <t>JOSIANE MARCA TOMAZONI</t>
  </si>
  <si>
    <t>JOSIMAR ALVES PEREIRA ME</t>
  </si>
  <si>
    <t>JOSY KILL 31.821.194</t>
  </si>
  <si>
    <t>JOSÉ GONZAGA PEREIRA DA SILVA</t>
  </si>
  <si>
    <t>JOVAL CALCADOS E CONFECCOES LTDA ME</t>
  </si>
  <si>
    <t>JOVINA ATUAL LTDA</t>
  </si>
  <si>
    <t>JOYCE TEXEIRA MARTINS ME</t>
  </si>
  <si>
    <t>JOZIA MENDES DA ROCHA EPP</t>
  </si>
  <si>
    <t>JS COMÉRCIO DE ROUPAS E ACESSÓRIOS LTDA</t>
  </si>
  <si>
    <t>JS LIMA ESTRELA &amp; CIA LTDA ME</t>
  </si>
  <si>
    <t>JUAREZ SANTOS OLIVEIRA COMERCIO LTDA</t>
  </si>
  <si>
    <t>JUCELAINE SIQUEIRA RAMPELOTTO</t>
  </si>
  <si>
    <t>JUCILENE PEREIRA DA SILVA 02535547481</t>
  </si>
  <si>
    <t>JUCINEIDE LEITE DA SILVA ME</t>
  </si>
  <si>
    <t>JUDITE MARIA KASPARY KOBER 52059820049</t>
  </si>
  <si>
    <t>JULIA CALCADOS TDA</t>
  </si>
  <si>
    <t>JULIA DA SILVA TOLEDO</t>
  </si>
  <si>
    <t>JULIA MARIA CARVALHO CHAVES</t>
  </si>
  <si>
    <t>JULIANA DA COSTA LIMA</t>
  </si>
  <si>
    <t>JULIANA DALPONTE MATTIOLI MARCATTO VESTUARIO</t>
  </si>
  <si>
    <t>JULIANO MILLEO KRUBNIKI &amp; CIA. LTDA.</t>
  </si>
  <si>
    <t>JULIANO SILEZIO DA SILVA</t>
  </si>
  <si>
    <t>JULIENTINA DA CONCEICAO 11107326869</t>
  </si>
  <si>
    <t>JULIO DEUSDEDIT DE SOUSA EPP</t>
  </si>
  <si>
    <t>JUMBO CALCADOS LTDA</t>
  </si>
  <si>
    <t>JUNIOR CALCADOS &amp; MULTIMARCAS LTDA</t>
  </si>
  <si>
    <t>JUSCELINO COMERCIO VAREJISTA DE ARTIGOS DO VESTUARIO E ACESSORIOS LTDA</t>
  </si>
  <si>
    <t>JUVENTUDE MODAS LTDA.</t>
  </si>
  <si>
    <t>JVL COMERCIO DE ROUPAS LTDA</t>
  </si>
  <si>
    <t>JVS LAGNI CALCADOS</t>
  </si>
  <si>
    <t>K C REIS DANTAS</t>
  </si>
  <si>
    <t>K DE CASTRO VIANA</t>
  </si>
  <si>
    <t>K M V COMERCIO DE MANUFATURADOS  LTDA</t>
  </si>
  <si>
    <t>K VASCONCELOS LIMA</t>
  </si>
  <si>
    <t>K.A. MENDES - ME</t>
  </si>
  <si>
    <t>K.V.COMERCIO DE CALCADOS LTDA</t>
  </si>
  <si>
    <t>KADOCHE CALCADOS E CONF LTDA</t>
  </si>
  <si>
    <t>KAISER MODAS LTDA</t>
  </si>
  <si>
    <t>KALANGOTANGO KIDS LTDA</t>
  </si>
  <si>
    <t>KALCE E VESTE COM D CAL E CONF LTDA</t>
  </si>
  <si>
    <t>KALCEAKI COM DE CALCADOS LTDA</t>
  </si>
  <si>
    <t>KALE KIDS COM DE ROUPAS LTDA</t>
  </si>
  <si>
    <t>KALIANDRA CALCADOS LTDA</t>
  </si>
  <si>
    <t>KAMEL MAGAZINE PRACA LTDA</t>
  </si>
  <si>
    <t>KAMIKAZE ARTIGOS INFANTIS LTDA.</t>
  </si>
  <si>
    <t>KAMILLO'S CALCADOS &amp; CHOCOLATERIA LTDA</t>
  </si>
  <si>
    <t>KANANDA KIDS LTDA</t>
  </si>
  <si>
    <t>KAPIVA CALCADOS LTDA</t>
  </si>
  <si>
    <t>KARINA KWASNEY SCHRAMM</t>
  </si>
  <si>
    <t>KARINE &amp; MILTON LTDA</t>
  </si>
  <si>
    <t>KARINE MARA DOS SANTOS CORNETIONI</t>
  </si>
  <si>
    <t>KARINE SOARES DA SILVA E CIA LTDA</t>
  </si>
  <si>
    <t>KARLA KARMINETE FERREIRA LEAL LTDA</t>
  </si>
  <si>
    <t>KARUFA CONFEC LTDA</t>
  </si>
  <si>
    <t>KARYSMA CONF CALC LTDA</t>
  </si>
  <si>
    <t>KATIA NASCIMENTO BARBOSA DE OLIVEIRA 25624098847</t>
  </si>
  <si>
    <t>KATIA REGINA MILESKI DA LUZ</t>
  </si>
  <si>
    <t>KATIANE DA MATA SILVA 01087387280</t>
  </si>
  <si>
    <t>KATYA ALESSANDRA LANG &amp; CIA LTDA</t>
  </si>
  <si>
    <t>KATYA SORAYA M. DA SILVA</t>
  </si>
  <si>
    <t>KAUANE NOGUEIRA ANTUNES</t>
  </si>
  <si>
    <t>KEILE APARECIDA GOMES DA SILVA</t>
  </si>
  <si>
    <t>KELIMAR GHIZZI</t>
  </si>
  <si>
    <t>KELLEN CRISTIANY SOARES CERQUEIRA 04386165452</t>
  </si>
  <si>
    <t>KELLY ARAUJO SANTOS</t>
  </si>
  <si>
    <t>KETHELIN CRISTINA BASSUT GARCIA</t>
  </si>
  <si>
    <t>KHALIL AL JAWABRI</t>
  </si>
  <si>
    <t>KI BARATO CALCADOS LTDA</t>
  </si>
  <si>
    <t>KI MODAS COM. CALC. LTDA</t>
  </si>
  <si>
    <t>KIDS FRANCA COMERCIO DE ARTIGOS DO VESTUARIO LTDA</t>
  </si>
  <si>
    <t>KIDS ROUPAS E ACESSORIOS LTDA</t>
  </si>
  <si>
    <t>KINDER COM DE VEST LTDA</t>
  </si>
  <si>
    <t>KIPASSO CALCADOS E CONFECCOES LTDA - EPP</t>
  </si>
  <si>
    <t>KLAYTON ALVES SOARES ME</t>
  </si>
  <si>
    <t>KLEBER MARQUES DOS REIS</t>
  </si>
  <si>
    <t>KMJ COMERCIO E ACESSORIOS LTDA</t>
  </si>
  <si>
    <t>KORPUS KIDS CONFECCOES LTDA</t>
  </si>
  <si>
    <t>KRAMER COM DE CONFEC E CALCADOS LTDA ME</t>
  </si>
  <si>
    <t>KRAUTLERE CIA LTDA ME</t>
  </si>
  <si>
    <t>KREFTA KIDS ROUPAS E VARIEDADES LTDA</t>
  </si>
  <si>
    <t>KREMER E KUNTZ LTDA.</t>
  </si>
  <si>
    <t>KRINSKI DOS SANTOS COMERCIO DE CALCADOS E CONFECCOES LTDA - ME</t>
  </si>
  <si>
    <t>KUELHOS SAPATOS</t>
  </si>
  <si>
    <t>KUKA MODAS LTDA</t>
  </si>
  <si>
    <t>KYARA CALCADOS LTDA</t>
  </si>
  <si>
    <t>L  M C ROMA CONFECCAO E COMERCIO</t>
  </si>
  <si>
    <t>L &amp; M COMERCIO DE CALCADOS LTDA</t>
  </si>
  <si>
    <t>L A COMERCIO DE CONFECCES LTDA</t>
  </si>
  <si>
    <t>L BASSO CALCADOS - ME</t>
  </si>
  <si>
    <t>L C O GALVAO COMERCIO</t>
  </si>
  <si>
    <t>L F MENDES LTDA</t>
  </si>
  <si>
    <t>L G MACIEL SOUZA</t>
  </si>
  <si>
    <t>L J COMERCIO DE CALCADOS LTDA</t>
  </si>
  <si>
    <t>L M B DA COSTA</t>
  </si>
  <si>
    <t>L M TORRES LTDA</t>
  </si>
  <si>
    <t>L N DE LIMA CALCADOS</t>
  </si>
  <si>
    <t>L NASCIMENTO DE ALMEIDA BARBOSA EIRELI</t>
  </si>
  <si>
    <t>L P MODAS VESTUARIO E ACESSORIOS EIRELI</t>
  </si>
  <si>
    <t>L P P DE LIMA</t>
  </si>
  <si>
    <t>L T DE SOUSA PREGO</t>
  </si>
  <si>
    <t>L V BORGES DE SOUSA- ME</t>
  </si>
  <si>
    <t>L. A. BARBOSA CONFECCOES E CALCADOS - LTDA</t>
  </si>
  <si>
    <t>L. C. MODAS LTDA ME</t>
  </si>
  <si>
    <t>L. DE ALMEIDA FIRMINO ME</t>
  </si>
  <si>
    <t>L. L. A. DA CRUZ</t>
  </si>
  <si>
    <t>L. R. DA PAZ</t>
  </si>
  <si>
    <t>L.F. SCHALLENBERGER ME</t>
  </si>
  <si>
    <t>LA HAMESTER COMERCIO DE CALCADOS EIRELI EPP</t>
  </si>
  <si>
    <t>LAERCIO QUINTINO PARAGUASSU</t>
  </si>
  <si>
    <t>LAIRTON SAMPAIO PEREIRA ME</t>
  </si>
  <si>
    <t>LAIS CARVALHO</t>
  </si>
  <si>
    <t>LANA E SIQUEIRA LTDA</t>
  </si>
  <si>
    <t>LANNA MODAS E CALCADOS LTDA</t>
  </si>
  <si>
    <t>LANZA &amp; CIA. LTDA.</t>
  </si>
  <si>
    <t>LARI CALCADOS LTDA</t>
  </si>
  <si>
    <t>LARISSA CARDOSO REPRESENTACAO COMER DE MACAUBAS LTDA</t>
  </si>
  <si>
    <t>LARISSA S B NASCIMENTO</t>
  </si>
  <si>
    <t>LAURINHA KIDS LTDA</t>
  </si>
  <si>
    <t>LAYLANNA CALCADOS E ENXOVAIS EIRELI</t>
  </si>
  <si>
    <t>LAZARO TAVARES DA SILVA O MINEIRO</t>
  </si>
  <si>
    <t>LC CONFECÇÕES &amp; CALÇADOS LTDA</t>
  </si>
  <si>
    <t>LC MOREIRA DA SILVA</t>
  </si>
  <si>
    <t>LCFOLLY E CIA LDTA</t>
  </si>
  <si>
    <t>LEANDRA LAIA MORENO</t>
  </si>
  <si>
    <t>LEANDRA VELASQUE &amp; CIA LTDA</t>
  </si>
  <si>
    <t>LEANDRO BANDEIRA MOTTA 05276097739</t>
  </si>
  <si>
    <t>LEANDRO HENRIQUE ALVES DIAS</t>
  </si>
  <si>
    <t>LEANDRO M COMERCIO DE VESTUARIO E ACESSORIOS - ME</t>
  </si>
  <si>
    <t>LEANDRO MENDES GONSALES 94375135115</t>
  </si>
  <si>
    <t>LEANDRO OTAVIO DE ANDRADE CARVALHO ME</t>
  </si>
  <si>
    <t>LEIANE CALCADOS E ESPORTES LTDA</t>
  </si>
  <si>
    <t>LEIDIANE PAIXAO COELHO</t>
  </si>
  <si>
    <t>LEILA OLIVEIRA HILGERT</t>
  </si>
  <si>
    <t>LELA CALCADOS ACESSORIOS LTDA</t>
  </si>
  <si>
    <t>LELI CALCADOS INFANTIS - LTDA</t>
  </si>
  <si>
    <t>LENARRAY MODAS LTDA-EPP</t>
  </si>
  <si>
    <t>LENITA RODRIGUES DOS SANTOS</t>
  </si>
  <si>
    <t>LEONARDO ANDRADE SILVA CALCADOS ME</t>
  </si>
  <si>
    <t>LEONARDO DIAS NOVAES 89610563287</t>
  </si>
  <si>
    <t>LEONARDO MODAS CONFECCOES E CALCADOS LTDA</t>
  </si>
  <si>
    <t>LEONCIO SANTOS NETO</t>
  </si>
  <si>
    <t>LESPORT ARTIGOS ESPORTIVOSLTDA</t>
  </si>
  <si>
    <t>LETICIA MUCHA FURLAN</t>
  </si>
  <si>
    <t>LEUGIM MAGAZINE</t>
  </si>
  <si>
    <t>LH CALÇADOS LTDA ME</t>
  </si>
  <si>
    <t>LH DE ANDRADE</t>
  </si>
  <si>
    <t>LHM COMÉRCIO DE CALÇADOS EIRELI ME</t>
  </si>
  <si>
    <t>LI ANGELA COMERCIO DE CALCADOS LTDA</t>
  </si>
  <si>
    <t>LIANA PICCOLI LTDA</t>
  </si>
  <si>
    <t>LIANE FLECK BOFF</t>
  </si>
  <si>
    <t>LIBERDADE COMERCIO DE CALCADOS LTDA ME</t>
  </si>
  <si>
    <t>LIBERTAS UNIFORMES</t>
  </si>
  <si>
    <t>LICIA CRISTINA BATISTA COSTA 05279403563</t>
  </si>
  <si>
    <t>LIDIA SILVA E MARINA LTDA</t>
  </si>
  <si>
    <t>LIDIANE TREVISOL ROBAINO LTDA</t>
  </si>
  <si>
    <t>LIDIANE ZOTTI 01844227014</t>
  </si>
  <si>
    <t>LIDIANY MARCELA DINIZ XAVIER</t>
  </si>
  <si>
    <t>LIDUINA ATAO</t>
  </si>
  <si>
    <t>LIJAFRAN CALCADOS E CONFECCOES</t>
  </si>
  <si>
    <t>LILAC ESPORTES LTDA</t>
  </si>
  <si>
    <t>LILAC MODAS COMERCIO LTDA</t>
  </si>
  <si>
    <t>LILI MODA INFANTIL LTDA</t>
  </si>
  <si>
    <t>LILIAM DOMINGUES SHIMABUKURO VESTUARIO</t>
  </si>
  <si>
    <t>LILIAN DO PARAISO &amp; CIA LTDA</t>
  </si>
  <si>
    <t>LILIAN FABIANA ALVES E CIA LTDA</t>
  </si>
  <si>
    <t>LILIANE CENEDELLA MOLINA CUSTODIO - ME</t>
  </si>
  <si>
    <t>LILIANE COMERCIO DE COSMETICOS LTDA</t>
  </si>
  <si>
    <t>LILIANE FERREIRA DA SERRA</t>
  </si>
  <si>
    <t>LIMA &amp; GARBELINI LTDA</t>
  </si>
  <si>
    <t>LIMA CALCADOS EIRELI</t>
  </si>
  <si>
    <t>LIMA E GABACLIA LTDA</t>
  </si>
  <si>
    <t>LIMA E PORTELA EMPREENDIMENTOS LTDA</t>
  </si>
  <si>
    <t>LIMA E TEODORO  LTDA ME</t>
  </si>
  <si>
    <t>LIMENDES CALCADOS LTDA</t>
  </si>
  <si>
    <t>LINCOLN DA SILVA AMORIM</t>
  </si>
  <si>
    <t>LINDÓIA MAIS ATACADO E VAREJO LTDA</t>
  </si>
  <si>
    <t>LINEI CRISTINA CARNEIRO ANACLETO</t>
  </si>
  <si>
    <t>LINS FERRAO ARTS DO VEST LTDA</t>
  </si>
  <si>
    <t>LISETE CORREIA CALCADOS</t>
  </si>
  <si>
    <t>LISS MEL COMÉRCIO DE ARTIGOS DO VESTUÁRIO LTDA</t>
  </si>
  <si>
    <t>LIVIA CALCADOS E ACESSORIOS EIRELI - EPP</t>
  </si>
  <si>
    <t>LIVIA WITTICA CANELAS E CIA LTA EPP</t>
  </si>
  <si>
    <t>LIVIAN MARIA NEVES MUCCI 39483303877</t>
  </si>
  <si>
    <t>LIZEU POLIDORO</t>
  </si>
  <si>
    <t>LIZOMAR BEZERRA DE SOUSA - ME</t>
  </si>
  <si>
    <t>LM CALCADOS LTDA</t>
  </si>
  <si>
    <t>LM CALÇADOS LTDA</t>
  </si>
  <si>
    <t>LM MARTINS COM DE CONF LTDA</t>
  </si>
  <si>
    <t>LNC COMERCIAL DE CALCADOS LTDA</t>
  </si>
  <si>
    <t>LNL CALCADOS, RELOJOARIA E CHAVEIROS LTDA</t>
  </si>
  <si>
    <t>LO CALCADOS LTDA</t>
  </si>
  <si>
    <t>LOIDE RODRIGUES DA SILVA</t>
  </si>
  <si>
    <t>LOJA AVENIDA DECKS COM DE ART DO VESTUARIO LTDA</t>
  </si>
  <si>
    <t>LOJA B.R LTDA</t>
  </si>
  <si>
    <t>LOJA BABY KIDS LTDA</t>
  </si>
  <si>
    <t>LOJA BARRETO DE DEPARTAMENTO LTDA</t>
  </si>
  <si>
    <t>LOJA BICALHO LTDA</t>
  </si>
  <si>
    <t>LOJA CENCI  COM DE CONFECCOES E CALCADOS</t>
  </si>
  <si>
    <t>LOJA CRISTIANTEX LTDA.</t>
  </si>
  <si>
    <t>LOJA DE CALC E CONF ADRI LTDA</t>
  </si>
  <si>
    <t>LOJA DE CALCADOS ELIANE RABELO LTDA</t>
  </si>
  <si>
    <t>LOJA DE CALCADOS VANILMA LTDA</t>
  </si>
  <si>
    <t>LOJA DE CONFECCOES LEWI LTDA ME</t>
  </si>
  <si>
    <t>LOJA DE CONFECÇÕES BERTHE LTDA</t>
  </si>
  <si>
    <t>LOJA DE ROUPAS VARUNA LTDA</t>
  </si>
  <si>
    <t>LOJA ELIANE MELO LTDA- ME</t>
  </si>
  <si>
    <t>LOJA FLOR DE LIS LTDA</t>
  </si>
  <si>
    <t>LOJA FRANCA CALCADOS</t>
  </si>
  <si>
    <t>LOJA H.G. ARTIGOS ESPORTIVOS LTDA</t>
  </si>
  <si>
    <t>LOJA KANTIAN LTDA</t>
  </si>
  <si>
    <t>LOJA LUNKES LTDA</t>
  </si>
  <si>
    <t>LOJA MARANATA KIDS LTDA</t>
  </si>
  <si>
    <t>LOJA MAREMANSA LTDA</t>
  </si>
  <si>
    <t>LOJA SONHO E MAGIA LTDA</t>
  </si>
  <si>
    <t>LOJA X LTDA</t>
  </si>
  <si>
    <t>LOJAO DAS ITOUPAVAS LTDA</t>
  </si>
  <si>
    <t>LOJAO DO POVO LTDA</t>
  </si>
  <si>
    <t>LOJAO DOS CALCS. IGREJINHA LTDA.</t>
  </si>
  <si>
    <t>LOJAS FAMA COMERCIO DE CALCADOS LTDA</t>
  </si>
  <si>
    <t>LOJAS ROSE ARMARINHO LTDA</t>
  </si>
  <si>
    <t>LOJAS SOUZA E BERTOLIN LTDA</t>
  </si>
  <si>
    <t>LOJINHA DA NICA</t>
  </si>
  <si>
    <t>LONGATO &amp; LONGATO LTDA</t>
  </si>
  <si>
    <t>LOPES &amp; ALVES CALCADOS LTDA - ME</t>
  </si>
  <si>
    <t>LOPES COMERCIO DE CALCADOS TAIUVA LTDA.</t>
  </si>
  <si>
    <t>LOPES E MARIQUITO LTDA</t>
  </si>
  <si>
    <t>LOPES PREMIUM LTDA</t>
  </si>
  <si>
    <t>LOSSO MAGAZINE LTDA.</t>
  </si>
  <si>
    <t>LOURIVAL MALAGUTTI</t>
  </si>
  <si>
    <t>LOZANO FREITAS SERRA</t>
  </si>
  <si>
    <t>LUA CHEIA MAMAE E BEBE LTDA</t>
  </si>
  <si>
    <t>LUANNI SOUZA MARTINS 40727745883</t>
  </si>
  <si>
    <t>LUCAS E BARBOSA CALCADOS E ACESSORIOS LTDA</t>
  </si>
  <si>
    <t>LUCAS JOSE DE OLIVEIRA CALÇADOS</t>
  </si>
  <si>
    <t>LUCAS NASCIMENTO SILVA</t>
  </si>
  <si>
    <t>LUCCHETA ESPORTES E CONFECCOES LTDA</t>
  </si>
  <si>
    <t>LUCELIA BATALHA PRESTES</t>
  </si>
  <si>
    <t>LUCELIA MARIA DE CARVALHO ALVES</t>
  </si>
  <si>
    <t>LUCI DE FATIMA SOUSA FARIA E CIA LTDA</t>
  </si>
  <si>
    <t>LUCIA FRANQUIM DA MAIA</t>
  </si>
  <si>
    <t>LUCIANA FERNANDES SANTOS</t>
  </si>
  <si>
    <t>LUCIANA OLIVEIRA DOS SANTOS 00301291179</t>
  </si>
  <si>
    <t>LUCIANE BOGAJO VISNADI 33762779821</t>
  </si>
  <si>
    <t>LUCIELE MODAS LTDA ME</t>
  </si>
  <si>
    <t>LUCIENE M. DA SILVA MEE</t>
  </si>
  <si>
    <t>LUCIENE PRETTI PESSOA ME</t>
  </si>
  <si>
    <t>LUCIMAR NUNES BICHUETTE INACIO - ME</t>
  </si>
  <si>
    <t>LUCINEIA MENDES DE OLIVEIRA COMERCIO</t>
  </si>
  <si>
    <t>LUCIVANIA MARIA DE LIMA NEVES 05077099421</t>
  </si>
  <si>
    <t>LUCKS MODAS LTDA</t>
  </si>
  <si>
    <t>LUDWIG CALCADOS LTDA</t>
  </si>
  <si>
    <t>LUDYMILLA E ISABELA CALCADOS LTDA</t>
  </si>
  <si>
    <t>LUIS EDUARDO ALTENHOFEN</t>
  </si>
  <si>
    <t>LUIZ CARLOS SOARES &amp; CIA LTDA</t>
  </si>
  <si>
    <t>LUIZ FELIPE DE OLIVEIRA</t>
  </si>
  <si>
    <t>LUIZ GONZAGA GOMES DA SILVA 12632864100</t>
  </si>
  <si>
    <t>LUIZ MARIO ARAUJO DA SILVA</t>
  </si>
  <si>
    <t>LUIZ NUNES BARBOSA</t>
  </si>
  <si>
    <t>LUIZ PIRES DE ALMEIDA ME</t>
  </si>
  <si>
    <t>LUIZA DORIS CASAGRANDE LOPES</t>
  </si>
  <si>
    <t>LUJUANA LTDA</t>
  </si>
  <si>
    <t>LULU SAPEKINHA MODA INFANTIL LTDA</t>
  </si>
  <si>
    <t>LUMINAR CALCADOS LTDA</t>
  </si>
  <si>
    <t>LUNAIR COMERCIO DE CALCADOS LTDA</t>
  </si>
  <si>
    <t>LUPE KIDS LTDA</t>
  </si>
  <si>
    <t>LUZIANE SILVA DO NASCIMENTO 014.837.422-02</t>
  </si>
  <si>
    <t>LVMHAUBRICH CALCADOS E CONFECCOES LTDA</t>
  </si>
  <si>
    <t>M  C  DE FARIA CONFECCOES ME</t>
  </si>
  <si>
    <t>M &amp; S CALCADOS LTDA</t>
  </si>
  <si>
    <t>M A F DE QUEIROZ CONFECCOES ME</t>
  </si>
  <si>
    <t>M A FIGUEIRA COMERCIO DE ROUPAS E ACESSORIOS</t>
  </si>
  <si>
    <t>M A L DOS SANTOS E CIA LTDA</t>
  </si>
  <si>
    <t>M A MOHAMMED TAWEEL</t>
  </si>
  <si>
    <t>M A MOREIRA GOMES LTDA</t>
  </si>
  <si>
    <t>M C COMERCIO VAREJISTA DE ROUPAS LTDA</t>
  </si>
  <si>
    <t>M C DOS SANTOS CALDAS - ME</t>
  </si>
  <si>
    <t>M DA G GUEDES SILVA VESTUARIO ME</t>
  </si>
  <si>
    <t>M DE J DA S ARAUJO LIMA</t>
  </si>
  <si>
    <t>M DEUSALINA S DE OLIVEIRA ME</t>
  </si>
  <si>
    <t>M DO C DE ALMEIDA CALCADOS</t>
  </si>
  <si>
    <t>M DO CARMO MOREIRA RAMOS</t>
  </si>
  <si>
    <t>M F A ROCHA VESTUARIO ME</t>
  </si>
  <si>
    <t>M F CALCADOS E ACESSORIOS LTDA - ME</t>
  </si>
  <si>
    <t>M F DIAS CONFECCOES LTDA</t>
  </si>
  <si>
    <t>M F DOS SANTOS</t>
  </si>
  <si>
    <t>M I M A COMERCIO EMPREENDIMENTOS LTDA</t>
  </si>
  <si>
    <t>M I ZABAD</t>
  </si>
  <si>
    <t>M J B COSTA</t>
  </si>
  <si>
    <t>M J BARROSO PRIMO LTDA</t>
  </si>
  <si>
    <t xml:space="preserve">M JOSEFA DOS SANTOS </t>
  </si>
  <si>
    <t>M KIDS PRECIOSIDADES LTDA</t>
  </si>
  <si>
    <t>M L M BERTOLDO &amp; CIA LTDA</t>
  </si>
  <si>
    <t>M M DE OLIVEIRA FALCAO</t>
  </si>
  <si>
    <t>M N NOROESTE CALCADOS E ACESSORIOS LTDA</t>
  </si>
  <si>
    <t>M NOBREGA DE SOUZA CALCADOS LTDA</t>
  </si>
  <si>
    <t>M R NEVES DE OLIVEIRA ME</t>
  </si>
  <si>
    <t>M R S DOS SANTOS - ME</t>
  </si>
  <si>
    <t>M S TEIXEIRA DE SOUZA EIRELI</t>
  </si>
  <si>
    <t>M T NOGUEIRA CALCADOS</t>
  </si>
  <si>
    <t>M UNIFORMES INDUSTRIA E COMERCIO EIRELI</t>
  </si>
  <si>
    <t>M Z GOMES COMERCIO DE CALCADOS</t>
  </si>
  <si>
    <t>M. A. C. RABELO ME</t>
  </si>
  <si>
    <t>M. A. M. SOUZA FEITOSA - ME</t>
  </si>
  <si>
    <t>M. A. P. SALASAR ROCHA</t>
  </si>
  <si>
    <t>M. A. RIBEIRO &amp; S. A. RIBEIRO LTDA</t>
  </si>
  <si>
    <t>M. ANGELICA CASTELLI CORREIA ROUPAS</t>
  </si>
  <si>
    <t>M. DA S. RODRIGUES ARMARINHO EPP</t>
  </si>
  <si>
    <t>M. DE FATIMA FERREIRA BATISTA</t>
  </si>
  <si>
    <t>M. G. COSTA BARBOSA</t>
  </si>
  <si>
    <t>M. I. DE SOUSA AMARAL COMERCIO - EIRELI - EPP</t>
  </si>
  <si>
    <t>M. M. DE CARVALHO</t>
  </si>
  <si>
    <t>M. M. PEDROSA QUEIROZ ARMARINHO. MS</t>
  </si>
  <si>
    <t>M. M. TEIXEIRAM. M. TEIXEIRA</t>
  </si>
  <si>
    <t>M. NATALIA GUENES CAMPOS</t>
  </si>
  <si>
    <t>M. V. B. DE ARAÚJO</t>
  </si>
  <si>
    <t>M.A. DA COSTA PARENTE COMERCIAL</t>
  </si>
  <si>
    <t>M.C DE OLIVEIRA SCARPINI ME</t>
  </si>
  <si>
    <t>M.G. DE MORAIS ME</t>
  </si>
  <si>
    <t>M.I.C. LIMA E CIA. LTDA - E PP</t>
  </si>
  <si>
    <t>M.L. CAVALCANTE LIMA-EPP.</t>
  </si>
  <si>
    <t>M.M BEBE COMERCIO DE ROUPAS INF. LTDA -</t>
  </si>
  <si>
    <t>M.R.G. DE OLIVEIRA</t>
  </si>
  <si>
    <t>MA DA SILVA XAVIER - ME</t>
  </si>
  <si>
    <t>MACEDO E NASCIMENTO EMPREENDIMENTOS LTDA</t>
  </si>
  <si>
    <t>MADALENA CALCADOS LTDA</t>
  </si>
  <si>
    <t>MAE CORUJA CALCADOS E ACESSORIOS LTDA</t>
  </si>
  <si>
    <t>MAETESON CALCADOS EIRELI</t>
  </si>
  <si>
    <t>MAGALHAES CALCADOS E ESPORTES LTDA</t>
  </si>
  <si>
    <t>MAGALHAES E CAVALCANTE CALCADOS LTDA ME</t>
  </si>
  <si>
    <t>MAGAZINE AQUARELA LTDA</t>
  </si>
  <si>
    <t>MAGAZINE ARAGUAIA LTDA - ME</t>
  </si>
  <si>
    <t>MAGAZINE CALCADOS LTDA</t>
  </si>
  <si>
    <t>MAGAZINE GATA SAFIRA LTDA</t>
  </si>
  <si>
    <t>MAGAZINE IARA AMARAL LTDA ME</t>
  </si>
  <si>
    <t>MAGAZINE MARCIA LTDA</t>
  </si>
  <si>
    <t>MAGAZINE MARTINENSE LTDA.ME</t>
  </si>
  <si>
    <t>MAGAZINE MELIN LTDA. ME</t>
  </si>
  <si>
    <t>MAGAZINE MOREIRA LTDA</t>
  </si>
  <si>
    <t>MAGAZINE SANTA CATARINA LTDA EM RECUP JUDICIAL</t>
  </si>
  <si>
    <t>MAGAZINE SANTA FE EIRELI</t>
  </si>
  <si>
    <t>MAGAZINE TOCANTINS LTDA</t>
  </si>
  <si>
    <t>MAGDA ALTINA ARAUJO FIGUEIREDO 495872342</t>
  </si>
  <si>
    <t>MAGNA ARAUJO COSTA SALES</t>
  </si>
  <si>
    <t>MAGNA LUSIA DE FARIA BIZARRIA - EPP</t>
  </si>
  <si>
    <t>MAIARA DE ATAIDE DA SILVA ME</t>
  </si>
  <si>
    <t>MAIS BARATO CALCADOS LTDA</t>
  </si>
  <si>
    <t>MAIS CALÇADOS LTDA</t>
  </si>
  <si>
    <t>MAISA OURIVES BUENO 06340585922</t>
  </si>
  <si>
    <t>MAJU KIDS ROUPAS E ACESSORIOS INFANTIS LTDA.</t>
  </si>
  <si>
    <t>MALHARIA ZANCHETA LTDA ME</t>
  </si>
  <si>
    <t>MALU MAGAZINE COMERCIAL LTDA  ME</t>
  </si>
  <si>
    <t>MALUSA &amp; MALUSA COM.E IND.DE CALC.LTDA.ME</t>
  </si>
  <si>
    <t>MALVINA CALCADOS LTDA</t>
  </si>
  <si>
    <t>MAMAE &amp; BEBE LTDA</t>
  </si>
  <si>
    <t>MANA CALCADOS LTDA</t>
  </si>
  <si>
    <t>MANGILI &amp; ALLONSO LTDA</t>
  </si>
  <si>
    <t>MANIA MODAS LTDA.</t>
  </si>
  <si>
    <t>MANOEL CAETANO SILVA</t>
  </si>
  <si>
    <t>MANOEL CARDOSO DA SILVA ME</t>
  </si>
  <si>
    <t>MANOEL DA SILVA PEREIRA</t>
  </si>
  <si>
    <t>MANOEL GONCALVES MARTINS 27582527836</t>
  </si>
  <si>
    <t>MANOEL M DA FONSECA</t>
  </si>
  <si>
    <t>MANOEL MACHADO DOS SANTOS E CIA. LTDA.</t>
  </si>
  <si>
    <t>MANZINI &amp; MANZINI - MODA INFANTIL LTDA</t>
  </si>
  <si>
    <t>MARA MODAS CONFECCOES LTDA</t>
  </si>
  <si>
    <t>MARCELA GOMES BARBOSA ME</t>
  </si>
  <si>
    <t>MARCELLY MUNIZ DE SOUZA</t>
  </si>
  <si>
    <t>MARCELO ALENCAR GUERREIRO 15542952895</t>
  </si>
  <si>
    <t>MARCELO FELIPPE - ME</t>
  </si>
  <si>
    <t>MARCELO MARQUES DO AMARAL</t>
  </si>
  <si>
    <t>MARCHI ROSSETI &amp; CIA LTDA.</t>
  </si>
  <si>
    <t>MARCIA FELIPE DE ALMEIDA SANTOS ME</t>
  </si>
  <si>
    <t>MARCIA IVANIA DA SILVA MARINHO</t>
  </si>
  <si>
    <t>MARCIA MARIA PIECKHARDT &amp; CIA LTDA</t>
  </si>
  <si>
    <t>MARCIA SOBIRAI</t>
  </si>
  <si>
    <t>MARCIA TANIA DIAS FREITAS</t>
  </si>
  <si>
    <t>MARCILEIA APARECIDA DAS NEVES TEDESCHI ME</t>
  </si>
  <si>
    <t>MARCILENE M DE LUNA FREITAS ME</t>
  </si>
  <si>
    <t>MARCILENE PEREIRA DO NASCIMENTO MACIEL</t>
  </si>
  <si>
    <t>MARCILIO SERGIO LEITE SOUZA</t>
  </si>
  <si>
    <t>MARCIO BORGES JUNIOR</t>
  </si>
  <si>
    <t>MARCIO PAULO SANTELLI</t>
  </si>
  <si>
    <t>MARCIO ROBERTO LUIZ</t>
  </si>
  <si>
    <t>MARCO ANTONIO E RODRIGO E ESP. LTDA</t>
  </si>
  <si>
    <t>MARCO ANTONIO MARQUES BATISTA ME</t>
  </si>
  <si>
    <t>MARCONDES E LANA LTDA</t>
  </si>
  <si>
    <t>MARCOS ANTONIO MARTINS DE SOUZA</t>
  </si>
  <si>
    <t>MARCOS JOSE PIRES DE SOUZA UNIPESSOAL  LTDA</t>
  </si>
  <si>
    <t>MARCOS JUNIO ESPINDOLA SOUZA 48193134877</t>
  </si>
  <si>
    <t>MARCOS MARIN</t>
  </si>
  <si>
    <t>MARCOS ROBERTO FRANCO &amp; CIA LTDA EPP</t>
  </si>
  <si>
    <t>MARCOS WOLSCHICK</t>
  </si>
  <si>
    <t>MARCUSSO CALCADOS LTDA</t>
  </si>
  <si>
    <t>MAREDO CALCADOS LTDA</t>
  </si>
  <si>
    <t>MARESSA FRANCA DA SILVA 71010943170</t>
  </si>
  <si>
    <t>MARGARETE CANEI</t>
  </si>
  <si>
    <t>MARGARIDA M ALVES FACUNDO - EPP</t>
  </si>
  <si>
    <t>MARGARIDA MARIA AMARAL SANTOS &amp; CIA LTDA - EPP</t>
  </si>
  <si>
    <t>MARHOLT E HORST CONFECCOES E LAZER LTDA</t>
  </si>
  <si>
    <t>MARI CALCADOS ITAPEVA LTDA ME</t>
  </si>
  <si>
    <t>MARIA A M DOS SANTOS  LTDA</t>
  </si>
  <si>
    <t>MARIA ANTONIA MODAS LTDA - ME</t>
  </si>
  <si>
    <t>MARIA APARECIDA DA SILVA LIMA 01437227430</t>
  </si>
  <si>
    <t>MARIA APARECIDA DE CARVALHO 98182641349</t>
  </si>
  <si>
    <t>MARIA APARECIDA DE MENESES-57485763504</t>
  </si>
  <si>
    <t>MARIA APARECIDA DE MIRANDA CPF 97660248634 ME - ME</t>
  </si>
  <si>
    <t>MARIA APARECIDA DE SOUZA SILVA</t>
  </si>
  <si>
    <t>MARIA APARECIDA GAMA CARVALHO ME</t>
  </si>
  <si>
    <t>MARIA APARECIDA MOSCARDINI</t>
  </si>
  <si>
    <t>MARIA APARECIDA SOARES FERNANDES</t>
  </si>
  <si>
    <t>MARIA ARIANE PAIVA GUERRA</t>
  </si>
  <si>
    <t>MARIA ARLETE DA ROCHA LIMA</t>
  </si>
  <si>
    <t>MARIA B. TRENTO E CIA LTDA.</t>
  </si>
  <si>
    <t>MARIA BARBOSA DE LIMA</t>
  </si>
  <si>
    <t>MARIA BEATRIZ DE ALMEIDA</t>
  </si>
  <si>
    <t>MARIA CLEIDE SILVA DA CRUZ 74081527253</t>
  </si>
  <si>
    <t>MARIA DA CONCEICAO ALMEIDA SANTOS CARVALHO</t>
  </si>
  <si>
    <t>MARIA DA CONCEICAO SILVA ROCHA ME</t>
  </si>
  <si>
    <t>MARIA DA CRUZ SILVA DE PATAIBA</t>
  </si>
  <si>
    <t>MARIA DA GLORIA DOS SANTOS CAMPANHA</t>
  </si>
  <si>
    <t>MARIA DA LUZ CARVALHO LEAL ME</t>
  </si>
  <si>
    <t>MARIA DALVA DE JESUS DOS SANTOS</t>
  </si>
  <si>
    <t>MARIA DAMIANA TENORIO DE ARAUJO</t>
  </si>
  <si>
    <t>MARIA DAS DORES BEZERRA</t>
  </si>
  <si>
    <t>MARIA DAS DORES SILVA LIMA 53002466387</t>
  </si>
  <si>
    <t>MARIA DAS GRACAS SE SOUZA COELHO ME</t>
  </si>
  <si>
    <t>MARIA DAS NEVES DE SANTANA</t>
  </si>
  <si>
    <t>MARIA DE F. P. M. DENARDI</t>
  </si>
  <si>
    <t>MARIA DE FATIMA DE FARIAS CALCADOS- ME</t>
  </si>
  <si>
    <t>MARIA DE FATIMA GOMES FERREIRA</t>
  </si>
  <si>
    <t>MARIA DE FATIMA MOURA FE</t>
  </si>
  <si>
    <t>MARIA DE LOURDES PEREIRA BARBOSA</t>
  </si>
  <si>
    <t>MARIA DE SOUSA BRITO OLIVEIRA - ME</t>
  </si>
  <si>
    <t>MARIA DO SOCORRO ALVES LIRA 01595336354</t>
  </si>
  <si>
    <t>MARIA DO SOCORRO DE MACEDO SILVA</t>
  </si>
  <si>
    <t>MARIA EDUARDA PEREIRA DE BARCELLOS 16764400709</t>
  </si>
  <si>
    <t>MARIA ELAYNE REINALDO DA SILVA</t>
  </si>
  <si>
    <t>MARIA ELIANDRA O S AGUIAR CALCADOS</t>
  </si>
  <si>
    <t>MARIA ERONDINA SILVA DOS ANJOS</t>
  </si>
  <si>
    <t>MARIA ESTER BENETTI BOER &amp; CIA LTDA</t>
  </si>
  <si>
    <t>MARIA EUNICE ANTUNES SIQUEIRA COMÉRCIO TATUÍ LTDA EPP</t>
  </si>
  <si>
    <t>MARIA EVA NERES DE SOUSA NUNES 00582064341</t>
  </si>
  <si>
    <t>MARIA FERNANDA PAULA REGIS</t>
  </si>
  <si>
    <t>MARIA GERALDA GANZERT</t>
  </si>
  <si>
    <t>MARIA HELENA BATISTA FARIA - ME</t>
  </si>
  <si>
    <t>MARIA HELENA DE OLIVEIRA</t>
  </si>
  <si>
    <t>MARIA IEDA PEREIRA DE ALMEIDA REQUIAO</t>
  </si>
  <si>
    <t>MARIA INETE DA COSTA 05328528697</t>
  </si>
  <si>
    <t>MARIA IZABEL PEREIRA EPP</t>
  </si>
  <si>
    <t>MARIA JANAINA CARVALHO DA SILVA ALVES ME</t>
  </si>
  <si>
    <t>MARIA KARLA TELES 09772611660</t>
  </si>
  <si>
    <t>MARIA LENI MEDEIROS DE FIGUEIREDO</t>
  </si>
  <si>
    <t>MARIA LEONICE FERREIRA DA CUNHA</t>
  </si>
  <si>
    <t>MARIA LUCIMAR SCHDENEMANN DE ALMEIDA</t>
  </si>
  <si>
    <t>MARIA LUCINEIDE A LOIOLA EIRELI</t>
  </si>
  <si>
    <t>MARIA LUIZA CHECHI MOCCHETTI ME</t>
  </si>
  <si>
    <t>MARIA LÚCIA GOMES CABRAL VIEIRA ME</t>
  </si>
  <si>
    <t>MARIA MARGARETE LACOWICZ KRAUTLER CIA LTDA</t>
  </si>
  <si>
    <t>MARIA MARIAH MODAS IGUAPE LTDA ME</t>
  </si>
  <si>
    <t>MARIA MIKAELE MOREIRA DE SOUSA</t>
  </si>
  <si>
    <t>MARIA MIRIAN L SANTOS BARROS</t>
  </si>
  <si>
    <t>MARIA NAZARE PEREIRA LOIOLA ALMEIDA</t>
  </si>
  <si>
    <t>MARIA PATRICIA DE SOUSA RODRIGUES</t>
  </si>
  <si>
    <t>MARIA REJANE VASQUES FERNANDES ME</t>
  </si>
  <si>
    <t>MARIA ROSANNA ARAOZ LOJA</t>
  </si>
  <si>
    <t>MARIA SILVANA DA SILVA VARANIS</t>
  </si>
  <si>
    <t>MARIA SOLANGE PEREIRA ALENCAR EPP</t>
  </si>
  <si>
    <t>MARIA SOLIDADE BARBOSA ARRAIS</t>
  </si>
  <si>
    <t>MARIA TERRIBILE DRAMUSKA</t>
  </si>
  <si>
    <t>MARIA TRINDADE FERREIRA DA SILVA</t>
  </si>
  <si>
    <t>MARIA VALDEILDA SOBRAL DE ALMEIDA LTDA</t>
  </si>
  <si>
    <t>MARIA VILMA CESTARI ME</t>
  </si>
  <si>
    <t>MARIA VILMA DE ALENCAR PEREIRA OLIVEIRA</t>
  </si>
  <si>
    <t>MARIA VILMA TENORIO ME</t>
  </si>
  <si>
    <t>MARIA ZULEIDE FORTINI GUERINO E CIA LTDA</t>
  </si>
  <si>
    <t>MARIAH BONITA MODAS LTDA ME</t>
  </si>
  <si>
    <t>MARIAH CALÇADOS LTDA</t>
  </si>
  <si>
    <t>MARIANA CAIRES XAVIER LTDA</t>
  </si>
  <si>
    <t>MARIANGELA PEREIRA MENDES DA CRUZ &amp; CIA. LTDA</t>
  </si>
  <si>
    <t>MARIANI DE FATIMA FRANCA 06992211960</t>
  </si>
  <si>
    <t>MARIANINHA CALCADO E ROUPAS INFANTIS LTDA</t>
  </si>
  <si>
    <t>MARIAS KIDS LTDA</t>
  </si>
  <si>
    <t>MARICELIA S SANTOS BALAO MAGICO KIDS &amp; TEEN</t>
  </si>
  <si>
    <t>MARICLECIA RIBEIRO MIRANDA 03356912348</t>
  </si>
  <si>
    <t>MARIELY DE L. BEZERRA</t>
  </si>
  <si>
    <t>MARIGA CALCADOS, CONFECCOES, ESPORTE E PAPELARIA LTDA</t>
  </si>
  <si>
    <t>MARIINHA CONFECCOES LTDA</t>
  </si>
  <si>
    <t>MARILIA OLIVEIRA VARGAS</t>
  </si>
  <si>
    <t>MARILIA TECIDOS LTDA</t>
  </si>
  <si>
    <t>MARINA ALA MOLLO</t>
  </si>
  <si>
    <t>MARINA COMERCIO DE CALCADOS E CONFECCOES LTDA</t>
  </si>
  <si>
    <t>MARINELLA COM.DE CALCADOS LTDA</t>
  </si>
  <si>
    <t>MARINES BARBIERO MOGNON</t>
  </si>
  <si>
    <t>MARIO CESAR REIS E SILVA ME</t>
  </si>
  <si>
    <t>MARIO HENRIQUE MEDEIROS DE LIMA</t>
  </si>
  <si>
    <t>MARIO TECIDOS E CONFECÇÕES LTDA</t>
  </si>
  <si>
    <t>MARIONICE GONCALVES ZANIN VIEIRA</t>
  </si>
  <si>
    <t>MARISOL LACERDA FAGUNDES</t>
  </si>
  <si>
    <t>MARITANHA COGO BERLEZ</t>
  </si>
  <si>
    <t>MARIVAN KID'S MODAS LTDA</t>
  </si>
  <si>
    <t>MARLETE DE PINHO PASSOS</t>
  </si>
  <si>
    <t>MARLI  A M RORATO - CONFECCOES</t>
  </si>
  <si>
    <t>MARLI DOS SANTOS ZALESKI</t>
  </si>
  <si>
    <t>MARLI ILZE FERENSOVICZ</t>
  </si>
  <si>
    <t>MARLY ALVES FEREIRA - BADY BASSITT - ME</t>
  </si>
  <si>
    <t>MARLY APARECIDA PEREIRA DOS SANTOS</t>
  </si>
  <si>
    <t>MARLY GARCIA DE OLVEIRA PALHARES</t>
  </si>
  <si>
    <t>MARQUES E QUEIROZ LTDA</t>
  </si>
  <si>
    <t>MARRA E SANTOS LTDA.</t>
  </si>
  <si>
    <t>MARRALLEY COMERCIO DE CACADOS LTDA</t>
  </si>
  <si>
    <t>MARTA I CALSING</t>
  </si>
  <si>
    <t>MARTA MADALENA MOREIRA</t>
  </si>
  <si>
    <t>MARTIELI REAL WEBER</t>
  </si>
  <si>
    <t>MARUGAL COM CALC E ART ESP LTDA-ME</t>
  </si>
  <si>
    <t>MARYANA PEREIRA DA COSTA</t>
  </si>
  <si>
    <t>MATHEUS HENRIQUE DE FARIAS SILVA COMERCIO DE CALCADOS</t>
  </si>
  <si>
    <t>MATIAS &amp; SILVA CALCADOS LTDA</t>
  </si>
  <si>
    <t>MATILDE GONCALVES DA CUNHA AURIFLAMA ME</t>
  </si>
  <si>
    <t>MATOS E ZANINETI LTDA ME</t>
  </si>
  <si>
    <t>MATOS MATOS CALCADOS LTDA ME</t>
  </si>
  <si>
    <t>MAURICIO ANTONIO DE CARVALHO ARRAIS CALCADOS ME</t>
  </si>
  <si>
    <t>MAURICIO ANTONIO VALENTE - ME</t>
  </si>
  <si>
    <t>MAURICIO BROSCO</t>
  </si>
  <si>
    <t>MAURO TAMBOSI  CIA LTDA</t>
  </si>
  <si>
    <t>MAURÍCIO BONATTI</t>
  </si>
  <si>
    <t>MAYARA ALMEIDA SANTOS COELHO</t>
  </si>
  <si>
    <t>MAYARA IRIS SILVA PEREIRA</t>
  </si>
  <si>
    <t>MDF SHOP E-COMERCE LTDA</t>
  </si>
  <si>
    <t>MEGA LOJA CASTELINHO DO BEBÊ EIRELLI</t>
  </si>
  <si>
    <t>MEGGA MANIA BANDEIRANTES LTDA</t>
  </si>
  <si>
    <t>MEILA MARTINEZ ROCHA ME</t>
  </si>
  <si>
    <t>MELIANE DA SILVA MARQUES EIRELI</t>
  </si>
  <si>
    <t>MELICE CALÇADOS E CONFECCOES</t>
  </si>
  <si>
    <t>MELO &amp; MELO LTDA</t>
  </si>
  <si>
    <t>MELO E MEDEIROS COMERCIO VAREJISTA DE CALCADOS LTDA</t>
  </si>
  <si>
    <t>MELO MENDES COMERCIAL DE CALCADOS E CONFECCOES LTDA - ME</t>
  </si>
  <si>
    <t>MENDES COMERCIO EIRELI</t>
  </si>
  <si>
    <t>MENEZES CALCADOS LTDA</t>
  </si>
  <si>
    <t>MERCADAO CALCANDO O PE LTDA</t>
  </si>
  <si>
    <t>MERCADINHO DO BEBE</t>
  </si>
  <si>
    <t>MERCIA FUDIKO TONYAMA YAMASHITA ME</t>
  </si>
  <si>
    <t>MEREANI CORREA DE CASTRO-ME</t>
  </si>
  <si>
    <t>MERY CONFECCOES E PRESENTES LTDA</t>
  </si>
  <si>
    <t>MEU CHINELO CALÇADOS E ROUPAS LTDA</t>
  </si>
  <si>
    <t>MF SOLUCOES IMPORTADORA E EXPORTADORA LTDA</t>
  </si>
  <si>
    <t>MG DA SILVA CALÇADOS</t>
  </si>
  <si>
    <t>MGADES COM DE CALCADOS E VEST LTDA</t>
  </si>
  <si>
    <t>MICHELE ALINE TAVARES</t>
  </si>
  <si>
    <t>MICHELE MODAS LTDA</t>
  </si>
  <si>
    <t>MIKAELI R M TEIXEIRA</t>
  </si>
  <si>
    <t>MIKAELL PRESENTES LTDA</t>
  </si>
  <si>
    <t>MIL PES CALCADOS DE FARTURA LTDA ME</t>
  </si>
  <si>
    <t>MILENE CALCADOS LTDA</t>
  </si>
  <si>
    <t>MILLA CALCADOS LTDA</t>
  </si>
  <si>
    <t>MILTON C G E SILVA ROUPAS</t>
  </si>
  <si>
    <t>MINAS PE CALCADOS LTDA ME</t>
  </si>
  <si>
    <t>MINE LOJA TRES IRMAOS LTDA EPP</t>
  </si>
  <si>
    <t>MINI LOOK LTDA</t>
  </si>
  <si>
    <t>MINI MUNDO KIDS&amp;BABY COMERCIO VAREJISTA DE ROUPAS E ACESSORI</t>
  </si>
  <si>
    <t>MIRIAM MODAS INFANTIL LTDA ME</t>
  </si>
  <si>
    <t>MIRIAN RODRIGUES SHOES</t>
  </si>
  <si>
    <t>MISLENE FERREIRA HILARIO</t>
  </si>
  <si>
    <t>MISS DO PE COMERCIO VAREJISTA DE CALCADOS LTDA</t>
  </si>
  <si>
    <t>MIX CALÇADOS LTDA</t>
  </si>
  <si>
    <t>MIX DO VINTE LTDA</t>
  </si>
  <si>
    <t>MIZAEL KLOSSOWSKI</t>
  </si>
  <si>
    <t>MJ COM . FRALDAS CON E PRODUTOS INFANTIS LTDA</t>
  </si>
  <si>
    <t>MOANNA KIDS MODA INFANTO JUVENIL LTDA</t>
  </si>
  <si>
    <t>MOBILE ENTREGAS SERVICOS E LOGISTICA LTDA</t>
  </si>
  <si>
    <t>MODA E CALCE ANSILIERO LTDA ME</t>
  </si>
  <si>
    <t>MODA MANNIA KIDS LTDA</t>
  </si>
  <si>
    <t>MODA MENOR CONFECCOES E CALCADOS LTDA</t>
  </si>
  <si>
    <t>MODAS IPANEMA LTDA - ME</t>
  </si>
  <si>
    <t>MODAS TARDELLI LTDA ME</t>
  </si>
  <si>
    <t>MODINHA CALCADOS LTDA</t>
  </si>
  <si>
    <t>MODINHA DOS PÉS CAL EIRELI</t>
  </si>
  <si>
    <t>MONICA CANDIDO RAMOS</t>
  </si>
  <si>
    <t>MONICA JEREMIAS ME</t>
  </si>
  <si>
    <t>MONICA MEDEIROS DE ARAUJO</t>
  </si>
  <si>
    <t>MONICA SOARES DE ASSUMPÇÃO</t>
  </si>
  <si>
    <t>MORANGUINHO MODA INFANTIL LTDA EPP</t>
  </si>
  <si>
    <t>MOREIRA LIMA E NETO LTDA</t>
  </si>
  <si>
    <t>MOSTAFA COMERCIO INFANTO JUVENIL LTDA</t>
  </si>
  <si>
    <t>MOTA &amp; LIMEIRA LTDA</t>
  </si>
  <si>
    <t>MOUBELLE LTDA</t>
  </si>
  <si>
    <t>MPS COMERCIO DE MODA E ACESSORIOS INFANTIS LTDA</t>
  </si>
  <si>
    <t>MSH IMPORTADOS DO VESTUARIO E ARTIGOS LTDA</t>
  </si>
  <si>
    <t>MSM COMERCIO DE CALCADOS LTDA ME</t>
  </si>
  <si>
    <t>MULEKADA BRASIL PRODUTOS INFANTIS LTDA ME</t>
  </si>
  <si>
    <t>MULLER COM DE CALCADOS LTDA</t>
  </si>
  <si>
    <t>MUNDIAL COM DE ART ESP CALC LTDA ME</t>
  </si>
  <si>
    <t>MUNDO BABY COMERCIAL LTDA ME</t>
  </si>
  <si>
    <t>MUNDO DAS MALHAS- ME</t>
  </si>
  <si>
    <t>MUNDO ENCANTADO MODA INFANTIL</t>
  </si>
  <si>
    <t>N A CONFEC LTDA</t>
  </si>
  <si>
    <t>N C RODRIGUES SPORTS LTDA</t>
  </si>
  <si>
    <t>N DE F ALMEIDA GASETTA - ME</t>
  </si>
  <si>
    <t>N F BIAVATI E BIAVATI LTDA</t>
  </si>
  <si>
    <t>N F CALCADOS LTDA</t>
  </si>
  <si>
    <t>N G LINHARES COSTA</t>
  </si>
  <si>
    <t>N LIMA CORDEIRO MEE</t>
  </si>
  <si>
    <t>N M SARAIVA ME</t>
  </si>
  <si>
    <t>N N V CALCADOS CONFECCOES LTDA EPP</t>
  </si>
  <si>
    <t>N SALEH ABDALLA ME</t>
  </si>
  <si>
    <t>N W CALCADOS LTDA</t>
  </si>
  <si>
    <t>N.B. LEITE CIA LTDA</t>
  </si>
  <si>
    <t>NADIA DAGA MIOTTO &amp; CIA LTDA</t>
  </si>
  <si>
    <t>NADIA MARIA RENDA</t>
  </si>
  <si>
    <t>NAIRA REGINA DE MORAES</t>
  </si>
  <si>
    <t>NALANDA CALCADOS LTDA</t>
  </si>
  <si>
    <t>NANDO E PATY COMERCIO E TRANSPORTES LTDA</t>
  </si>
  <si>
    <t>NANE &amp; NINI CONFECCOES LTDA</t>
  </si>
  <si>
    <t>NANEN CALC LTDA ME</t>
  </si>
  <si>
    <t>NARA MARIA SENA DOS SANTOS</t>
  </si>
  <si>
    <t>NARA PATRICIA DA SILVA RAMOS 87130793104</t>
  </si>
  <si>
    <t>NASCIMENTO SANTANA COMERCIO DE VESTUARIO LTDA</t>
  </si>
  <si>
    <t>NATALIA MENELLA ME</t>
  </si>
  <si>
    <t>NATALIA MODAS E ACESSORIOS LTDA</t>
  </si>
  <si>
    <t>NATHALIA BRASIL DE CASTRO 12886126721</t>
  </si>
  <si>
    <t>NAVIRAI CALCADOS LTDA</t>
  </si>
  <si>
    <t>NAYRA ANDRESSA SILVA MILLARD 09020526677</t>
  </si>
  <si>
    <t>NAZARENO CALCADOS LTDA</t>
  </si>
  <si>
    <t>NEIDIMAR DONATO GUIMARAES DA SILVA</t>
  </si>
  <si>
    <t>NEIVA INES OBERHERR</t>
  </si>
  <si>
    <t>NEIVANIR LAUTHARTH ROSSINI ME</t>
  </si>
  <si>
    <t>NELDI TURATTO E FILHOS LTDA ME</t>
  </si>
  <si>
    <t>NELI DE ALCÂNTARA</t>
  </si>
  <si>
    <t>NELSI MARIA FUCILINI MACIEL</t>
  </si>
  <si>
    <t>NELSON CALCADOS PAINEIRAS LTDA</t>
  </si>
  <si>
    <t>NELSON F. DE RAMOS</t>
  </si>
  <si>
    <t>NENAVIT CONFECCOES LTDA</t>
  </si>
  <si>
    <t>NERCI FERREIRA ME</t>
  </si>
  <si>
    <t>NERIA DE PINHO TAVARES BARROSO</t>
  </si>
  <si>
    <t>NESSA COMERCIO DE ROUPAS LTDA</t>
  </si>
  <si>
    <t>NETE E SIL COMERCIO DE CALCADOS LTDA</t>
  </si>
  <si>
    <t>NEUCIMAR INOCENTE</t>
  </si>
  <si>
    <t>NEUSA PILARSKI NOVACOVSKI 02773527976</t>
  </si>
  <si>
    <t>NEUSA RODRIGUES BARBOSA CALCADOS-ME</t>
  </si>
  <si>
    <t>NEUZA DE FATIMA BONKEVICH ME</t>
  </si>
  <si>
    <t>NEUZA MARIA PONTES &amp; CIA LTDA</t>
  </si>
  <si>
    <t>NEUZA PEDRO MALVEZZI</t>
  </si>
  <si>
    <t>NEW CONCEPT STORE COMERCIO VAREJISTA DE CALCADOS LTDA</t>
  </si>
  <si>
    <t>NEW STAR CALCADOS LTDA</t>
  </si>
  <si>
    <t>NILLUS CALCADOS LTDA - ME</t>
  </si>
  <si>
    <t>NILMA APARECIDA FARIA PEREIRA</t>
  </si>
  <si>
    <t>NILSON SANTANA DE AMORIM</t>
  </si>
  <si>
    <t>NILSSEIA FERREIRA MAIA</t>
  </si>
  <si>
    <t>NINA CALCADOS LTDA</t>
  </si>
  <si>
    <t>NINA LU KIDS VESTUARIO LTDA</t>
  </si>
  <si>
    <t>NINA SPORT COMÉRCIO DE CONFECCOES LTDA</t>
  </si>
  <si>
    <t>NININHA INFANTIL LTDA</t>
  </si>
  <si>
    <t>NINNA BV COM INFANTIL LTDA</t>
  </si>
  <si>
    <t>NIPPON-MAGAZINE E CONFECCOES LTDA</t>
  </si>
  <si>
    <t>NIVALDO MORENO</t>
  </si>
  <si>
    <t>NOBRE MAGAZINE LTDA</t>
  </si>
  <si>
    <t>NOEL BABY CONFECÇÕES LTDA</t>
  </si>
  <si>
    <t>NOELI CASAROTTO 00603227996</t>
  </si>
  <si>
    <t>NOIA CALCADOS - EIRELI - EPP</t>
  </si>
  <si>
    <t>NOPE CALCADOS LTDA ME</t>
  </si>
  <si>
    <t>NORBI CALCADOS LTDA</t>
  </si>
  <si>
    <t>NORTE MAGAZINE COMERCIO DE ARTIGOS DO VESTUARIO LTDA.</t>
  </si>
  <si>
    <t>NOSSO LAR COMERCIO DO VESTUARIO LTDA - EPP</t>
  </si>
  <si>
    <t>NOVA ESPERANCA MOV E ELETRODOMESTICOS LTDA</t>
  </si>
  <si>
    <t>NOVA FATIMA CALCADOS E CONFECCOES LTDA</t>
  </si>
  <si>
    <t>NOVA MUNDIAL CENTER LTDA-EPP</t>
  </si>
  <si>
    <t>NOVA PROGRESSO CALCADOS LTDA ME</t>
  </si>
  <si>
    <t>NOVAL JOSE DO NASCIMENTO</t>
  </si>
  <si>
    <t>NOVE IRMAOS CALCADOS ART.ESPORTIVOS LTDA</t>
  </si>
  <si>
    <t>NOVIDADE CONCEITO COMERCIAL DE CALÇADOS LTDA</t>
  </si>
  <si>
    <t>NOVOPORTO CALCADOS LTDA</t>
  </si>
  <si>
    <t>NV OLIVEIRA ROUPAS E CALCADOS LTDA</t>
  </si>
  <si>
    <t>O J FANTIN ME</t>
  </si>
  <si>
    <t>O M PRADO DO NASCIMENTO DE MELLO CALCADOS</t>
  </si>
  <si>
    <t>OBADIAS GOMES PEREIRA CALCADOS</t>
  </si>
  <si>
    <t>ODAIR JOSE MEDEIROS</t>
  </si>
  <si>
    <t>ODAVIAS FERNANDES DA SILVA - ME</t>
  </si>
  <si>
    <t>ODENIR TEREZINHA FIDRISWSKI BAGETTI</t>
  </si>
  <si>
    <t>ODETE REIS SOUZA</t>
  </si>
  <si>
    <t>OLDAIR FONTANA-ME</t>
  </si>
  <si>
    <t>OLDONI E CIA LTDA</t>
  </si>
  <si>
    <t>OLIVEIRA &amp; GUIMARAES LTDA</t>
  </si>
  <si>
    <t>OLIVEIRA E LAURINDO LTDA ME</t>
  </si>
  <si>
    <t>OLIVEIRA FARIA &amp; FARIA LTDA.</t>
  </si>
  <si>
    <t>OLIVERO COMERCIO DE CALCADOS EIRELI</t>
  </si>
  <si>
    <t>OM ALLI ME</t>
  </si>
  <si>
    <t>OMAR COMERCIO DE CALCADOS LTDA</t>
  </si>
  <si>
    <t>ONIRAM SOARES DO NASCIMENTO EPP</t>
  </si>
  <si>
    <t>ONOFRE ALVES DO NASCIMENTO</t>
  </si>
  <si>
    <t>OPCAO CALCADOS DE BRODOWSKI LTDA ME</t>
  </si>
  <si>
    <t>ORGANIZACAO IRMAS MAURICIO LTDA. ME.</t>
  </si>
  <si>
    <t>ORLANDO DIB &amp; CIA</t>
  </si>
  <si>
    <t>ORLEI BROGNOLI DAROS ME</t>
  </si>
  <si>
    <t>OSANA ANA DE LIRA GARRIDO ME</t>
  </si>
  <si>
    <t>OSILEIA CALCADOS E CONFECCOES LTDA</t>
  </si>
  <si>
    <t>OSMARINA ABREU MORAIS - ME</t>
  </si>
  <si>
    <t>OTAVIO JOSE VELASQUES PELLIZZARO</t>
  </si>
  <si>
    <t>OTMAN &amp; OTMAN</t>
  </si>
  <si>
    <t>OTÁVIO LUIZ BRAGA</t>
  </si>
  <si>
    <t>OUTLET INFANTIL BAZAR CHIC LTDA</t>
  </si>
  <si>
    <t>OZAIR JOSE DA SILVA DE AZEVEDO VESTUARIO</t>
  </si>
  <si>
    <t>OZEIAS R. DA SILVA ARTIGOS DO VESTUÁRIO</t>
  </si>
  <si>
    <t>OZIEL PEREIRA COSTA</t>
  </si>
  <si>
    <t>P D GOMES DE ALMEIDA</t>
  </si>
  <si>
    <t>P DE PAULA GOMES - ME</t>
  </si>
  <si>
    <t>P J SILVA MOITA</t>
  </si>
  <si>
    <t>P M DA SILVA COMÉRCIO DE IMP. E EXP. EPP</t>
  </si>
  <si>
    <t>P S A NASCIMENTO CALCADOS E REPRESENTACOES LTDA</t>
  </si>
  <si>
    <t>P.C. DE LIMA MELO EPP</t>
  </si>
  <si>
    <t>P.I. YAMAUCHI</t>
  </si>
  <si>
    <t>P.M. ALVES DA COSTA PETERNELLI CONFECCOES</t>
  </si>
  <si>
    <t>PAGUE POKO KIDS LTDA</t>
  </si>
  <si>
    <t>PAIS &amp; FILHOS CONFECCOES LTDA - ME</t>
  </si>
  <si>
    <t>PALMAR CONFECCOES LTDA</t>
  </si>
  <si>
    <t>PAMELA VIEIRA 11870533925</t>
  </si>
  <si>
    <t>PANDALE COMERCIO DE ARTIGOS INFANTIS EIRELLI</t>
  </si>
  <si>
    <t>PANTENI COMERCIO DE CALCADOS E CONFECCOES LTDA</t>
  </si>
  <si>
    <t>PAPARICO BABY MODA INFANTIL LTDA- ME</t>
  </si>
  <si>
    <t>PAPELARIA SAITOITODA LTDA ME</t>
  </si>
  <si>
    <t>PARAISO COMERCIO DE VESTUARIO LTDA</t>
  </si>
  <si>
    <t>PARAISO DOS CALCADOS SAO FRANCISCO LTDA</t>
  </si>
  <si>
    <t>PARAISO INFANTIL COM. DE ROUPAS LTDA</t>
  </si>
  <si>
    <t>PARANA CALCADOS LTDA</t>
  </si>
  <si>
    <t>PASSARELA CALCADOS LTDA</t>
  </si>
  <si>
    <t>PASSARELA DOS PES MIGUEL COUTO SAPATARIA LTDA</t>
  </si>
  <si>
    <t>PASSO A PASSO BOLSAS E CALÇADOS LTDA</t>
  </si>
  <si>
    <t>PASSOS MAGICOS LTDA</t>
  </si>
  <si>
    <t>PATOTINHA MODA INFANTIL LTDA</t>
  </si>
  <si>
    <t>PATRICIA DE ALMEIDA PASSOS - ME</t>
  </si>
  <si>
    <t>PATRICIA RAUBER CONFECCOES LTDA</t>
  </si>
  <si>
    <t>PATRICIA RUIZ FERREIRA</t>
  </si>
  <si>
    <t>PATRICIA SILVANA DE ALMEIDA REIS</t>
  </si>
  <si>
    <t>PATRICIA SORAYA SENA</t>
  </si>
  <si>
    <t>PAULA CINTHIA M BEZERRA</t>
  </si>
  <si>
    <t>PAULA MARA SANTOS MOREIRA ME</t>
  </si>
  <si>
    <t>PAULO CESAR NUNES ME</t>
  </si>
  <si>
    <t>PAULO CESAR RIBEIRO FORTES</t>
  </si>
  <si>
    <t>PAULO CEZAR CAPELETTI ME</t>
  </si>
  <si>
    <t>PAULO DELLA BRUNA</t>
  </si>
  <si>
    <t>PAULO MARTINS RIBEIRO DE SOUZA</t>
  </si>
  <si>
    <t>PAULO S.A. ORTIGOZA &amp; IRMAOS LTDA</t>
  </si>
  <si>
    <t>PAULO VINICIUS CALCADOS EIRELI</t>
  </si>
  <si>
    <t>PE CHIQUE EIRELI ME</t>
  </si>
  <si>
    <t>PE DE ANJO CALCADOS LTDA - ME</t>
  </si>
  <si>
    <t>PE LELE CALCADOS INF E ACESS LTDA ME</t>
  </si>
  <si>
    <t>PEDRO MARCELO OLIVEIRA COSTA - ME</t>
  </si>
  <si>
    <t>PEDRO MARISTE MARTINI MANICA</t>
  </si>
  <si>
    <t>PEDRO MARTELOZO</t>
  </si>
  <si>
    <t>PEDRO PTAK - COMERCIO DE ROUPAS</t>
  </si>
  <si>
    <t>PEDRO ROMANICHEN</t>
  </si>
  <si>
    <t>PEGORA MODA INFANTIL LTDA</t>
  </si>
  <si>
    <t>PERES &amp; VIDEIRA LTDA</t>
  </si>
  <si>
    <t>PERFIL CALCADOS E ACESSORIOS</t>
  </si>
  <si>
    <t>PERFUMARIA VITÓRIA REGIA LTDA ME</t>
  </si>
  <si>
    <t>PEROLA &amp; ALGODAO KIDS LTDA</t>
  </si>
  <si>
    <t>PES E CIA LTDA EPP</t>
  </si>
  <si>
    <t>PES E PE CALCADOS LTDA</t>
  </si>
  <si>
    <t>PESSORRUSSO E PESSORRUSSO LTDA.-ME.</t>
  </si>
  <si>
    <t>PETRA SHOP COM DE CONFEC LTDA</t>
  </si>
  <si>
    <t>PETRONIO GUSTAVO BEZERRA AMARAL</t>
  </si>
  <si>
    <t>PEZINHO DE ANJO COMERCIO DE CALÇADOS INFANTO-JUVENIL</t>
  </si>
  <si>
    <t>PEZINHO MAGICO LTDA</t>
  </si>
  <si>
    <t>PICOLO COMERCIO DE VARIEDADES LTDA</t>
  </si>
  <si>
    <t>PILAR CALCADOS ACESSÓRIOS LTDA</t>
  </si>
  <si>
    <t>PINGUIM KIDS MODA INFANTO JUVENIL EIRELI</t>
  </si>
  <si>
    <t>PINHEIRO CALÇADOS E ACESSORIOS LTDA</t>
  </si>
  <si>
    <t>PIQUE PEGA CALCADOS LTDA</t>
  </si>
  <si>
    <t>PIROLLA CALÇADOS LTDA ME</t>
  </si>
  <si>
    <t>PISA BRASIL CALÇADOS LTDA</t>
  </si>
  <si>
    <t>PISA LEVE CALCADOS E ACESSÓRIOS EIRELI</t>
  </si>
  <si>
    <t>PISE LEVE COM DE CALCADOS LTDA</t>
  </si>
  <si>
    <t>PISTA LIVRE CALCADOS E ACESSORIOS LTDA - ME</t>
  </si>
  <si>
    <t>PITAGORAS DE MELO LINHARES</t>
  </si>
  <si>
    <t>PITER ESPORTES LTDA</t>
  </si>
  <si>
    <t>PIZZATTO CALCADOS LTDA ME</t>
  </si>
  <si>
    <t>PIZZERO CALCADOS LTDA - ME</t>
  </si>
  <si>
    <t>PIZZI &amp; COUTINHO LTDA</t>
  </si>
  <si>
    <t>PLANET SHOES LTDA</t>
  </si>
  <si>
    <t>PLANETA BABY TEEN COMERCIO DE ARTIGOS INFANTIS LTDA</t>
  </si>
  <si>
    <t>PLÁTANO COMERCIO DE CALCADOS</t>
  </si>
  <si>
    <t>POINT DA GALERINHA COMERCIO DE CONFECCOES LTDA</t>
  </si>
  <si>
    <t>POLIANA PEREIRA VIEIRA DE AQUINO</t>
  </si>
  <si>
    <t>POLIS &amp; PESSUTTI LTDA</t>
  </si>
  <si>
    <t>PONTA PE CALCADOS LTDA.</t>
  </si>
  <si>
    <t>PONTOAKAN MAGAZINE LTDA</t>
  </si>
  <si>
    <t>POVEDA E POVEDA MODAS E ACESSORIOS LTDA ME</t>
  </si>
  <si>
    <t>PRADO CALCADOS LTDA ME</t>
  </si>
  <si>
    <t>PRAZERES COMERCIO DE CALCADOS LTDA</t>
  </si>
  <si>
    <t>PRECIOSO PE CALCADOS LTDA</t>
  </si>
  <si>
    <t>PRECO REAL MODAS LTDA</t>
  </si>
  <si>
    <t>PREDI COMERCIAL SOSSAI LTDA</t>
  </si>
  <si>
    <t>PRESSER COMERCIO DE CALCADOS LTDA</t>
  </si>
  <si>
    <t>PRINCE &amp; POSSATO LTDA - ME</t>
  </si>
  <si>
    <t>PRISCILA CARDOSO DE LIMA MELO &amp; CIA LTDA</t>
  </si>
  <si>
    <t>PRISCILA FRANCENER &amp; CIA LTDA</t>
  </si>
  <si>
    <t>PRISCILA MADRUGA GUTERRES</t>
  </si>
  <si>
    <t>PRISCILA MAGAZINE LTDA</t>
  </si>
  <si>
    <t>PRISCILLA M V ALVES COMERCIO DE ARTIGOS DO VESTUARIO ME</t>
  </si>
  <si>
    <t>PROCIUNCLA &amp; CIA LTDA</t>
  </si>
  <si>
    <t>PRUDENCIO MODA MIX LTDA ME</t>
  </si>
  <si>
    <t>PS CAETANO CONFECCOES ME</t>
  </si>
  <si>
    <t>PUPPI &amp; CIA. LTDA.</t>
  </si>
  <si>
    <t>QUELLI ANE DE LIMA BASEGGIO</t>
  </si>
  <si>
    <t>QUINTO ANJO COMÉRCIO DE CALCADOS LTDA</t>
  </si>
  <si>
    <t>R &amp; W  LTDA- ME</t>
  </si>
  <si>
    <t>R A A  SANTOS URANO E CIA  LTDA ME</t>
  </si>
  <si>
    <t>R A CALCADOS LTDA</t>
  </si>
  <si>
    <t>R A COMERCIO DE ROUPAS LTDA</t>
  </si>
  <si>
    <t>R A CORDEIRO ME</t>
  </si>
  <si>
    <t>R A DE AGUIAR E SILVA COMERCIO LTDA ME</t>
  </si>
  <si>
    <t>R A SILVA IMPORTACAO E EXPORTACAO LTDA ME</t>
  </si>
  <si>
    <t>R C DA SILVA ALMEIDA</t>
  </si>
  <si>
    <t>R F COMERCIAL E DISTRIBUIDORA DE ARTIGOS ESPORTIVOS LTDA</t>
  </si>
  <si>
    <t>R F FREITAS</t>
  </si>
  <si>
    <t>R FIN BRASIL COMERCIO DE COMBUSTIVEIS UNIPESSOAL LTDA</t>
  </si>
  <si>
    <t>R FREIBERGER COMERCIO DO VESTUARIO</t>
  </si>
  <si>
    <t>R J DOS SANTOS NETO</t>
  </si>
  <si>
    <t>R M G LIMA &amp; CIA LTDA</t>
  </si>
  <si>
    <t>R R VIEIRA COMERCIO</t>
  </si>
  <si>
    <t>R RIGONI ME</t>
  </si>
  <si>
    <t>R S SILVEIRA ME</t>
  </si>
  <si>
    <t>R T SARAIVA ME</t>
  </si>
  <si>
    <t>R. A. DE AGUIAR &amp; CIA. LTDA - ME</t>
  </si>
  <si>
    <t>R. B. S. ARAUJO - ME.</t>
  </si>
  <si>
    <t>R. BANDEIRA LOIOLA</t>
  </si>
  <si>
    <t>R. FERNANDES DA SILVA SOUSA-ME</t>
  </si>
  <si>
    <t>R. I. DE SOUZA SANTOS</t>
  </si>
  <si>
    <t>R. M. RIBEIRO &amp; B. RIBEIRO LTDA</t>
  </si>
  <si>
    <t>R. MENDES DE LIMA</t>
  </si>
  <si>
    <t>R. N. AMORIM</t>
  </si>
  <si>
    <t>R. N. F. SANTOS</t>
  </si>
  <si>
    <t>R. S. A. GOMES SOUSA</t>
  </si>
  <si>
    <t>R. T. NOGUEIRA - CALCADOS ME</t>
  </si>
  <si>
    <t>R. TANAKA &amp; CIA LTDA</t>
  </si>
  <si>
    <t>R. W. V. REZENDE LTDA</t>
  </si>
  <si>
    <t>R.G.BARRETO CALÇADOS - ME</t>
  </si>
  <si>
    <t>R.MARCON E CIA LTDA</t>
  </si>
  <si>
    <t>R.R.PEREIRA COM.DE CALC. ART. ESP. VEST.</t>
  </si>
  <si>
    <t>RAFAEL LOURENCO DE OLIVEIRA</t>
  </si>
  <si>
    <t>RAFAELA CABRAL DE MARCOS ME</t>
  </si>
  <si>
    <t>RAFAELA FARIAS FREIRE</t>
  </si>
  <si>
    <t>RAFAELA OVANDO JARA LTDA</t>
  </si>
  <si>
    <t>RAFAELA SHOES LTDA</t>
  </si>
  <si>
    <t>RAFAELLE DE JESUS DOS SANTOS RIBEIRO 04942950236</t>
  </si>
  <si>
    <t>RAFIC YOUSSEF EL MOUALLEM &amp; CIA LTDA.</t>
  </si>
  <si>
    <t>RAIMUNDA GRACA SOUZA 83070206204</t>
  </si>
  <si>
    <t>RAIMUNDA MARIA RABELO</t>
  </si>
  <si>
    <t>RAIMUNDO DA SILVA MORAIS</t>
  </si>
  <si>
    <t>RAIMUNDO PEREIRA CARDOSO</t>
  </si>
  <si>
    <t>RAIMUNDO RIBEIRO DANTAS</t>
  </si>
  <si>
    <t>RAJOS COMERCIO DE CALCADOS E ACESSORIOS LTDA</t>
  </si>
  <si>
    <t>RAMANDA GUIMARAES SILVA</t>
  </si>
  <si>
    <t>RAMI CALCADOS LTDA</t>
  </si>
  <si>
    <t>RANCHO SHOPPING GAUCHO LTDA EPP</t>
  </si>
  <si>
    <t>RANUNCIO MENEZES MONORA</t>
  </si>
  <si>
    <t>RAQUEL FASHION LTDA</t>
  </si>
  <si>
    <t>RAQUISLAMELE COMERCIO DE CALCADOS LTDA ME</t>
  </si>
  <si>
    <t>RCE CALCADOS EIRELI ME</t>
  </si>
  <si>
    <t>REAL MAKRO CALCADOS LTDA LJ 6060</t>
  </si>
  <si>
    <t>REALANE COMERCIO DE CALCADOS  LTDA</t>
  </si>
  <si>
    <t>RECEM CHEGADOS ROUPAS E ACESSORIOS INFANTIS LTDA</t>
  </si>
  <si>
    <t>REDE MAIS CALCADOS</t>
  </si>
  <si>
    <t>REDE UNIAO DE LOJISTAS DO VESTUARIO E CALCADOS LTDA</t>
  </si>
  <si>
    <t>REDERSON MILEO KRUBINIKI EPP</t>
  </si>
  <si>
    <t>REDUTTO DA MODA LTDA</t>
  </si>
  <si>
    <t>REGIANE CRISTINA BACELLAR</t>
  </si>
  <si>
    <t>REGINA MARCIA BRAIT SAVAN ME</t>
  </si>
  <si>
    <t>REIF MAGAZINE LTDA</t>
  </si>
  <si>
    <t>REIS CALCADOS LTDA</t>
  </si>
  <si>
    <t>REIVAX CALCADOS LTDA.</t>
  </si>
  <si>
    <t>REKINTE SAPATOS LTDA</t>
  </si>
  <si>
    <t>RENAILDE FERREIRA DE OLIVEIRA</t>
  </si>
  <si>
    <t>RENANDRO EMPREDIMENTOS COMERCIAIS LTDA</t>
  </si>
  <si>
    <t>RENATA ADELAIDE CASTRO FERRE BRAUNER 02503142079</t>
  </si>
  <si>
    <t>RENATA COMERCIO DE CALCADOS LTDA</t>
  </si>
  <si>
    <t>RENATA DA SILVA ABIRACHED 33078234851</t>
  </si>
  <si>
    <t>RENATA HELENO DA SILVA 06293036492</t>
  </si>
  <si>
    <t>RENATA OLIVEIRA DA SILVA CALCADOS ME</t>
  </si>
  <si>
    <t>RENATA PANDOLFO ME</t>
  </si>
  <si>
    <t>RENATA SUELI PRIMO DA MATA</t>
  </si>
  <si>
    <t>RENATO ALVES DE CONDE - ME</t>
  </si>
  <si>
    <t>RENATO ANTONIO DE CAMARGO FILHO - COMERCIO DE CALCADOS E ROUPAS</t>
  </si>
  <si>
    <t>RENATO CASALINUOVO M.E</t>
  </si>
  <si>
    <t>RENE APARECIDO DE RESENDE</t>
  </si>
  <si>
    <t>RENE F DE ARAUJO</t>
  </si>
  <si>
    <t>RENI PAULO FLACH EPP</t>
  </si>
  <si>
    <t>RENNOVA COMERCIO DE ROUPAS LTDA</t>
  </si>
  <si>
    <t>RENOSTO E NOGUEIRA LTDA - ME</t>
  </si>
  <si>
    <t>REQUINTE BABY LTDA</t>
  </si>
  <si>
    <t>REQUINTE CALCADOS COMERCIO LTDA</t>
  </si>
  <si>
    <t>RG VESTUARIOS LTDA</t>
  </si>
  <si>
    <t>RIAD OSAMA MAHMOUD KRAJAH</t>
  </si>
  <si>
    <t>RIBAS DE FREITAS E FREITAS LTDA</t>
  </si>
  <si>
    <t>RIBEIRO &amp; FONTANA R LTDA</t>
  </si>
  <si>
    <t>RIBEIRO JOIAS E PRESENTES LTDA</t>
  </si>
  <si>
    <t>RICARDO MACEDO LOPES CAVALCANTI 96344920378</t>
  </si>
  <si>
    <t>RIO TROPICAL MODAS COMÉRCIO DE CALÇADOS E VESTUÁRIOS LTDA</t>
  </si>
  <si>
    <t>RITA AVANI DE SALES ASSIS</t>
  </si>
  <si>
    <t>RITA DE CASSIA CAETANO</t>
  </si>
  <si>
    <t>RITA OLIVEIRA DA SILVA CONFECCOES ME</t>
  </si>
  <si>
    <t>RIVIA AMORIM CALCADOS LTDA</t>
  </si>
  <si>
    <t>RIVIAN KARINA SCALCO ME</t>
  </si>
  <si>
    <t>RIVIERA MAIA CALCADOS LTDA</t>
  </si>
  <si>
    <t>RM CALCADOS LTDA</t>
  </si>
  <si>
    <t>RMC RAMOS BOUTIQUE</t>
  </si>
  <si>
    <t>ROBELIA DE SANTANA DIAS SANTOS</t>
  </si>
  <si>
    <t>ROBERIO ALVES DE OLIVEIRA</t>
  </si>
  <si>
    <t>ROBERTA CARVALHO</t>
  </si>
  <si>
    <t>ROBERTA CRISTINA M MORAIS ME</t>
  </si>
  <si>
    <t>ROBERTO CORTES DE SOUZA 97220973268</t>
  </si>
  <si>
    <t>ROBERTO FONTES GOMES EIRELI</t>
  </si>
  <si>
    <t>ROBERTO HAAS CONFECCOES ME</t>
  </si>
  <si>
    <t>ROBSON FERREIRA PINTO - ME.</t>
  </si>
  <si>
    <t>ROCCIA CALCADOS LTDA EPP</t>
  </si>
  <si>
    <t>RODRIGO ALVES ME</t>
  </si>
  <si>
    <t>RODRIGO CALCADOS LTDA</t>
  </si>
  <si>
    <t>RODRIGO CALCADOS LTDA ME</t>
  </si>
  <si>
    <t>RODRIGO DOS SANTOS CAMILO</t>
  </si>
  <si>
    <t>RODRIGUES E SPINDOLA LTDA</t>
  </si>
  <si>
    <t>RODRIGUES SIMÃO ROUPAS E CALÇADOS INF LTDA</t>
  </si>
  <si>
    <t>ROGEL CALCADOS E CONFECCOES LTDA.</t>
  </si>
  <si>
    <t>ROGERIO CARVALHO DE QUEIROZ 85362620100</t>
  </si>
  <si>
    <t>ROGERIO F . DE OLIVEIRA</t>
  </si>
  <si>
    <t>ROGERIO PRIANTI ME</t>
  </si>
  <si>
    <t>ROMARIA OLIVEIRA MARTINS ME</t>
  </si>
  <si>
    <t>ROMAUBY REP COM DE CONFC LTDA</t>
  </si>
  <si>
    <t>ROMERO ALVES DE LIMA</t>
  </si>
  <si>
    <t>RONALDO DE V SILVA CALCADOS ME</t>
  </si>
  <si>
    <t>RONALDO LEITE DE SOUSA</t>
  </si>
  <si>
    <t>RONALDO SEBASTIAO DE CARVALHO</t>
  </si>
  <si>
    <t>RONALDO SERODIO &amp; CIA LTDA.</t>
  </si>
  <si>
    <t>RONILDO FERNANDES SANTOS CIA LTDA</t>
  </si>
  <si>
    <t>ROSA DA SILVA GUERREIRO</t>
  </si>
  <si>
    <t>ROSA DE SARON ARTIGOS RECREATIVOS EIRELI</t>
  </si>
  <si>
    <t>ROSA E PONTES LTDA</t>
  </si>
  <si>
    <t>ROSA LINA DE SOUSA DUARTE 30093354827</t>
  </si>
  <si>
    <t>ROSA MALVINA WEBER</t>
  </si>
  <si>
    <t>ROSA MODAS COMERCIO DE ROUPAS LTDA - ME</t>
  </si>
  <si>
    <t>ROSALIR TOMAZ DE OLIVEIRA EPP</t>
  </si>
  <si>
    <t>ROSANA CALCADOS LTDA</t>
  </si>
  <si>
    <t>ROSANGELA CUSTODIO DOS SANTOS NASCIMENTO</t>
  </si>
  <si>
    <t>ROSANGELA GONCALVES DA SILVA - ME</t>
  </si>
  <si>
    <t>ROSE CALCADOS LTDA ME</t>
  </si>
  <si>
    <t>ROSELI APARECIDA BAZZANA</t>
  </si>
  <si>
    <t>ROSELI APARECIDA PIRES OLHEIRO ME</t>
  </si>
  <si>
    <t>ROSEMEIRY ALMEIDA DE NOVAES PIMENTA</t>
  </si>
  <si>
    <t>ROSENICE DOS SANTOS FERREIRA ME</t>
  </si>
  <si>
    <t>ROSENIL PONTES CLAUDINO - ME</t>
  </si>
  <si>
    <t>ROSI CALCADOS E CONFECCOES LTDA ME</t>
  </si>
  <si>
    <t>ROSICLER ANITA SANTIN LTDA</t>
  </si>
  <si>
    <t>ROSILDA BEZERRA DE MATOS LUZ</t>
  </si>
  <si>
    <t>ROSILENE DOS ANJOS BRITO AFONSO</t>
  </si>
  <si>
    <t>ROSILENE P. OLIVEIRA</t>
  </si>
  <si>
    <t>ROSILENE TERESINHA MORATELLI EIRELI</t>
  </si>
  <si>
    <t>ROSIMERE FONSECA CARVALHO RIBEIRO 10608678775</t>
  </si>
  <si>
    <t>ROSSI NEVES &amp; CIA LTDA</t>
  </si>
  <si>
    <t>ROZELI APARECIDA DE MELLO</t>
  </si>
  <si>
    <t>RR KIDS COMERCIO DE CALCADOS LTDA</t>
  </si>
  <si>
    <t>RS 10 CALCADOS EIRELI ME</t>
  </si>
  <si>
    <t>RUBENS BASSO VALOTTA</t>
  </si>
  <si>
    <t>RUBENS DE SOUZA MACHADO</t>
  </si>
  <si>
    <t>RUSSELANDE FERREIRA SCALCO CALCADOS LTDA ME</t>
  </si>
  <si>
    <t>RUTH PEREIRA DO VALLE EPP</t>
  </si>
  <si>
    <t>S ALVES MOITA</t>
  </si>
  <si>
    <t>S DA SILVA ARTESANATO</t>
  </si>
  <si>
    <t>S G CUNHA CALCADOS ME</t>
  </si>
  <si>
    <t>S L M B V LTDA</t>
  </si>
  <si>
    <t>S M B LOPES COMERCIO DE CONFECCOES</t>
  </si>
  <si>
    <t>S R KASPER E CIA LTDA</t>
  </si>
  <si>
    <t>S R SALES FERREIRA CALCADOS</t>
  </si>
  <si>
    <t>S S CONFECCOES EIRELI ME</t>
  </si>
  <si>
    <t>S S DE LIMA MELO LTDA.</t>
  </si>
  <si>
    <t>S&amp;D LTDA</t>
  </si>
  <si>
    <t>S. A. BATALINI &amp; CIA LTDA.</t>
  </si>
  <si>
    <t>S. ALVES DA SILVA CALCADOS</t>
  </si>
  <si>
    <t>S. DE OLIVEIRA DUARTE</t>
  </si>
  <si>
    <t>S. R. BRASIL &amp; CIA. LTDA.</t>
  </si>
  <si>
    <t>S.DE CASTRO ME</t>
  </si>
  <si>
    <t>S.R XODOZINHO DA MAMAE ENXOVAIS DE BEBE LTDA</t>
  </si>
  <si>
    <t>SABRINA LOPES DIAS</t>
  </si>
  <si>
    <t>SAKATA COM. DE ROUPAS FEITAS LTDA.</t>
  </si>
  <si>
    <t>SAKURA PRESENTES EIRELLI</t>
  </si>
  <si>
    <t>SALGUEIRO CENTER MODAS LTDA SIMPLES PE</t>
  </si>
  <si>
    <t>SALU CALCADOS E ESPORTES LTDA</t>
  </si>
  <si>
    <t>SALUA MODAS E CONFECCOES LTDA</t>
  </si>
  <si>
    <t>SALVATICO LTDA</t>
  </si>
  <si>
    <t>SAMANTA KIDS LTDA</t>
  </si>
  <si>
    <t>SAMIA KAREN BRANDAO DE SOUZA</t>
  </si>
  <si>
    <t>SAMIL COMERCIO DE CALÇADOS E ACESSÓRIOS LTDA</t>
  </si>
  <si>
    <t>SAMIR R. OTMAN EIRELLI</t>
  </si>
  <si>
    <t>SAMIRA BARRETO VASCONCELOS ME</t>
  </si>
  <si>
    <t>SAMPAZONES COMERCIO DE CALCADOS LTDA ME</t>
  </si>
  <si>
    <t>SAMUEL SOUZA ALVES</t>
  </si>
  <si>
    <t>SANDOVAL MACEDO DA SILVA CONFECCOES E ACESSORIOS ME</t>
  </si>
  <si>
    <t>SANDRA M DE OLIVEIRA TAVEIRA EPP</t>
  </si>
  <si>
    <t>SANDRA MARA PROCOPIO MOURA</t>
  </si>
  <si>
    <t>SANDRA MARIA SOLEIRA GRASSI</t>
  </si>
  <si>
    <t>SANDRA ROSA SILVA DOS SANTOS</t>
  </si>
  <si>
    <t>SANDRA TEIXEIRA DE SOUZA NUNES</t>
  </si>
  <si>
    <t>SANDRINA CALCADOS DE MERITI LTDA ME</t>
  </si>
  <si>
    <t>SANDRO ROGERIO FERREIRA DE VASCONCELOS</t>
  </si>
  <si>
    <t>SANDY COMERCIO VAREJISTA DE CALCADOS LTDA</t>
  </si>
  <si>
    <t>SANTANA CALCADOS DE RANCHARIA LTDA-EPP</t>
  </si>
  <si>
    <t>SANTINHA BARBOSA DA SILVA</t>
  </si>
  <si>
    <t>SANTO PE CALCADOS LTDA</t>
  </si>
  <si>
    <t>SANTOS &amp; SILVA CALCADOS E CONFECCOES LTDA</t>
  </si>
  <si>
    <t>SANTOS E ROCHA COMERCIO E PRESTACAO DE SERVICOS LTDA</t>
  </si>
  <si>
    <t>SAPATARIA BARRENSE LTDA ME</t>
  </si>
  <si>
    <t>SAPATARIA BERWIG LTDA</t>
  </si>
  <si>
    <t>SAPATARIA BIRNI LTDA</t>
  </si>
  <si>
    <t>SAPATARIA CAETES LTDA - EPP</t>
  </si>
  <si>
    <t>SAPATARIA CARAZZA LTDA</t>
  </si>
  <si>
    <t>SAPATARIA FINEZZE LTDA ME</t>
  </si>
  <si>
    <t>SAPATARIA MODELLE LTDA</t>
  </si>
  <si>
    <t>SAPATARIA MULTIPÉS DE PETRÓPOLIS</t>
  </si>
  <si>
    <t>SAPATARIA NETO E SILVA LTDA</t>
  </si>
  <si>
    <t>SAPATARIA PAVAN LTDA.</t>
  </si>
  <si>
    <t>SAPATARIA PORTEIRA DO RIO GRANDE LTDA</t>
  </si>
  <si>
    <t>SAPATARIA QUIMBER COMERCIO DE CALCADOS LTDA</t>
  </si>
  <si>
    <t>SAPATARIA SANTO ANTONIO NEVES PAULISTA LTDA</t>
  </si>
  <si>
    <t>SAPATARIA SAO PAULO LTDA</t>
  </si>
  <si>
    <t>SAPATARIA VANUSIA LTDA.</t>
  </si>
  <si>
    <t>SAPATARIA WAGNER LTDA.</t>
  </si>
  <si>
    <t>SAPATILHAS DA FABI COMERCIO DE CALCADOS LTDA</t>
  </si>
  <si>
    <t>SAPO SAPECA MODAS LTDA EPP</t>
  </si>
  <si>
    <t>SARA BRAZ DE FREITAS</t>
  </si>
  <si>
    <t>SARANDI CALCADOS LTDA</t>
  </si>
  <si>
    <t>SARTORI &amp; MARTINS</t>
  </si>
  <si>
    <t>SCARPAN CALCADOS LTDA ME.</t>
  </si>
  <si>
    <t>SCHAMNE &amp; SCHAMNE LTDA</t>
  </si>
  <si>
    <t>SCHIRLEY SUSANE DE SOUZA</t>
  </si>
  <si>
    <t>SCHNEIDER &amp; VORPAGEL LTDA</t>
  </si>
  <si>
    <t>SCHWADE &amp; WEIRICH LTDA ME</t>
  </si>
  <si>
    <t>SEBASTIANA PEREIRA DA SILVA</t>
  </si>
  <si>
    <t>SEBASTIAO CARLOS PIM</t>
  </si>
  <si>
    <t>SEBASTIAO DIAS BELICIO  ME</t>
  </si>
  <si>
    <t>SEBASTIAO DOS REIS MORAIS</t>
  </si>
  <si>
    <t>SEDIL VESTUÁRIO LTDA</t>
  </si>
  <si>
    <t>SELLA E PAVANATTO LTDA</t>
  </si>
  <si>
    <t>SEREIA CENTER MODAS LTDA.</t>
  </si>
  <si>
    <t>SERGIA MEIRE ALVES DE VASCONCELOS</t>
  </si>
  <si>
    <t>SERGIO BASSANI</t>
  </si>
  <si>
    <t>SERGIO BOTELHO CAMPANHA</t>
  </si>
  <si>
    <t>SERGIO DE LIRA RAMOS ME</t>
  </si>
  <si>
    <t>SERGIO LEONEL DE MELO</t>
  </si>
  <si>
    <t>SEVEN BROTHERS COMÉRCIO DE CALÇADOS LTDA -ÉPOCA</t>
  </si>
  <si>
    <t>SEVERIANO &amp; GASPARELO LTDA</t>
  </si>
  <si>
    <t>SEVERINA SILVA PAES DE ALMEIDA</t>
  </si>
  <si>
    <t>SGM COMERCIO LTDA</t>
  </si>
  <si>
    <t>SHALUNA CALCADOS LTDA</t>
  </si>
  <si>
    <t>SHEILA MONTEIRO DE MACEDO</t>
  </si>
  <si>
    <t>SHOE STORE COMERCIO DE CALCADOS LTDA</t>
  </si>
  <si>
    <t>SHOPINTIMO COMERCIO E VAREJISTA LTDA</t>
  </si>
  <si>
    <t>SHOPPING C &amp; CIA LTDA</t>
  </si>
  <si>
    <t>SHOPPING CALCADOS DE GUAIRA LTDA.ME</t>
  </si>
  <si>
    <t>SHOW CENTER MODAS LTDA</t>
  </si>
  <si>
    <t>SHOW PE CALCADOS LTDA</t>
  </si>
  <si>
    <t>SIAHT CALCADOS E ACESSORIOS LTDA</t>
  </si>
  <si>
    <t>SIL CALCADOS LTDA</t>
  </si>
  <si>
    <t>SILMARA LIMA P VANZINHA ME</t>
  </si>
  <si>
    <t>SILVA  BROCKER LTDA</t>
  </si>
  <si>
    <t>SILVA CALCADOS &amp; ACESSORIOS LTDA</t>
  </si>
  <si>
    <t>SILVA CALCADOS LTDA</t>
  </si>
  <si>
    <t>SILVA E HENRIQUE LTDA</t>
  </si>
  <si>
    <t>SILVA E MARIA LEMOS LTDA</t>
  </si>
  <si>
    <t>SILVALDA DEUS OLIVEIRA</t>
  </si>
  <si>
    <t>SILVANA BECKER MOMM LTDA.</t>
  </si>
  <si>
    <t>SILVANA CERCAL</t>
  </si>
  <si>
    <t>SILVANA DE CARVALHO MACHADO</t>
  </si>
  <si>
    <t>SILVANA GOMES FERREIRA DE SOUSA 28138092840</t>
  </si>
  <si>
    <t>SILVANA VERCHAI AVILLA</t>
  </si>
  <si>
    <t>SILVANIA GOMES DE OLIVEIRA</t>
  </si>
  <si>
    <t>SILVANO ALMEIDA DE SOUZA LTDA</t>
  </si>
  <si>
    <t>SILVESTRI E SILVESTRI LTDA ME</t>
  </si>
  <si>
    <t>SILVIA MARIA FIORUCI 27773750890</t>
  </si>
  <si>
    <t>SILVILENE VIEIRA LIMA DE OLIVEIRA 32761634896</t>
  </si>
  <si>
    <t>SILVIO ANTONIO FERREIRA-CALCADOS</t>
  </si>
  <si>
    <t>SILVIO CARDOSO MOURA</t>
  </si>
  <si>
    <t>SILVONETE MELO LINO</t>
  </si>
  <si>
    <t>SIMONE APARECIDA BALAO</t>
  </si>
  <si>
    <t>SIMONE CALCADOS LTDA</t>
  </si>
  <si>
    <t>SIMONE CORDOVA MARIANO - MODAS</t>
  </si>
  <si>
    <t>SIMONE DE OLIVEIRA PEREIRA</t>
  </si>
  <si>
    <t>SIMONE DE QUEIROZ MARTINS</t>
  </si>
  <si>
    <t>SIMONE MACARI TAVARES CONFECCOES LTDA</t>
  </si>
  <si>
    <t>SIMONE MARCÃO DE LUCENA ME</t>
  </si>
  <si>
    <t>SIMONE ROMANICHEN DOS SANTOS</t>
  </si>
  <si>
    <t>SIMONE SILVA DE ALMEIDA SOUSA</t>
  </si>
  <si>
    <t>SIMONY PEREIRA ALEXANDRINO 09418412608</t>
  </si>
  <si>
    <t>SIRLEI MEZENCIO DA SILVA CALCADOS ME</t>
  </si>
  <si>
    <t>SIRLENE SOARES DE SOUZA PEREIRA 01369969147</t>
  </si>
  <si>
    <t>SIVALDO BEZERRA DE LIMA</t>
  </si>
  <si>
    <t>SK COMERCIO DE CALCADOS LTDA</t>
  </si>
  <si>
    <t>SK SOL KIDS LTDA - ME</t>
  </si>
  <si>
    <t>SMANIOTTO E FILHOS LTDA</t>
  </si>
  <si>
    <t>SO CHICO CALCADOS LTDA.</t>
  </si>
  <si>
    <t>SOARES &amp; ABREU LTDA</t>
  </si>
  <si>
    <t>SOARES MOVEIS E UTILIDADES LTDA</t>
  </si>
  <si>
    <t>SOARES OLIVEIRA DO BRASIL MAGAZINE LTDA</t>
  </si>
  <si>
    <t>SOBRE SALTO COMERCIO VAREJISTA DE CALCADOS LTDA</t>
  </si>
  <si>
    <t>SOCIAL CALCADOS DE PATROCNIO LTDA ME</t>
  </si>
  <si>
    <t>SOL BRILHANTE CALCADOS LTDA</t>
  </si>
  <si>
    <t>SOLANGE MARIA AMANCIO</t>
  </si>
  <si>
    <t>SOLANGE PIRES DE OLIVEIRA LOURENCO</t>
  </si>
  <si>
    <t>SOLANGE TRIDAPALLI VASCO ME</t>
  </si>
  <si>
    <t>SOMAVILA &amp; NOBRE LTDA</t>
  </si>
  <si>
    <t>SONALLY SANTANA SILVA MARCELO 01516624602</t>
  </si>
  <si>
    <t>SONIA AP. BERGAMINI SCHIAVON</t>
  </si>
  <si>
    <t>SONIA M BAIROS E CIA LTDA</t>
  </si>
  <si>
    <t>SONIA MARIA CASTIGLIONI GOBBI</t>
  </si>
  <si>
    <t>SONIA MARIA FAGUNDES ME</t>
  </si>
  <si>
    <t>SONIA MARIA MARQUETTI SOUZA FALCAO ME</t>
  </si>
  <si>
    <t xml:space="preserve">SOPHIA KIDS LTDA	</t>
  </si>
  <si>
    <t>SOUBER CALCADOS LTDA</t>
  </si>
  <si>
    <t>SOUSA CALÇADOS E ACESSÓRIOS ESPORTIVOS LTDA</t>
  </si>
  <si>
    <t>SOUSA CONFECCOES LTDA</t>
  </si>
  <si>
    <t>SOUZA &amp; CUNHA LTDA.</t>
  </si>
  <si>
    <t>SOUZA MAGAZINE LTDA</t>
  </si>
  <si>
    <t>SOUZA SANTOS COM DE CALCADOS LTDA</t>
  </si>
  <si>
    <t>SPORT CENTER C.MOTA LTDA</t>
  </si>
  <si>
    <t>SPORT MANIA LTDA</t>
  </si>
  <si>
    <t>SQUISATTI &amp; SQUISATTI LTDA - EPP</t>
  </si>
  <si>
    <t>SSA COM CALC LTDA</t>
  </si>
  <si>
    <t>STAROSKY CONFECCOES LTDA</t>
  </si>
  <si>
    <t>START COM DE CALC E BOLSAS LTDA ME</t>
  </si>
  <si>
    <t>STATUS CONFECCOES E CALCADOS LTDA</t>
  </si>
  <si>
    <t>STATUS MODAS COMERCIO DE ARTIGOS DO VESTUARIO LTDA.</t>
  </si>
  <si>
    <t>STEIFEN L. DA SILVA</t>
  </si>
  <si>
    <t>STELA APARECIDA SCHIMIDBERGER</t>
  </si>
  <si>
    <t>STHYLO LIVRE CALCADOS LTDA</t>
  </si>
  <si>
    <t>STILLUS MAKE E VARIEDADES LTDA</t>
  </si>
  <si>
    <t>STYLE CALCADOS E SKATE SHOP</t>
  </si>
  <si>
    <t>STYLLUS KIDS CALCADOS E CONFECCOES</t>
  </si>
  <si>
    <t>SUELEN BARCELOS PEREIRA 11211200752</t>
  </si>
  <si>
    <t>SUELI A. NASCIMENTO</t>
  </si>
  <si>
    <t>SUELI DAS DORES PEREIRA</t>
  </si>
  <si>
    <t>SUELI MAGAZINE LTDA</t>
  </si>
  <si>
    <t>SUELLEN CAROLINE DE MENDONCA - ME</t>
  </si>
  <si>
    <t>SUELY RIBEIRO BARBOSA ROSSI 10283634863</t>
  </si>
  <si>
    <t>SUENIA SEVERO SAMPAIO 89100476404</t>
  </si>
  <si>
    <t>SUMAR CALCADOS LTDA</t>
  </si>
  <si>
    <t>SURF NEWS LTDA</t>
  </si>
  <si>
    <t>SUSELI MODA INFANTIL LTDA</t>
  </si>
  <si>
    <t>SUSETE M. MUNARI</t>
  </si>
  <si>
    <t>SW MODAS LTDA EPP</t>
  </si>
  <si>
    <t>SYLENE FERREIRA DE ANDRADE</t>
  </si>
  <si>
    <t>T A OBESNIK LTDA</t>
  </si>
  <si>
    <t>T B TEIXEIRA SEVERINO VESTUÁRIO E ACESSÓRIO</t>
  </si>
  <si>
    <t>T DOS S FREITAS COMERCIO LTDA</t>
  </si>
  <si>
    <t>T M H ASRIEH EIRELI</t>
  </si>
  <si>
    <t>T. BARELLA &amp; CIA LTDA</t>
  </si>
  <si>
    <t>TAFNER E CIA LTDA.</t>
  </si>
  <si>
    <t>TAFNER RDC LTDA</t>
  </si>
  <si>
    <t>TAILANDIA CENTER MODAS LTDA</t>
  </si>
  <si>
    <t>TAIS DO NASCIMENTO GAMA BARBOSA</t>
  </si>
  <si>
    <t>TALENTO'S CALCADOS E CONFECCOES LTDA.</t>
  </si>
  <si>
    <t>TALIA BELARMINO SILVA 12325301400</t>
  </si>
  <si>
    <t>TALISSA MANUELA DE NAZARETH SOARES BERNARDO 13332623702</t>
  </si>
  <si>
    <t>TALLITA DIANNE ALVES FREIRE ME</t>
  </si>
  <si>
    <t>TALYTA KIDS MODAS INFANTIS EIRELI ME</t>
  </si>
  <si>
    <t>TAREK JAMIL JOMAA</t>
  </si>
  <si>
    <t>TATIANA APARECIDA DOGA VAZ 36885887897</t>
  </si>
  <si>
    <t>TATIANE DE SOUSA</t>
  </si>
  <si>
    <t>TATIANE ECHEVERRYA AVILA</t>
  </si>
  <si>
    <t>TATIANE LEITE DE ALMEIDA</t>
  </si>
  <si>
    <t>TATO CALCADOS LTDA EPP</t>
  </si>
  <si>
    <t>TAVEIRA &amp; COUTO LTDA</t>
  </si>
  <si>
    <t>TAYANA LUZIA ALMEIDA SANTOS 82231737272</t>
  </si>
  <si>
    <t>TAYNA DE N S ARAUJO</t>
  </si>
  <si>
    <t>TAYNARA CALÇADOS LTDA</t>
  </si>
  <si>
    <t>TEA E SU CALCADOS E ACESSORIOS LTDA</t>
  </si>
  <si>
    <t>TECIDOS E CONFECCOES PARANA LTDA</t>
  </si>
  <si>
    <t>TECIDOS HADDAD LTDA EPP</t>
  </si>
  <si>
    <t>TEDESCO CALCADOS LTDA</t>
  </si>
  <si>
    <t>TEIXEIRA E BALDUINO LTDA-ME</t>
  </si>
  <si>
    <t>TELLES CALCADOS LTDA - ME</t>
  </si>
  <si>
    <t>TENIS SHOP LTDA</t>
  </si>
  <si>
    <t>TERCARIOL COMERCIO DE CALCADOS LTDA</t>
  </si>
  <si>
    <t>TEREZA SANTACROCE ALVES - ME</t>
  </si>
  <si>
    <t>TEREZINHA MATOS PIRES DE ALMEIDA</t>
  </si>
  <si>
    <t>TERNURA CALCADOS E BOLSAS LTDA.</t>
  </si>
  <si>
    <t>TERRITORIUN CALCADOS LTDA</t>
  </si>
  <si>
    <t>TERUYA COM.ART.INF LTDA-EPP</t>
  </si>
  <si>
    <t>TETE STORE LTDA</t>
  </si>
  <si>
    <t>THAIS CAMILE FROZZA ME</t>
  </si>
  <si>
    <t>THAIS COSTA DE OLIVEIRA LAMI 12909452760</t>
  </si>
  <si>
    <t>THAYREES BARBOSA FARIAS</t>
  </si>
  <si>
    <t>THESA SCHIAVON CALCADOS &amp; ACESSORIOS LTDA</t>
  </si>
  <si>
    <t>THIAGO FERNANDES CALCADOS - ME</t>
  </si>
  <si>
    <t>THIENIS SOFILIS DA FONSECA MATEUS E SOUZA ME</t>
  </si>
  <si>
    <t>TIAGO AMMARI SGARBOZA LTDA</t>
  </si>
  <si>
    <t>341 WVA REPRESENTACOES COMERCIAIS LTDA</t>
  </si>
  <si>
    <t>TIELE ASSIS DOS REIS 70415579287</t>
  </si>
  <si>
    <t>TINIM CONFECCOES LTDA</t>
  </si>
  <si>
    <t>TO NA MODA CONFECCOES E CALÇADOS LTDA</t>
  </si>
  <si>
    <t>TOCA DO PÉ 2021 COMÉRCIO DE ARTIGOS DO VESTUÁRIO E ARTIGOS PARA PRESENTES LTDA</t>
  </si>
  <si>
    <t>TODA BELLA LTDA ME</t>
  </si>
  <si>
    <t>TOLEDO &amp; ROCHA COMERCIO DE CONFECCOES LTDA</t>
  </si>
  <si>
    <t>TOMAZEL CALC. E ART. ESP.LTDA</t>
  </si>
  <si>
    <t>TOP CINDERELA CALCADOS LTDA EPP</t>
  </si>
  <si>
    <t>TOPSHOP MODAS LTDA</t>
  </si>
  <si>
    <t>TOPVENDAS COMERCIO DE PRODUTOS LTDA</t>
  </si>
  <si>
    <t>TOQ TOQ CALCADOS LTDA</t>
  </si>
  <si>
    <t>TORRES E VALE LTDA - ME</t>
  </si>
  <si>
    <t>TOZATO E ARPINI LTDA</t>
  </si>
  <si>
    <t>TOZETTI COMERCIO DE CALCADOS LTDA EPP</t>
  </si>
  <si>
    <t>TR PIMENTEL CALCADOS LTDA</t>
  </si>
  <si>
    <t>TRAJETON MAGAZINE LTDA</t>
  </si>
  <si>
    <t>TRONCO  CANTO LTDA</t>
  </si>
  <si>
    <t>TSF COMERCIO DE PRODUTOS INFANTIS LTDA</t>
  </si>
  <si>
    <t>TU &amp; TICA - C0MERCIO VAREJISTA DE ARTIGOS DO VESTUARIO LTDA</t>
  </si>
  <si>
    <t>TUTTO PICOLLO MODAS INFANTIL LTDA.</t>
  </si>
  <si>
    <t>ULIANOPOLIS CONFECÇÕES E CALÇADOS</t>
  </si>
  <si>
    <t>UMUARAMA CALCADOS LTDA</t>
  </si>
  <si>
    <t>UNIKA VARIEDADES LTDA</t>
  </si>
  <si>
    <t>UNIVERSO DOS CALCADOS LTDA - ME</t>
  </si>
  <si>
    <t>USE CAZO COMERCIO VAREJISTA DE CALCADOS E ACESSORIOS LTDA</t>
  </si>
  <si>
    <t>V A DE ARAUJO COMERCIO LTDA</t>
  </si>
  <si>
    <t>V C CASALE</t>
  </si>
  <si>
    <t>V P SILVA FILHO CONFECCOES</t>
  </si>
  <si>
    <t>V. ARAUJO RODRIGUES</t>
  </si>
  <si>
    <t>V. GOMES DA SILVA</t>
  </si>
  <si>
    <t>V. OLIVEIRA DE MELO</t>
  </si>
  <si>
    <t>V. R. DE L. VELOSO &amp; CIA LTDA</t>
  </si>
  <si>
    <t>V. R. ELIAS SANTIN</t>
  </si>
  <si>
    <t>V. SENEFONTE CALCADOS</t>
  </si>
  <si>
    <t>V. TEIXEIRA COMERCIO E DISTRIBUIDORA</t>
  </si>
  <si>
    <t>V.J.ARMARINHOS LTDA</t>
  </si>
  <si>
    <t>V.L.SENA SANTOS</t>
  </si>
  <si>
    <t>VALCILENE BRITO DE OLIVEIRA</t>
  </si>
  <si>
    <t>VALDEMIR DE CARVALHO ME</t>
  </si>
  <si>
    <t>VALDENES APARECIDO GOMES 11002369614</t>
  </si>
  <si>
    <t>VALDEREZ DO SANTOS CARDOSO</t>
  </si>
  <si>
    <t>VALDERI RAMOS DA SILVA</t>
  </si>
  <si>
    <t>VALDERIA P. DE SOUZA</t>
  </si>
  <si>
    <t>VALDIR ROBERTO MENIS - EPP</t>
  </si>
  <si>
    <t>VALDIRA FRANCISCA DE ARAUJO SILVA</t>
  </si>
  <si>
    <t>VALDUIR ANTONIO BALESTRIN</t>
  </si>
  <si>
    <t>VALE SUL COMERCIO E REPRESENTACOES LTDA</t>
  </si>
  <si>
    <t>VALMIR RODRIGUES DE SOUSA</t>
  </si>
  <si>
    <t>VALMIX CALCADOS E CONFECCOES LTDA</t>
  </si>
  <si>
    <t>VALOIS COM ARTIGOS BAZAR EIRELI</t>
  </si>
  <si>
    <t>VALPORTO COMÉRCIO VAREJISTA DE CALÇADOS LTDA</t>
  </si>
  <si>
    <t>VALQUIRIA LEVANDOSKI TAMPAROVSKI</t>
  </si>
  <si>
    <t>VALTEMIR PEREIRA DE SOUZA</t>
  </si>
  <si>
    <t>VANDA MARIA LIMA SOARES ME</t>
  </si>
  <si>
    <t>VANDERLEI BEZ BATTI LTDA</t>
  </si>
  <si>
    <t>VANDERLEIA NASCIMENTO SOUSA CURCINO</t>
  </si>
  <si>
    <t>VANESSA SANTOS DE SOUSA - ME</t>
  </si>
  <si>
    <t>VANESSA SIBALDO FERREIRA ME</t>
  </si>
  <si>
    <t>VANIA DE FARIA PARREIRAS E CIA LTDA.</t>
  </si>
  <si>
    <t>VANIA LURDES ZANQUIN ZENI</t>
  </si>
  <si>
    <t>VANIA M. DE ARAUJO</t>
  </si>
  <si>
    <t>VANKISYA MARTINS DE OLIVEIRA EIRELI ME</t>
  </si>
  <si>
    <t>VAREJISTA DO BRASIL LTDA</t>
  </si>
  <si>
    <t>VBR COMERCIO DE PRODUTOS INFANTIS LTDA</t>
  </si>
  <si>
    <t>VC CALCADOS E CONFECCOES LTDA ME</t>
  </si>
  <si>
    <t>VEIGA E MACIEL LTDA</t>
  </si>
  <si>
    <t>VELOSO COMERCIO DE VESTUARIO LTDA</t>
  </si>
  <si>
    <t>VENDA MAIS NEGOCIOS LTDA</t>
  </si>
  <si>
    <t>VENDA NOVA SPORTS EIRELLI</t>
  </si>
  <si>
    <t>VENEZA CENTER MODAS LTDA</t>
  </si>
  <si>
    <t>VERA ANTONIA PERINI ALCANTARA</t>
  </si>
  <si>
    <t>VERA AP.RIBEIRO DA SILVA TECIDOS</t>
  </si>
  <si>
    <t>VERA LUCIA MATOS ME</t>
  </si>
  <si>
    <t>VERA LUCIA RAMOS MARTINS</t>
  </si>
  <si>
    <t>VERDE E BRANCO JUNIOR CONFECCOES LTDA</t>
  </si>
  <si>
    <t>VESPA MODAS E CONFECCOES LTDA</t>
  </si>
  <si>
    <t>VEST BEM CONFEC KIDS LTDA</t>
  </si>
  <si>
    <t>VESTIARIO COMERCIO DE ROUPAS E CALCADOS LTDA</t>
  </si>
  <si>
    <t>VGMDJ COM DE CALCADOS E VEST EIRELI</t>
  </si>
  <si>
    <t>VIA BUZIOS COMERCIO DE CALCADOS E COSMETICOS LTDA</t>
  </si>
  <si>
    <t>VIA ESPORTE COMERCIO DE ARTIGOS ESPORTIVOS LTDA</t>
  </si>
  <si>
    <t>VIA MAGAZINE COMERCIO DE CONFECCOES E CALCADOS LTDA</t>
  </si>
  <si>
    <t>VIA MAGAZINE COMERCIO DE CONFECCOES E CALCADOS LTDA - ME</t>
  </si>
  <si>
    <t>VIA VENTUS CALCADOS E CONFECCOES LTDA</t>
  </si>
  <si>
    <t>VIA XUS COMERCIO DE CALCADOS, BOLSAS E ACESSORIOS LTDA</t>
  </si>
  <si>
    <t>VIACAO CALCADOS LTDA</t>
  </si>
  <si>
    <t>VIANOPOLIS MAGAZINE LTDA</t>
  </si>
  <si>
    <t>VICAL CALÇADOS E CONFECCOES LTDA</t>
  </si>
  <si>
    <t>VICALVI COMERCIO DE CALCADOS LTDA</t>
  </si>
  <si>
    <t>VICTOR CANDIDO QUEIROZ CUNHA</t>
  </si>
  <si>
    <t>VIDA LIVRE - COMERCIO DE CALCADOS E ARTIGOS ESPORTIVOS LTDA ME</t>
  </si>
  <si>
    <t>VIEIRA COMERCIAL LTDA</t>
  </si>
  <si>
    <t>VILA MALVINA LTDA.</t>
  </si>
  <si>
    <t>VILLI BELLA CALCADOS LTDA</t>
  </si>
  <si>
    <t>VILMA BARDINI ME</t>
  </si>
  <si>
    <t>VILMA LUCIA FERREIRA - ME</t>
  </si>
  <si>
    <t>VINILUC MODA TÊXTIL</t>
  </si>
  <si>
    <t>VIP CALCADOS EIRELI</t>
  </si>
  <si>
    <t>VISE CALCADOS LTDA - ME</t>
  </si>
  <si>
    <t>VISUAL CALCADOS LTDA</t>
  </si>
  <si>
    <t>VISUAL OFICIAL CALCADOS LTDA</t>
  </si>
  <si>
    <t>VISUELLI COMERCIO DE CALCADOS LTDA</t>
  </si>
  <si>
    <t>VITORIA CALCADOS LTDA</t>
  </si>
  <si>
    <t>VITORIA CENTER MODAS LTDA</t>
  </si>
  <si>
    <t>VIVIANE DA SILVA NEVES SOUZA</t>
  </si>
  <si>
    <t>VOLMAR LUIZ NOVELLO</t>
  </si>
  <si>
    <t>VVP COMERCIO VAREJISTA DO VESTUARIO LTDA</t>
  </si>
  <si>
    <t>VÍVIAN DO AMARAL CANDEMIL</t>
  </si>
  <si>
    <t>W ARAUJO DE LIMA</t>
  </si>
  <si>
    <t>W S REIS LTDA</t>
  </si>
  <si>
    <t>W. E. MULLER CARVALHO COMERCIO DE CALCADOS LTDA</t>
  </si>
  <si>
    <t>W. R. COSTA RIBEIRO E CIA LTDA</t>
  </si>
  <si>
    <t>WALBSON RODRIGUES DA SILVA ME</t>
  </si>
  <si>
    <t>WALDECIR ANTONIO FELIPE &amp; CIA LTDA</t>
  </si>
  <si>
    <t>WALDEMIRO DE ALMEIDA CHAVES ME</t>
  </si>
  <si>
    <t>WALDIR DANTAS ARAUJO</t>
  </si>
  <si>
    <t>WALDIR SILVESTRINI ME</t>
  </si>
  <si>
    <t>WALLACE VIEIRA DOS SANTOS</t>
  </si>
  <si>
    <t>WALNEIDE DE OLIVEIRA</t>
  </si>
  <si>
    <t>WALTER ANGELO FRIZZO DE MENDONCA ME</t>
  </si>
  <si>
    <t>WALTER EUGENIO FERREIRA PEREIRA</t>
  </si>
  <si>
    <t>WAMONE D AWALLON CALCADOS LTDA</t>
  </si>
  <si>
    <t>WELINGTON GONCALVES FREIRE EPP</t>
  </si>
  <si>
    <t>WENZEL &amp; WENZEL LTDA</t>
  </si>
  <si>
    <t>WESSLING COMERCIO DE ROUPAS E CALCADOS LTDA</t>
  </si>
  <si>
    <t>WILLIAM GATTERMANN &amp; CIA LTDA ME</t>
  </si>
  <si>
    <t>WILTON JOSE MUNIZ MOURA</t>
  </si>
  <si>
    <t>WLIANE S. DE LIMA</t>
  </si>
  <si>
    <t>WV CALCADOS LTDA</t>
  </si>
  <si>
    <t>XIQUE XIQUE CALCADOS LTDA.</t>
  </si>
  <si>
    <t>YASMIM CÁSSIA DE OLIVEIRA</t>
  </si>
  <si>
    <t>YNAI &amp; PERES LTDA.</t>
  </si>
  <si>
    <t>YOUSHOES COMERCIO DE CALCADOS E ACESSORIOS LTDA</t>
  </si>
  <si>
    <t>YUMI CALCADOS LTDA</t>
  </si>
  <si>
    <t>YVIS GIROTTO GOMES MIYAZAKI</t>
  </si>
  <si>
    <t>Z. A. DA SILVA</t>
  </si>
  <si>
    <t>Z. P. FEIJO</t>
  </si>
  <si>
    <t>ZAPATTO CALCADOS E CONF. LTDA ME</t>
  </si>
  <si>
    <t>ZE DA SHALAKO CALCADOS LTDA</t>
  </si>
  <si>
    <t>ZELI BECKER LTDA</t>
  </si>
  <si>
    <t>ZELLO CALÇADOS LTDA</t>
  </si>
  <si>
    <t>ZELUZA ROSA PEREIRA 87884100134</t>
  </si>
  <si>
    <t>ZENILDE COM CALC LTDA ME</t>
  </si>
  <si>
    <t>ZENILDE MATOS DA SILVA</t>
  </si>
  <si>
    <t>ZEZE CALCADOS LTDA</t>
  </si>
  <si>
    <t>ZILLI &amp; ZILLI LTDA EPP</t>
  </si>
  <si>
    <t>ZILMA S DE LIMA</t>
  </si>
  <si>
    <t>ZILU BRAMBILA CALCADOS E CONFECCOES LTDA</t>
  </si>
  <si>
    <t>ZORZI LOJA DE CONFECCOES LTDA</t>
  </si>
  <si>
    <t>ÂNGELA CRISTINA PELLIZZARI CARRIJO</t>
  </si>
  <si>
    <t>Total Geral</t>
  </si>
  <si>
    <t>Desvio</t>
  </si>
  <si>
    <r>
      <rPr>
        <b/>
        <sz val="10"/>
        <color rgb="FFFFFFFF"/>
        <rFont val="Calibri"/>
        <family val="2"/>
      </rPr>
      <t>Δ</t>
    </r>
    <r>
      <rPr>
        <b/>
        <sz val="10"/>
        <color rgb="FFFFFFFF"/>
        <rFont val="Tahoma"/>
        <family val="2"/>
      </rPr>
      <t>%</t>
    </r>
  </si>
  <si>
    <t>Bloqueado Financeiro</t>
  </si>
  <si>
    <t>NAO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</si>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</sst>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;\-#,##0"/>
    <numFmt numFmtId="165" formatCode="#,##0.00\ ;\-#,##0.00"/>
  </numFmts>
  <fonts count="7">
    <font>
      <sz val="11"/>
      <name val="Calibri"/>
    </font>
    <font>
      <sz val="11"/>
      <name val="Calibri"/>
    </font>
    <font>
      <sz val="10"/>
      <color indexed="64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FFFF"/>
      <name val="Calibri"/>
      <family val="2"/>
    </font>
    <font>
      <b/>
      <sz val="10"/>
      <color rgb="FFFFFF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25405E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>
      <left/>
      <right/>
      <top/>
      <bottom/>
      <diagonal style="thin"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 style="thin">
        <color rgb="FF000000"/>
      </diagonal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1"/>
  </cellStyleXfs>
  <cellXfs count="19">
    <xf numFmtId="0" fontId="0" fillId="0" borderId="0" xfId="0"/>
    <xf numFmtId="0" fontId="3" fillId="2" borderId="1" xfId="2" applyFont="1" applyFill="1" applyAlignment="1">
      <alignment horizontal="center" vertical="center" wrapText="1"/>
    </xf>
    <xf numFmtId="164" fontId="3" fillId="2" borderId="1" xfId="2" applyNumberFormat="1" applyFont="1" applyFill="1" applyAlignment="1">
      <alignment horizontal="center" vertical="center" wrapText="1"/>
    </xf>
    <xf numFmtId="0" fontId="2" fillId="0" borderId="1" xfId="2" applyAlignment="1">
      <alignment horizontal="left" vertical="center" wrapText="1"/>
    </xf>
    <xf numFmtId="164" fontId="2" fillId="0" borderId="1" xfId="2" applyNumberFormat="1" applyAlignment="1">
      <alignment horizontal="left" vertical="center" wrapText="1"/>
    </xf>
    <xf numFmtId="165" fontId="2" fillId="0" borderId="1" xfId="2" applyNumberFormat="1" applyAlignment="1">
      <alignment horizontal="right" vertical="center"/>
    </xf>
    <xf numFmtId="0" fontId="4" fillId="0" borderId="1" xfId="2" applyFont="1" applyAlignment="1">
      <alignment horizontal="left" vertical="center" wrapText="1"/>
    </xf>
    <xf numFmtId="164" fontId="4" fillId="0" borderId="1" xfId="2" applyNumberFormat="1" applyFont="1" applyAlignment="1">
      <alignment horizontal="left" vertical="center" wrapText="1"/>
    </xf>
    <xf numFmtId="0" fontId="3" fillId="2" borderId="1" xfId="2" applyNumberFormat="1" applyFont="1" applyFill="1" applyAlignment="1">
      <alignment horizontal="center" vertical="center" wrapText="1"/>
    </xf>
    <xf numFmtId="10" fontId="2" fillId="0" borderId="1" xfId="1" applyNumberFormat="1" applyFont="1" applyBorder="1" applyAlignment="1">
      <alignment horizontal="right" vertical="center"/>
    </xf>
    <xf numFmtId="0" fontId="6" fillId="2" borderId="1" xfId="2" applyNumberFormat="1" applyFont="1" applyFill="1" applyAlignment="1">
      <alignment horizontal="center" vertical="center" wrapText="1"/>
    </xf>
    <xf numFmtId="165" fontId="2" fillId="0" borderId="2" xfId="2" applyNumberFormat="1" applyFill="1" applyBorder="1" applyAlignment="1">
      <alignment horizontal="right" vertical="center"/>
    </xf>
    <xf numFmtId="0" fontId="2" fillId="0" borderId="4" xfId="2" applyBorder="1" applyAlignment="1">
      <alignment horizontal="left" vertical="center" wrapText="1"/>
    </xf>
    <xf numFmtId="0" fontId="2" fillId="0" borderId="5" xfId="2" applyBorder="1" applyAlignment="1">
      <alignment horizontal="left" vertical="center" wrapText="1"/>
    </xf>
    <xf numFmtId="0" fontId="0" fillId="0" borderId="0" xfId="0" applyBorder="1"/>
    <xf numFmtId="0" fontId="2" fillId="0" borderId="6" xfId="2" applyBorder="1" applyAlignment="1">
      <alignment horizontal="left" vertical="center" wrapText="1"/>
    </xf>
    <xf numFmtId="165" fontId="2" fillId="0" borderId="3" xfId="2" applyNumberFormat="1" applyBorder="1" applyAlignment="1">
      <alignment horizontal="right" vertical="center"/>
    </xf>
    <xf numFmtId="10" fontId="2" fillId="0" borderId="7" xfId="1" applyNumberFormat="1" applyFont="1" applyBorder="1" applyAlignment="1">
      <alignment horizontal="right" vertical="center"/>
    </xf>
    <xf numFmtId="10" fontId="2" fillId="0" borderId="6" xfId="1" applyNumberFormat="1" applyFont="1" applyBorder="1" applyAlignment="1">
      <alignment horizontal="right" vertical="center"/>
    </xf>
  </cellXfs>
  <cellStyles count="3">
    <cellStyle name="Detalhe_2fb57a84-7d6b-405f-a169-97c3b09b3953" xfId="2" xr:uid="{00000000-0005-0000-0000-000006000000}"/>
    <cellStyle name="Normal" xfId="0" builtinId="0"/>
    <cellStyle name="Porcentagem" xfId="1" builtinId="5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75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5" width="26.42578125" customWidth="1"/>
    <col min="6" max="9" width="15" customWidth="1"/>
    <col min="10" max="10" width="26.42578125" customWidth="1"/>
  </cols>
  <sheetData>
    <row r="1" spans="1:10" ht="24.9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8">
        <v>2025</v>
      </c>
      <c r="G1" s="8">
        <v>2026</v>
      </c>
      <c r="H1" s="8" t="s">
        <v>4600</v>
      </c>
      <c r="I1" s="10" t="s">
        <v>4601</v>
      </c>
      <c r="J1" s="1" t="s">
        <v>4602</v>
      </c>
    </row>
    <row r="2" spans="1:10" ht="25.5">
      <c r="A2" s="3" t="s">
        <v>5</v>
      </c>
      <c r="B2" s="3" t="s">
        <v>6</v>
      </c>
      <c r="C2" s="4">
        <v>335</v>
      </c>
      <c r="D2" s="3" t="s">
        <v>7</v>
      </c>
      <c r="E2" s="3" t="s">
        <v>8</v>
      </c>
      <c r="F2" s="5">
        <v>12925.32</v>
      </c>
      <c r="G2" s="5">
        <v>0</v>
      </c>
      <c r="H2" s="5">
        <f>G2-F2</f>
        <v>-12925.32</v>
      </c>
      <c r="I2" s="9">
        <f>IFERROR(G2/F2-1,0)</f>
        <v>-1</v>
      </c>
      <c r="J2" s="3" t="s">
        <v>4603</v>
      </c>
    </row>
    <row r="3" spans="1:10" ht="38.25">
      <c r="A3" s="3" t="s">
        <v>10</v>
      </c>
      <c r="B3" s="3" t="s">
        <v>11</v>
      </c>
      <c r="C3" s="4">
        <v>301</v>
      </c>
      <c r="D3" s="3" t="s">
        <v>12</v>
      </c>
      <c r="E3" s="3" t="s">
        <v>13</v>
      </c>
      <c r="F3" s="5">
        <v>130355.34</v>
      </c>
      <c r="G3" s="5">
        <v>129322.14</v>
      </c>
      <c r="H3" s="5">
        <f t="shared" ref="H3:H66" si="0">G3-F3</f>
        <v>-1033.1999999999971</v>
      </c>
      <c r="I3" s="9">
        <f t="shared" ref="I3:I66" si="1">IFERROR(G3/F3-1,0)</f>
        <v>-7.9260274262642483E-3</v>
      </c>
      <c r="J3" s="3" t="s">
        <v>4604</v>
      </c>
    </row>
    <row r="4" spans="1:10" ht="38.25">
      <c r="A4" s="3" t="s">
        <v>14</v>
      </c>
      <c r="B4" s="3" t="s">
        <v>15</v>
      </c>
      <c r="C4" s="4">
        <v>45</v>
      </c>
      <c r="D4" s="3" t="s">
        <v>16</v>
      </c>
      <c r="E4" s="3" t="s">
        <v>8</v>
      </c>
      <c r="F4" s="5">
        <v>15645.6</v>
      </c>
      <c r="G4" s="5">
        <v>0</v>
      </c>
      <c r="H4" s="5">
        <f t="shared" si="0"/>
        <v>-15645.6</v>
      </c>
      <c r="I4" s="9">
        <f t="shared" si="1"/>
        <v>-1</v>
      </c>
      <c r="J4" s="3" t="s">
        <v>4603</v>
      </c>
    </row>
    <row r="5" spans="1:10" ht="38.25">
      <c r="A5" s="3" t="s">
        <v>19</v>
      </c>
      <c r="B5" s="3" t="s">
        <v>20</v>
      </c>
      <c r="C5" s="4">
        <v>143</v>
      </c>
      <c r="D5" s="3" t="s">
        <v>21</v>
      </c>
      <c r="E5" s="3" t="s">
        <v>22</v>
      </c>
      <c r="F5" s="5">
        <v>20948.22</v>
      </c>
      <c r="G5" s="5">
        <v>24263.695</v>
      </c>
      <c r="H5" s="5">
        <f t="shared" si="0"/>
        <v>3315.4749999999985</v>
      </c>
      <c r="I5" s="9">
        <f t="shared" si="1"/>
        <v>0.15827001053072753</v>
      </c>
      <c r="J5" s="3" t="s">
        <v>4603</v>
      </c>
    </row>
    <row r="6" spans="1:10" ht="25.5">
      <c r="A6" s="3" t="s">
        <v>19</v>
      </c>
      <c r="B6" s="3" t="s">
        <v>20</v>
      </c>
      <c r="C6" s="4">
        <v>197</v>
      </c>
      <c r="D6" s="3" t="s">
        <v>23</v>
      </c>
      <c r="E6" s="3" t="s">
        <v>22</v>
      </c>
      <c r="F6" s="5">
        <v>20948.22</v>
      </c>
      <c r="G6" s="5">
        <v>24263.695</v>
      </c>
      <c r="H6" s="5">
        <f t="shared" si="0"/>
        <v>3315.4749999999985</v>
      </c>
      <c r="I6" s="9">
        <f t="shared" si="1"/>
        <v>0.15827001053072753</v>
      </c>
      <c r="J6" s="3" t="s">
        <v>4603</v>
      </c>
    </row>
    <row r="7" spans="1:10" ht="25.5">
      <c r="A7" s="3" t="s">
        <v>24</v>
      </c>
      <c r="B7" s="3" t="s">
        <v>25</v>
      </c>
      <c r="C7" s="4">
        <v>39</v>
      </c>
      <c r="D7" s="3" t="s">
        <v>26</v>
      </c>
      <c r="E7" s="3" t="s">
        <v>9</v>
      </c>
      <c r="F7" s="5">
        <v>2371.1999999999998</v>
      </c>
      <c r="G7" s="5">
        <v>21994.15</v>
      </c>
      <c r="H7" s="5">
        <f t="shared" si="0"/>
        <v>19622.95</v>
      </c>
      <c r="I7" s="9">
        <f t="shared" si="1"/>
        <v>8.2755355937921742</v>
      </c>
      <c r="J7" s="3" t="s">
        <v>4603</v>
      </c>
    </row>
    <row r="8" spans="1:10" ht="38.25">
      <c r="A8" s="3" t="s">
        <v>27</v>
      </c>
      <c r="B8" s="3" t="s">
        <v>28</v>
      </c>
      <c r="C8" s="4">
        <v>371</v>
      </c>
      <c r="D8" s="3" t="s">
        <v>29</v>
      </c>
      <c r="E8" s="3" t="s">
        <v>30</v>
      </c>
      <c r="F8" s="5">
        <v>87065.34</v>
      </c>
      <c r="G8" s="5">
        <v>690133.78799999994</v>
      </c>
      <c r="H8" s="5">
        <f t="shared" si="0"/>
        <v>603068.44799999997</v>
      </c>
      <c r="I8" s="9">
        <f t="shared" si="1"/>
        <v>6.9266191115775806</v>
      </c>
      <c r="J8" s="3" t="s">
        <v>4603</v>
      </c>
    </row>
    <row r="9" spans="1:10">
      <c r="A9" s="3" t="s">
        <v>31</v>
      </c>
      <c r="B9" s="3" t="s">
        <v>32</v>
      </c>
      <c r="C9" s="4">
        <v>15</v>
      </c>
      <c r="D9" s="3" t="s">
        <v>33</v>
      </c>
      <c r="E9" s="3" t="s">
        <v>13</v>
      </c>
      <c r="F9" s="5">
        <v>0</v>
      </c>
      <c r="G9" s="5">
        <v>9717.84</v>
      </c>
      <c r="H9" s="5">
        <f t="shared" si="0"/>
        <v>9717.84</v>
      </c>
      <c r="I9" s="9">
        <f t="shared" si="1"/>
        <v>0</v>
      </c>
      <c r="J9" s="3" t="s">
        <v>4603</v>
      </c>
    </row>
    <row r="10" spans="1:10">
      <c r="A10" s="3" t="s">
        <v>34</v>
      </c>
      <c r="B10" s="3" t="s">
        <v>35</v>
      </c>
      <c r="C10" s="4">
        <v>15</v>
      </c>
      <c r="D10" s="3" t="s">
        <v>33</v>
      </c>
      <c r="E10" s="3" t="s">
        <v>13</v>
      </c>
      <c r="F10" s="5">
        <v>0</v>
      </c>
      <c r="G10" s="5">
        <v>3885.18</v>
      </c>
      <c r="H10" s="5">
        <f t="shared" si="0"/>
        <v>3885.18</v>
      </c>
      <c r="I10" s="9">
        <f t="shared" si="1"/>
        <v>0</v>
      </c>
      <c r="J10" s="3" t="s">
        <v>4603</v>
      </c>
    </row>
    <row r="11" spans="1:10" ht="38.25">
      <c r="A11" s="3" t="s">
        <v>36</v>
      </c>
      <c r="B11" s="3" t="s">
        <v>37</v>
      </c>
      <c r="C11" s="4">
        <v>45</v>
      </c>
      <c r="D11" s="3" t="s">
        <v>16</v>
      </c>
      <c r="E11" s="3" t="s">
        <v>8</v>
      </c>
      <c r="F11" s="5">
        <v>3563.46</v>
      </c>
      <c r="G11" s="5">
        <v>22904.400000000001</v>
      </c>
      <c r="H11" s="5">
        <f t="shared" si="0"/>
        <v>19340.940000000002</v>
      </c>
      <c r="I11" s="9">
        <f t="shared" si="1"/>
        <v>5.4275732013268003</v>
      </c>
      <c r="J11" s="3" t="s">
        <v>4603</v>
      </c>
    </row>
    <row r="12" spans="1:10" ht="25.5">
      <c r="A12" s="3" t="s">
        <v>38</v>
      </c>
      <c r="B12" s="3" t="s">
        <v>39</v>
      </c>
      <c r="C12" s="4">
        <v>39</v>
      </c>
      <c r="D12" s="3" t="s">
        <v>26</v>
      </c>
      <c r="E12" s="3" t="s">
        <v>9</v>
      </c>
      <c r="F12" s="5">
        <v>10619.1</v>
      </c>
      <c r="G12" s="5">
        <v>0</v>
      </c>
      <c r="H12" s="5">
        <f t="shared" si="0"/>
        <v>-10619.1</v>
      </c>
      <c r="I12" s="9">
        <f t="shared" si="1"/>
        <v>-1</v>
      </c>
      <c r="J12" s="3" t="s">
        <v>4603</v>
      </c>
    </row>
    <row r="13" spans="1:10" ht="25.5">
      <c r="A13" s="3" t="s">
        <v>40</v>
      </c>
      <c r="B13" s="3" t="s">
        <v>41</v>
      </c>
      <c r="C13" s="4">
        <v>93</v>
      </c>
      <c r="D13" s="3" t="s">
        <v>42</v>
      </c>
      <c r="E13" s="3" t="s">
        <v>8</v>
      </c>
      <c r="F13" s="5">
        <v>32433</v>
      </c>
      <c r="G13" s="5">
        <v>14962.86</v>
      </c>
      <c r="H13" s="5">
        <f t="shared" si="0"/>
        <v>-17470.14</v>
      </c>
      <c r="I13" s="9">
        <f t="shared" si="1"/>
        <v>-0.53865322356858747</v>
      </c>
      <c r="J13" s="3" t="s">
        <v>4603</v>
      </c>
    </row>
    <row r="14" spans="1:10">
      <c r="A14" s="3" t="s">
        <v>43</v>
      </c>
      <c r="B14" s="3" t="s">
        <v>44</v>
      </c>
      <c r="C14" s="4">
        <v>15</v>
      </c>
      <c r="D14" s="3" t="s">
        <v>33</v>
      </c>
      <c r="E14" s="3" t="s">
        <v>13</v>
      </c>
      <c r="F14" s="5">
        <v>0</v>
      </c>
      <c r="G14" s="5">
        <v>9440.58</v>
      </c>
      <c r="H14" s="5">
        <f t="shared" si="0"/>
        <v>9440.58</v>
      </c>
      <c r="I14" s="9">
        <f t="shared" si="1"/>
        <v>0</v>
      </c>
      <c r="J14" s="3" t="s">
        <v>4603</v>
      </c>
    </row>
    <row r="15" spans="1:10" ht="25.5">
      <c r="A15" s="3" t="s">
        <v>45</v>
      </c>
      <c r="B15" s="3" t="s">
        <v>46</v>
      </c>
      <c r="C15" s="4">
        <v>261</v>
      </c>
      <c r="D15" s="3" t="s">
        <v>17</v>
      </c>
      <c r="E15" s="3" t="s">
        <v>18</v>
      </c>
      <c r="F15" s="5">
        <v>9415.5</v>
      </c>
      <c r="G15" s="5">
        <v>0</v>
      </c>
      <c r="H15" s="5">
        <f t="shared" si="0"/>
        <v>-9415.5</v>
      </c>
      <c r="I15" s="9">
        <f t="shared" si="1"/>
        <v>-1</v>
      </c>
      <c r="J15" s="3" t="s">
        <v>4603</v>
      </c>
    </row>
    <row r="16" spans="1:10" ht="25.5">
      <c r="A16" s="3" t="s">
        <v>47</v>
      </c>
      <c r="B16" s="3" t="s">
        <v>48</v>
      </c>
      <c r="C16" s="4">
        <v>93</v>
      </c>
      <c r="D16" s="3" t="s">
        <v>42</v>
      </c>
      <c r="E16" s="3" t="s">
        <v>8</v>
      </c>
      <c r="F16" s="5">
        <v>279.95999999999998</v>
      </c>
      <c r="G16" s="5">
        <v>0</v>
      </c>
      <c r="H16" s="5">
        <f t="shared" si="0"/>
        <v>-279.95999999999998</v>
      </c>
      <c r="I16" s="9">
        <f t="shared" si="1"/>
        <v>-1</v>
      </c>
      <c r="J16" s="3" t="s">
        <v>4603</v>
      </c>
    </row>
    <row r="17" spans="1:10" ht="25.5">
      <c r="A17" s="3" t="s">
        <v>49</v>
      </c>
      <c r="B17" s="3" t="s">
        <v>50</v>
      </c>
      <c r="C17" s="4">
        <v>93</v>
      </c>
      <c r="D17" s="3" t="s">
        <v>42</v>
      </c>
      <c r="E17" s="3" t="s">
        <v>8</v>
      </c>
      <c r="F17" s="5">
        <v>60581.04</v>
      </c>
      <c r="G17" s="5">
        <v>67770.960000000006</v>
      </c>
      <c r="H17" s="5">
        <f t="shared" si="0"/>
        <v>7189.9200000000055</v>
      </c>
      <c r="I17" s="9">
        <f t="shared" si="1"/>
        <v>0.1186826769563547</v>
      </c>
      <c r="J17" s="3" t="s">
        <v>4603</v>
      </c>
    </row>
    <row r="18" spans="1:10" ht="25.5">
      <c r="A18" s="3" t="s">
        <v>51</v>
      </c>
      <c r="B18" s="3" t="s">
        <v>52</v>
      </c>
      <c r="C18" s="4">
        <v>19</v>
      </c>
      <c r="D18" s="3" t="s">
        <v>53</v>
      </c>
      <c r="E18" s="3" t="s">
        <v>22</v>
      </c>
      <c r="F18" s="5">
        <v>4382.6400000000003</v>
      </c>
      <c r="G18" s="5">
        <v>0</v>
      </c>
      <c r="H18" s="5">
        <f t="shared" si="0"/>
        <v>-4382.6400000000003</v>
      </c>
      <c r="I18" s="9">
        <f t="shared" si="1"/>
        <v>-1</v>
      </c>
      <c r="J18" s="3" t="s">
        <v>4603</v>
      </c>
    </row>
    <row r="19" spans="1:10" ht="25.5">
      <c r="A19" s="3" t="s">
        <v>56</v>
      </c>
      <c r="B19" s="3" t="s">
        <v>57</v>
      </c>
      <c r="C19" s="4">
        <v>208</v>
      </c>
      <c r="D19" s="3" t="s">
        <v>58</v>
      </c>
      <c r="E19" s="3" t="s">
        <v>13</v>
      </c>
      <c r="F19" s="5">
        <v>44551.08</v>
      </c>
      <c r="G19" s="5">
        <v>0</v>
      </c>
      <c r="H19" s="5">
        <f t="shared" si="0"/>
        <v>-44551.08</v>
      </c>
      <c r="I19" s="9">
        <f t="shared" si="1"/>
        <v>-1</v>
      </c>
      <c r="J19" s="3" t="s">
        <v>4603</v>
      </c>
    </row>
    <row r="20" spans="1:10" ht="25.5">
      <c r="A20" s="3" t="s">
        <v>59</v>
      </c>
      <c r="B20" s="3" t="s">
        <v>60</v>
      </c>
      <c r="C20" s="4">
        <v>317</v>
      </c>
      <c r="D20" s="3" t="s">
        <v>54</v>
      </c>
      <c r="E20" s="3" t="s">
        <v>18</v>
      </c>
      <c r="F20" s="5">
        <v>20302.86</v>
      </c>
      <c r="G20" s="5">
        <v>0</v>
      </c>
      <c r="H20" s="5">
        <f t="shared" si="0"/>
        <v>-20302.86</v>
      </c>
      <c r="I20" s="9">
        <f t="shared" si="1"/>
        <v>-1</v>
      </c>
      <c r="J20" s="3" t="s">
        <v>4603</v>
      </c>
    </row>
    <row r="21" spans="1:10" ht="25.5">
      <c r="A21" s="3" t="s">
        <v>61</v>
      </c>
      <c r="B21" s="3" t="s">
        <v>62</v>
      </c>
      <c r="C21" s="4">
        <v>317</v>
      </c>
      <c r="D21" s="3" t="s">
        <v>54</v>
      </c>
      <c r="E21" s="3" t="s">
        <v>18</v>
      </c>
      <c r="F21" s="5">
        <v>9882.18</v>
      </c>
      <c r="G21" s="5">
        <v>0</v>
      </c>
      <c r="H21" s="5">
        <f t="shared" si="0"/>
        <v>-9882.18</v>
      </c>
      <c r="I21" s="9">
        <f t="shared" si="1"/>
        <v>-1</v>
      </c>
      <c r="J21" s="3" t="s">
        <v>4603</v>
      </c>
    </row>
    <row r="22" spans="1:10" ht="38.25">
      <c r="A22" s="3" t="s">
        <v>63</v>
      </c>
      <c r="B22" s="3" t="s">
        <v>64</v>
      </c>
      <c r="C22" s="4">
        <v>11</v>
      </c>
      <c r="D22" s="3" t="s">
        <v>55</v>
      </c>
      <c r="E22" s="3" t="s">
        <v>18</v>
      </c>
      <c r="F22" s="5">
        <v>16601.04</v>
      </c>
      <c r="G22" s="5">
        <v>0</v>
      </c>
      <c r="H22" s="5">
        <f t="shared" si="0"/>
        <v>-16601.04</v>
      </c>
      <c r="I22" s="9">
        <f t="shared" si="1"/>
        <v>-1</v>
      </c>
      <c r="J22" s="3" t="s">
        <v>4603</v>
      </c>
    </row>
    <row r="23" spans="1:10" ht="38.25">
      <c r="A23" s="3" t="s">
        <v>65</v>
      </c>
      <c r="B23" s="3" t="s">
        <v>66</v>
      </c>
      <c r="C23" s="4">
        <v>11</v>
      </c>
      <c r="D23" s="3" t="s">
        <v>55</v>
      </c>
      <c r="E23" s="3" t="s">
        <v>18</v>
      </c>
      <c r="F23" s="5">
        <v>95352.18</v>
      </c>
      <c r="G23" s="5">
        <v>0</v>
      </c>
      <c r="H23" s="5">
        <f t="shared" si="0"/>
        <v>-95352.18</v>
      </c>
      <c r="I23" s="9">
        <f t="shared" si="1"/>
        <v>-1</v>
      </c>
      <c r="J23" s="3" t="s">
        <v>4603</v>
      </c>
    </row>
    <row r="24" spans="1:10" ht="38.25">
      <c r="A24" s="3" t="s">
        <v>67</v>
      </c>
      <c r="B24" s="3" t="s">
        <v>68</v>
      </c>
      <c r="C24" s="4">
        <v>11</v>
      </c>
      <c r="D24" s="3" t="s">
        <v>55</v>
      </c>
      <c r="E24" s="3" t="s">
        <v>18</v>
      </c>
      <c r="F24" s="5">
        <v>28105.56</v>
      </c>
      <c r="G24" s="5">
        <v>0</v>
      </c>
      <c r="H24" s="5">
        <f t="shared" si="0"/>
        <v>-28105.56</v>
      </c>
      <c r="I24" s="9">
        <f t="shared" si="1"/>
        <v>-1</v>
      </c>
      <c r="J24" s="3" t="s">
        <v>4603</v>
      </c>
    </row>
    <row r="25" spans="1:10" ht="25.5">
      <c r="A25" s="3" t="s">
        <v>69</v>
      </c>
      <c r="B25" s="3" t="s">
        <v>70</v>
      </c>
      <c r="C25" s="4">
        <v>23</v>
      </c>
      <c r="D25" s="3" t="s">
        <v>71</v>
      </c>
      <c r="E25" s="3" t="s">
        <v>8</v>
      </c>
      <c r="F25" s="5">
        <v>4895.28</v>
      </c>
      <c r="G25" s="5">
        <v>0</v>
      </c>
      <c r="H25" s="5">
        <f t="shared" si="0"/>
        <v>-4895.28</v>
      </c>
      <c r="I25" s="9">
        <f t="shared" si="1"/>
        <v>-1</v>
      </c>
      <c r="J25" s="3" t="s">
        <v>4603</v>
      </c>
    </row>
    <row r="26" spans="1:10" ht="25.5">
      <c r="A26" s="3" t="s">
        <v>72</v>
      </c>
      <c r="B26" s="3" t="s">
        <v>73</v>
      </c>
      <c r="C26" s="4">
        <v>23</v>
      </c>
      <c r="D26" s="3" t="s">
        <v>71</v>
      </c>
      <c r="E26" s="3" t="s">
        <v>8</v>
      </c>
      <c r="F26" s="5">
        <v>2993.52</v>
      </c>
      <c r="G26" s="5">
        <v>2836.2</v>
      </c>
      <c r="H26" s="5">
        <f t="shared" si="0"/>
        <v>-157.32000000000016</v>
      </c>
      <c r="I26" s="9">
        <f t="shared" si="1"/>
        <v>-5.2553515593682376E-2</v>
      </c>
      <c r="J26" s="3" t="s">
        <v>4603</v>
      </c>
    </row>
    <row r="27" spans="1:10" ht="25.5">
      <c r="A27" s="3" t="s">
        <v>74</v>
      </c>
      <c r="B27" s="3" t="s">
        <v>75</v>
      </c>
      <c r="C27" s="4">
        <v>327</v>
      </c>
      <c r="D27" s="3" t="s">
        <v>76</v>
      </c>
      <c r="E27" s="3" t="s">
        <v>8</v>
      </c>
      <c r="F27" s="5">
        <v>0</v>
      </c>
      <c r="G27" s="5">
        <v>5945.1</v>
      </c>
      <c r="H27" s="5">
        <f t="shared" si="0"/>
        <v>5945.1</v>
      </c>
      <c r="I27" s="9">
        <f t="shared" si="1"/>
        <v>0</v>
      </c>
      <c r="J27" s="3" t="s">
        <v>4603</v>
      </c>
    </row>
    <row r="28" spans="1:10">
      <c r="A28" s="3" t="s">
        <v>77</v>
      </c>
      <c r="B28" s="3" t="s">
        <v>78</v>
      </c>
      <c r="C28" s="4">
        <v>315</v>
      </c>
      <c r="D28" s="3" t="s">
        <v>79</v>
      </c>
      <c r="E28" s="3" t="s">
        <v>8</v>
      </c>
      <c r="F28" s="5">
        <v>13927.02</v>
      </c>
      <c r="G28" s="5">
        <v>10788.675999999999</v>
      </c>
      <c r="H28" s="5">
        <f t="shared" si="0"/>
        <v>-3138.344000000001</v>
      </c>
      <c r="I28" s="9">
        <f t="shared" si="1"/>
        <v>-0.22534210477187522</v>
      </c>
      <c r="J28" s="3" t="s">
        <v>4603</v>
      </c>
    </row>
    <row r="29" spans="1:10">
      <c r="A29" s="3" t="s">
        <v>80</v>
      </c>
      <c r="B29" s="3" t="s">
        <v>81</v>
      </c>
      <c r="C29" s="4">
        <v>315</v>
      </c>
      <c r="D29" s="3" t="s">
        <v>79</v>
      </c>
      <c r="E29" s="3" t="s">
        <v>8</v>
      </c>
      <c r="F29" s="5">
        <v>14442.06</v>
      </c>
      <c r="G29" s="5">
        <v>0</v>
      </c>
      <c r="H29" s="5">
        <f t="shared" si="0"/>
        <v>-14442.06</v>
      </c>
      <c r="I29" s="9">
        <f t="shared" si="1"/>
        <v>-1</v>
      </c>
      <c r="J29" s="3" t="s">
        <v>4603</v>
      </c>
    </row>
    <row r="30" spans="1:10" ht="38.25">
      <c r="A30" s="3" t="s">
        <v>82</v>
      </c>
      <c r="B30" s="3" t="s">
        <v>83</v>
      </c>
      <c r="C30" s="4">
        <v>45</v>
      </c>
      <c r="D30" s="3" t="s">
        <v>16</v>
      </c>
      <c r="E30" s="3" t="s">
        <v>8</v>
      </c>
      <c r="F30" s="5">
        <v>42920.34</v>
      </c>
      <c r="G30" s="5">
        <v>95404.800000000003</v>
      </c>
      <c r="H30" s="5">
        <f t="shared" si="0"/>
        <v>52484.460000000006</v>
      </c>
      <c r="I30" s="9">
        <f t="shared" si="1"/>
        <v>1.222834208675887</v>
      </c>
      <c r="J30" s="3" t="s">
        <v>4603</v>
      </c>
    </row>
    <row r="31" spans="1:10" ht="25.5">
      <c r="A31" s="3" t="s">
        <v>84</v>
      </c>
      <c r="B31" s="3" t="s">
        <v>85</v>
      </c>
      <c r="C31" s="4">
        <v>74</v>
      </c>
      <c r="D31" s="3" t="s">
        <v>86</v>
      </c>
      <c r="E31" s="3" t="s">
        <v>8</v>
      </c>
      <c r="F31" s="5">
        <v>13681.08</v>
      </c>
      <c r="G31" s="5">
        <v>4121.5200000000004</v>
      </c>
      <c r="H31" s="5">
        <f t="shared" si="0"/>
        <v>-9559.56</v>
      </c>
      <c r="I31" s="9">
        <f t="shared" si="1"/>
        <v>-0.69874308168653343</v>
      </c>
      <c r="J31" s="3" t="s">
        <v>4603</v>
      </c>
    </row>
    <row r="32" spans="1:10">
      <c r="A32" s="3" t="s">
        <v>87</v>
      </c>
      <c r="B32" s="3" t="s">
        <v>88</v>
      </c>
      <c r="C32" s="4">
        <v>231</v>
      </c>
      <c r="D32" s="3" t="s">
        <v>89</v>
      </c>
      <c r="E32" s="3" t="s">
        <v>8</v>
      </c>
      <c r="F32" s="5">
        <v>10930.32</v>
      </c>
      <c r="G32" s="5">
        <v>19375.32</v>
      </c>
      <c r="H32" s="5">
        <f t="shared" si="0"/>
        <v>8445</v>
      </c>
      <c r="I32" s="9">
        <f t="shared" si="1"/>
        <v>0.7726214786026393</v>
      </c>
      <c r="J32" s="3" t="s">
        <v>4603</v>
      </c>
    </row>
    <row r="33" spans="1:10" ht="25.5">
      <c r="A33" s="3" t="s">
        <v>90</v>
      </c>
      <c r="B33" s="3" t="s">
        <v>91</v>
      </c>
      <c r="C33" s="4">
        <v>178</v>
      </c>
      <c r="D33" s="3" t="s">
        <v>92</v>
      </c>
      <c r="E33" s="3" t="s">
        <v>8</v>
      </c>
      <c r="F33" s="5">
        <v>7774.8</v>
      </c>
      <c r="G33" s="5">
        <v>12449.94</v>
      </c>
      <c r="H33" s="5">
        <f t="shared" si="0"/>
        <v>4675.1400000000003</v>
      </c>
      <c r="I33" s="9">
        <f t="shared" si="1"/>
        <v>0.60131964809384164</v>
      </c>
      <c r="J33" s="3" t="s">
        <v>4603</v>
      </c>
    </row>
    <row r="34" spans="1:10">
      <c r="A34" s="3" t="s">
        <v>93</v>
      </c>
      <c r="B34" s="3" t="s">
        <v>94</v>
      </c>
      <c r="C34" s="4">
        <v>232</v>
      </c>
      <c r="D34" s="3" t="s">
        <v>95</v>
      </c>
      <c r="E34" s="3" t="s">
        <v>13</v>
      </c>
      <c r="F34" s="5">
        <v>27918.6</v>
      </c>
      <c r="G34" s="5">
        <v>0</v>
      </c>
      <c r="H34" s="5">
        <f t="shared" si="0"/>
        <v>-27918.6</v>
      </c>
      <c r="I34" s="9">
        <f t="shared" si="1"/>
        <v>-1</v>
      </c>
      <c r="J34" s="3" t="s">
        <v>4604</v>
      </c>
    </row>
    <row r="35" spans="1:10" ht="25.5">
      <c r="A35" s="3" t="s">
        <v>96</v>
      </c>
      <c r="B35" s="3" t="s">
        <v>97</v>
      </c>
      <c r="C35" s="4">
        <v>74</v>
      </c>
      <c r="D35" s="3" t="s">
        <v>86</v>
      </c>
      <c r="E35" s="3" t="s">
        <v>8</v>
      </c>
      <c r="F35" s="5">
        <v>34279.019999999997</v>
      </c>
      <c r="G35" s="5">
        <v>0</v>
      </c>
      <c r="H35" s="5">
        <f t="shared" si="0"/>
        <v>-34279.019999999997</v>
      </c>
      <c r="I35" s="9">
        <f t="shared" si="1"/>
        <v>-1</v>
      </c>
      <c r="J35" s="3" t="s">
        <v>4603</v>
      </c>
    </row>
    <row r="36" spans="1:10" ht="25.5">
      <c r="A36" s="3" t="s">
        <v>98</v>
      </c>
      <c r="B36" s="3" t="s">
        <v>99</v>
      </c>
      <c r="C36" s="4">
        <v>74</v>
      </c>
      <c r="D36" s="3" t="s">
        <v>86</v>
      </c>
      <c r="E36" s="3" t="s">
        <v>8</v>
      </c>
      <c r="F36" s="5">
        <v>83771.039999999994</v>
      </c>
      <c r="G36" s="5">
        <v>26741.19</v>
      </c>
      <c r="H36" s="5">
        <f t="shared" si="0"/>
        <v>-57029.849999999991</v>
      </c>
      <c r="I36" s="9">
        <f t="shared" si="1"/>
        <v>-0.68078240403843626</v>
      </c>
      <c r="J36" s="3" t="s">
        <v>4603</v>
      </c>
    </row>
    <row r="37" spans="1:10" ht="38.25">
      <c r="A37" s="3" t="s">
        <v>100</v>
      </c>
      <c r="B37" s="3" t="s">
        <v>101</v>
      </c>
      <c r="C37" s="4">
        <v>45</v>
      </c>
      <c r="D37" s="3" t="s">
        <v>16</v>
      </c>
      <c r="E37" s="3" t="s">
        <v>8</v>
      </c>
      <c r="F37" s="5">
        <v>0</v>
      </c>
      <c r="G37" s="5">
        <v>8713.77</v>
      </c>
      <c r="H37" s="5">
        <f t="shared" si="0"/>
        <v>8713.77</v>
      </c>
      <c r="I37" s="9">
        <f t="shared" si="1"/>
        <v>0</v>
      </c>
      <c r="J37" s="3" t="s">
        <v>4603</v>
      </c>
    </row>
    <row r="38" spans="1:10" ht="38.25">
      <c r="A38" s="3" t="s">
        <v>102</v>
      </c>
      <c r="B38" s="3" t="s">
        <v>103</v>
      </c>
      <c r="C38" s="4">
        <v>143</v>
      </c>
      <c r="D38" s="3" t="s">
        <v>21</v>
      </c>
      <c r="E38" s="3" t="s">
        <v>22</v>
      </c>
      <c r="F38" s="5">
        <v>31662.69</v>
      </c>
      <c r="G38" s="5">
        <v>0</v>
      </c>
      <c r="H38" s="5">
        <f t="shared" si="0"/>
        <v>-31662.69</v>
      </c>
      <c r="I38" s="9">
        <f t="shared" si="1"/>
        <v>-1</v>
      </c>
      <c r="J38" s="3" t="s">
        <v>4603</v>
      </c>
    </row>
    <row r="39" spans="1:10" ht="25.5">
      <c r="A39" s="3" t="s">
        <v>104</v>
      </c>
      <c r="B39" s="3" t="s">
        <v>105</v>
      </c>
      <c r="C39" s="4">
        <v>41</v>
      </c>
      <c r="D39" s="3" t="s">
        <v>106</v>
      </c>
      <c r="E39" s="3" t="s">
        <v>22</v>
      </c>
      <c r="F39" s="5">
        <v>2052</v>
      </c>
      <c r="G39" s="5">
        <v>2212.2800000000002</v>
      </c>
      <c r="H39" s="5">
        <f t="shared" si="0"/>
        <v>160.2800000000002</v>
      </c>
      <c r="I39" s="9">
        <f t="shared" si="1"/>
        <v>7.8109161793372461E-2</v>
      </c>
      <c r="J39" s="3" t="s">
        <v>4603</v>
      </c>
    </row>
    <row r="40" spans="1:10" ht="25.5">
      <c r="A40" s="3" t="s">
        <v>107</v>
      </c>
      <c r="B40" s="3" t="s">
        <v>108</v>
      </c>
      <c r="C40" s="4">
        <v>41</v>
      </c>
      <c r="D40" s="3" t="s">
        <v>106</v>
      </c>
      <c r="E40" s="3" t="s">
        <v>22</v>
      </c>
      <c r="F40" s="5">
        <v>8542.56</v>
      </c>
      <c r="G40" s="5">
        <v>2672.52</v>
      </c>
      <c r="H40" s="5">
        <f t="shared" si="0"/>
        <v>-5870.0399999999991</v>
      </c>
      <c r="I40" s="9">
        <f t="shared" si="1"/>
        <v>-0.68715232904422097</v>
      </c>
      <c r="J40" s="3" t="s">
        <v>4603</v>
      </c>
    </row>
    <row r="41" spans="1:10" ht="25.5">
      <c r="A41" s="3" t="s">
        <v>109</v>
      </c>
      <c r="B41" s="3" t="s">
        <v>110</v>
      </c>
      <c r="C41" s="4">
        <v>266</v>
      </c>
      <c r="D41" s="3" t="s">
        <v>111</v>
      </c>
      <c r="E41" s="3" t="s">
        <v>18</v>
      </c>
      <c r="F41" s="5">
        <v>0</v>
      </c>
      <c r="G41" s="5">
        <v>18661.241000000002</v>
      </c>
      <c r="H41" s="5">
        <f t="shared" si="0"/>
        <v>18661.241000000002</v>
      </c>
      <c r="I41" s="9">
        <f t="shared" si="1"/>
        <v>0</v>
      </c>
      <c r="J41" s="3" t="s">
        <v>4603</v>
      </c>
    </row>
    <row r="42" spans="1:10" ht="25.5">
      <c r="A42" s="3" t="s">
        <v>112</v>
      </c>
      <c r="B42" s="3" t="s">
        <v>113</v>
      </c>
      <c r="C42" s="4">
        <v>61</v>
      </c>
      <c r="D42" s="3" t="s">
        <v>114</v>
      </c>
      <c r="E42" s="3" t="s">
        <v>30</v>
      </c>
      <c r="F42" s="5">
        <v>21814.38</v>
      </c>
      <c r="G42" s="5">
        <v>12603.87</v>
      </c>
      <c r="H42" s="5">
        <f t="shared" si="0"/>
        <v>-9210.51</v>
      </c>
      <c r="I42" s="9">
        <f t="shared" si="1"/>
        <v>-0.42222194717429506</v>
      </c>
      <c r="J42" s="3" t="s">
        <v>4603</v>
      </c>
    </row>
    <row r="43" spans="1:10" ht="25.5">
      <c r="A43" s="3" t="s">
        <v>115</v>
      </c>
      <c r="B43" s="3" t="s">
        <v>116</v>
      </c>
      <c r="C43" s="4">
        <v>23</v>
      </c>
      <c r="D43" s="3" t="s">
        <v>71</v>
      </c>
      <c r="E43" s="3" t="s">
        <v>8</v>
      </c>
      <c r="F43" s="5">
        <v>49294.8</v>
      </c>
      <c r="G43" s="5">
        <v>0</v>
      </c>
      <c r="H43" s="5">
        <f t="shared" si="0"/>
        <v>-49294.8</v>
      </c>
      <c r="I43" s="9">
        <f t="shared" si="1"/>
        <v>-1</v>
      </c>
      <c r="J43" s="3" t="s">
        <v>4604</v>
      </c>
    </row>
    <row r="44" spans="1:10" ht="25.5">
      <c r="A44" s="3" t="s">
        <v>117</v>
      </c>
      <c r="B44" s="3" t="s">
        <v>118</v>
      </c>
      <c r="C44" s="4">
        <v>61</v>
      </c>
      <c r="D44" s="3" t="s">
        <v>114</v>
      </c>
      <c r="E44" s="3" t="s">
        <v>30</v>
      </c>
      <c r="F44" s="5">
        <v>28101.96</v>
      </c>
      <c r="G44" s="5">
        <v>52072.38</v>
      </c>
      <c r="H44" s="5">
        <f t="shared" si="0"/>
        <v>23970.42</v>
      </c>
      <c r="I44" s="9">
        <f t="shared" si="1"/>
        <v>0.85298036151215073</v>
      </c>
      <c r="J44" s="3" t="s">
        <v>4603</v>
      </c>
    </row>
    <row r="45" spans="1:10" ht="25.5">
      <c r="A45" s="3" t="s">
        <v>119</v>
      </c>
      <c r="B45" s="3" t="s">
        <v>120</v>
      </c>
      <c r="C45" s="4">
        <v>39</v>
      </c>
      <c r="D45" s="3" t="s">
        <v>26</v>
      </c>
      <c r="E45" s="3" t="s">
        <v>9</v>
      </c>
      <c r="F45" s="5">
        <v>0</v>
      </c>
      <c r="G45" s="5">
        <v>68725.03</v>
      </c>
      <c r="H45" s="5">
        <f t="shared" si="0"/>
        <v>68725.03</v>
      </c>
      <c r="I45" s="9">
        <f t="shared" si="1"/>
        <v>0</v>
      </c>
      <c r="J45" s="3" t="s">
        <v>4603</v>
      </c>
    </row>
    <row r="46" spans="1:10" ht="25.5">
      <c r="A46" s="3" t="s">
        <v>121</v>
      </c>
      <c r="B46" s="3" t="s">
        <v>122</v>
      </c>
      <c r="C46" s="4">
        <v>266</v>
      </c>
      <c r="D46" s="3" t="s">
        <v>111</v>
      </c>
      <c r="E46" s="3" t="s">
        <v>18</v>
      </c>
      <c r="F46" s="5">
        <v>6240.6</v>
      </c>
      <c r="G46" s="5">
        <v>0</v>
      </c>
      <c r="H46" s="5">
        <f t="shared" si="0"/>
        <v>-6240.6</v>
      </c>
      <c r="I46" s="9">
        <f t="shared" si="1"/>
        <v>-1</v>
      </c>
      <c r="J46" s="3" t="s">
        <v>4603</v>
      </c>
    </row>
    <row r="47" spans="1:10" ht="38.25">
      <c r="A47" s="3" t="s">
        <v>123</v>
      </c>
      <c r="B47" s="3" t="s">
        <v>124</v>
      </c>
      <c r="C47" s="4">
        <v>11</v>
      </c>
      <c r="D47" s="3" t="s">
        <v>55</v>
      </c>
      <c r="E47" s="3" t="s">
        <v>18</v>
      </c>
      <c r="F47" s="5">
        <v>422845.14199999999</v>
      </c>
      <c r="G47" s="5">
        <v>402686.897</v>
      </c>
      <c r="H47" s="5">
        <f t="shared" si="0"/>
        <v>-20158.244999999995</v>
      </c>
      <c r="I47" s="9">
        <f t="shared" si="1"/>
        <v>-4.7672878313451239E-2</v>
      </c>
      <c r="J47" s="3" t="s">
        <v>4604</v>
      </c>
    </row>
    <row r="48" spans="1:10" ht="25.5">
      <c r="A48" s="3" t="s">
        <v>126</v>
      </c>
      <c r="B48" s="3" t="s">
        <v>127</v>
      </c>
      <c r="C48" s="4">
        <v>197</v>
      </c>
      <c r="D48" s="3" t="s">
        <v>23</v>
      </c>
      <c r="E48" s="3" t="s">
        <v>22</v>
      </c>
      <c r="F48" s="5">
        <v>5663.04</v>
      </c>
      <c r="G48" s="5">
        <v>0</v>
      </c>
      <c r="H48" s="5">
        <f t="shared" si="0"/>
        <v>-5663.04</v>
      </c>
      <c r="I48" s="9">
        <f t="shared" si="1"/>
        <v>-1</v>
      </c>
      <c r="J48" s="3" t="s">
        <v>4603</v>
      </c>
    </row>
    <row r="49" spans="1:10" ht="25.5">
      <c r="A49" s="3" t="s">
        <v>128</v>
      </c>
      <c r="B49" s="3" t="s">
        <v>129</v>
      </c>
      <c r="C49" s="4">
        <v>197</v>
      </c>
      <c r="D49" s="3" t="s">
        <v>23</v>
      </c>
      <c r="E49" s="3" t="s">
        <v>22</v>
      </c>
      <c r="F49" s="5">
        <v>0</v>
      </c>
      <c r="G49" s="5">
        <v>10274.459999999999</v>
      </c>
      <c r="H49" s="5">
        <f t="shared" si="0"/>
        <v>10274.459999999999</v>
      </c>
      <c r="I49" s="9">
        <f t="shared" si="1"/>
        <v>0</v>
      </c>
      <c r="J49" s="3" t="s">
        <v>4603</v>
      </c>
    </row>
    <row r="50" spans="1:10" ht="25.5">
      <c r="A50" s="3" t="s">
        <v>130</v>
      </c>
      <c r="B50" s="3" t="s">
        <v>131</v>
      </c>
      <c r="C50" s="4">
        <v>197</v>
      </c>
      <c r="D50" s="3" t="s">
        <v>23</v>
      </c>
      <c r="E50" s="3" t="s">
        <v>22</v>
      </c>
      <c r="F50" s="5">
        <v>10006.200000000001</v>
      </c>
      <c r="G50" s="5">
        <v>0</v>
      </c>
      <c r="H50" s="5">
        <f t="shared" si="0"/>
        <v>-10006.200000000001</v>
      </c>
      <c r="I50" s="9">
        <f t="shared" si="1"/>
        <v>-1</v>
      </c>
      <c r="J50" s="3" t="s">
        <v>4603</v>
      </c>
    </row>
    <row r="51" spans="1:10" ht="25.5">
      <c r="A51" s="3" t="s">
        <v>132</v>
      </c>
      <c r="B51" s="3" t="s">
        <v>133</v>
      </c>
      <c r="C51" s="4">
        <v>61</v>
      </c>
      <c r="D51" s="3" t="s">
        <v>114</v>
      </c>
      <c r="E51" s="3" t="s">
        <v>30</v>
      </c>
      <c r="F51" s="5">
        <v>0</v>
      </c>
      <c r="G51" s="5">
        <v>6566.88</v>
      </c>
      <c r="H51" s="5">
        <f t="shared" si="0"/>
        <v>6566.88</v>
      </c>
      <c r="I51" s="9">
        <f t="shared" si="1"/>
        <v>0</v>
      </c>
      <c r="J51" s="3" t="s">
        <v>4603</v>
      </c>
    </row>
    <row r="52" spans="1:10" ht="25.5">
      <c r="A52" s="3" t="s">
        <v>134</v>
      </c>
      <c r="B52" s="3" t="s">
        <v>135</v>
      </c>
      <c r="C52" s="4">
        <v>317</v>
      </c>
      <c r="D52" s="3" t="s">
        <v>54</v>
      </c>
      <c r="E52" s="3" t="s">
        <v>18</v>
      </c>
      <c r="F52" s="5">
        <v>0</v>
      </c>
      <c r="G52" s="5">
        <v>23878.799999999999</v>
      </c>
      <c r="H52" s="5">
        <f t="shared" si="0"/>
        <v>23878.799999999999</v>
      </c>
      <c r="I52" s="9">
        <f t="shared" si="1"/>
        <v>0</v>
      </c>
      <c r="J52" s="3" t="s">
        <v>4603</v>
      </c>
    </row>
    <row r="53" spans="1:10" ht="38.25">
      <c r="A53" s="3" t="s">
        <v>138</v>
      </c>
      <c r="B53" s="3" t="s">
        <v>139</v>
      </c>
      <c r="C53" s="4">
        <v>34</v>
      </c>
      <c r="D53" s="3" t="s">
        <v>136</v>
      </c>
      <c r="E53" s="3" t="s">
        <v>30</v>
      </c>
      <c r="F53" s="5">
        <v>33799.230000000003</v>
      </c>
      <c r="G53" s="5">
        <v>22365</v>
      </c>
      <c r="H53" s="5">
        <f t="shared" si="0"/>
        <v>-11434.230000000003</v>
      </c>
      <c r="I53" s="9">
        <f t="shared" si="1"/>
        <v>-0.33829853520331687</v>
      </c>
      <c r="J53" s="3" t="s">
        <v>4603</v>
      </c>
    </row>
    <row r="54" spans="1:10" ht="38.25">
      <c r="A54" s="3" t="s">
        <v>140</v>
      </c>
      <c r="B54" s="3" t="s">
        <v>141</v>
      </c>
      <c r="C54" s="4">
        <v>34</v>
      </c>
      <c r="D54" s="3" t="s">
        <v>136</v>
      </c>
      <c r="E54" s="3" t="s">
        <v>30</v>
      </c>
      <c r="F54" s="5">
        <v>12145.11</v>
      </c>
      <c r="G54" s="5">
        <v>0</v>
      </c>
      <c r="H54" s="5">
        <f t="shared" si="0"/>
        <v>-12145.11</v>
      </c>
      <c r="I54" s="9">
        <f t="shared" si="1"/>
        <v>-1</v>
      </c>
      <c r="J54" s="3" t="s">
        <v>4603</v>
      </c>
    </row>
    <row r="55" spans="1:10">
      <c r="A55" s="3" t="s">
        <v>142</v>
      </c>
      <c r="B55" s="3" t="s">
        <v>143</v>
      </c>
      <c r="C55" s="4">
        <v>15</v>
      </c>
      <c r="D55" s="3" t="s">
        <v>33</v>
      </c>
      <c r="E55" s="3" t="s">
        <v>13</v>
      </c>
      <c r="F55" s="5">
        <v>4235.16</v>
      </c>
      <c r="G55" s="5">
        <v>0</v>
      </c>
      <c r="H55" s="5">
        <f t="shared" si="0"/>
        <v>-4235.16</v>
      </c>
      <c r="I55" s="9">
        <f t="shared" si="1"/>
        <v>-1</v>
      </c>
      <c r="J55" s="3" t="s">
        <v>4603</v>
      </c>
    </row>
    <row r="56" spans="1:10" ht="25.5">
      <c r="A56" s="3" t="s">
        <v>144</v>
      </c>
      <c r="B56" s="3" t="s">
        <v>145</v>
      </c>
      <c r="C56" s="4">
        <v>261</v>
      </c>
      <c r="D56" s="3" t="s">
        <v>17</v>
      </c>
      <c r="E56" s="3" t="s">
        <v>18</v>
      </c>
      <c r="F56" s="5">
        <v>13125.84</v>
      </c>
      <c r="G56" s="5">
        <v>20330.73</v>
      </c>
      <c r="H56" s="5">
        <f t="shared" si="0"/>
        <v>7204.8899999999994</v>
      </c>
      <c r="I56" s="9">
        <f t="shared" si="1"/>
        <v>0.54890886983233078</v>
      </c>
      <c r="J56" s="3" t="s">
        <v>4603</v>
      </c>
    </row>
    <row r="57" spans="1:10" ht="25.5">
      <c r="A57" s="3" t="s">
        <v>146</v>
      </c>
      <c r="B57" s="3" t="s">
        <v>147</v>
      </c>
      <c r="C57" s="4">
        <v>178</v>
      </c>
      <c r="D57" s="3" t="s">
        <v>92</v>
      </c>
      <c r="E57" s="3" t="s">
        <v>8</v>
      </c>
      <c r="F57" s="5">
        <v>10917.3</v>
      </c>
      <c r="G57" s="5">
        <v>36687.360000000001</v>
      </c>
      <c r="H57" s="5">
        <f t="shared" si="0"/>
        <v>25770.06</v>
      </c>
      <c r="I57" s="9">
        <f t="shared" si="1"/>
        <v>2.3604792393723724</v>
      </c>
      <c r="J57" s="3" t="s">
        <v>4603</v>
      </c>
    </row>
    <row r="58" spans="1:10" ht="25.5">
      <c r="A58" s="3" t="s">
        <v>148</v>
      </c>
      <c r="B58" s="3" t="s">
        <v>149</v>
      </c>
      <c r="C58" s="4">
        <v>327</v>
      </c>
      <c r="D58" s="3" t="s">
        <v>76</v>
      </c>
      <c r="E58" s="3" t="s">
        <v>8</v>
      </c>
      <c r="F58" s="5">
        <v>7975.86</v>
      </c>
      <c r="G58" s="5">
        <v>37252.83</v>
      </c>
      <c r="H58" s="5">
        <f t="shared" si="0"/>
        <v>29276.97</v>
      </c>
      <c r="I58" s="9">
        <f t="shared" si="1"/>
        <v>3.6706975799474924</v>
      </c>
      <c r="J58" s="3" t="s">
        <v>4603</v>
      </c>
    </row>
    <row r="59" spans="1:10" ht="25.5">
      <c r="A59" s="3" t="s">
        <v>148</v>
      </c>
      <c r="B59" s="3" t="s">
        <v>149</v>
      </c>
      <c r="C59" s="4">
        <v>74</v>
      </c>
      <c r="D59" s="3" t="s">
        <v>86</v>
      </c>
      <c r="E59" s="3" t="s">
        <v>8</v>
      </c>
      <c r="F59" s="5">
        <v>7975.86</v>
      </c>
      <c r="G59" s="5">
        <v>37252.83</v>
      </c>
      <c r="H59" s="5">
        <f t="shared" si="0"/>
        <v>29276.97</v>
      </c>
      <c r="I59" s="9">
        <f t="shared" si="1"/>
        <v>3.6706975799474924</v>
      </c>
      <c r="J59" s="3" t="s">
        <v>4603</v>
      </c>
    </row>
    <row r="60" spans="1:10">
      <c r="A60" s="3" t="s">
        <v>150</v>
      </c>
      <c r="B60" s="3" t="s">
        <v>151</v>
      </c>
      <c r="C60" s="4">
        <v>240</v>
      </c>
      <c r="D60" s="3" t="s">
        <v>152</v>
      </c>
      <c r="E60" s="3" t="s">
        <v>13</v>
      </c>
      <c r="F60" s="5">
        <v>86225.43</v>
      </c>
      <c r="G60" s="5">
        <v>53429.37</v>
      </c>
      <c r="H60" s="5">
        <f t="shared" si="0"/>
        <v>-32796.05999999999</v>
      </c>
      <c r="I60" s="9">
        <f t="shared" si="1"/>
        <v>-0.38035252477140435</v>
      </c>
      <c r="J60" s="3" t="s">
        <v>4603</v>
      </c>
    </row>
    <row r="61" spans="1:10" ht="38.25">
      <c r="A61" s="3" t="s">
        <v>153</v>
      </c>
      <c r="B61" s="3" t="s">
        <v>154</v>
      </c>
      <c r="C61" s="4">
        <v>45</v>
      </c>
      <c r="D61" s="3" t="s">
        <v>16</v>
      </c>
      <c r="E61" s="3" t="s">
        <v>8</v>
      </c>
      <c r="F61" s="5">
        <v>42130.11</v>
      </c>
      <c r="G61" s="5">
        <v>69789.149999999994</v>
      </c>
      <c r="H61" s="5">
        <f t="shared" si="0"/>
        <v>27659.039999999994</v>
      </c>
      <c r="I61" s="9">
        <f t="shared" si="1"/>
        <v>0.65651478242045869</v>
      </c>
      <c r="J61" s="3" t="s">
        <v>4603</v>
      </c>
    </row>
    <row r="62" spans="1:10" ht="25.5">
      <c r="A62" s="3" t="s">
        <v>156</v>
      </c>
      <c r="B62" s="3" t="s">
        <v>157</v>
      </c>
      <c r="C62" s="4">
        <v>328</v>
      </c>
      <c r="D62" s="3" t="s">
        <v>158</v>
      </c>
      <c r="E62" s="3" t="s">
        <v>22</v>
      </c>
      <c r="F62" s="5">
        <v>8650.41</v>
      </c>
      <c r="G62" s="5">
        <v>0</v>
      </c>
      <c r="H62" s="5">
        <f t="shared" si="0"/>
        <v>-8650.41</v>
      </c>
      <c r="I62" s="9">
        <f t="shared" si="1"/>
        <v>-1</v>
      </c>
      <c r="J62" s="3" t="s">
        <v>4603</v>
      </c>
    </row>
    <row r="63" spans="1:10" ht="25.5">
      <c r="A63" s="3" t="s">
        <v>159</v>
      </c>
      <c r="B63" s="3" t="s">
        <v>160</v>
      </c>
      <c r="C63" s="4">
        <v>261</v>
      </c>
      <c r="D63" s="3" t="s">
        <v>17</v>
      </c>
      <c r="E63" s="3" t="s">
        <v>18</v>
      </c>
      <c r="F63" s="5">
        <v>48997.35</v>
      </c>
      <c r="G63" s="5">
        <v>0</v>
      </c>
      <c r="H63" s="5">
        <f t="shared" si="0"/>
        <v>-48997.35</v>
      </c>
      <c r="I63" s="9">
        <f t="shared" si="1"/>
        <v>-1</v>
      </c>
      <c r="J63" s="3" t="s">
        <v>4603</v>
      </c>
    </row>
    <row r="64" spans="1:10" ht="25.5">
      <c r="A64" s="3" t="s">
        <v>161</v>
      </c>
      <c r="B64" s="3" t="s">
        <v>162</v>
      </c>
      <c r="C64" s="4">
        <v>317</v>
      </c>
      <c r="D64" s="3" t="s">
        <v>54</v>
      </c>
      <c r="E64" s="3" t="s">
        <v>18</v>
      </c>
      <c r="F64" s="5">
        <v>502475.40899999999</v>
      </c>
      <c r="G64" s="5">
        <v>611841.75399999996</v>
      </c>
      <c r="H64" s="5">
        <f t="shared" si="0"/>
        <v>109366.34499999997</v>
      </c>
      <c r="I64" s="9">
        <f t="shared" si="1"/>
        <v>0.21765511911847613</v>
      </c>
      <c r="J64" s="3" t="s">
        <v>4603</v>
      </c>
    </row>
    <row r="65" spans="1:10" ht="38.25">
      <c r="A65" s="3" t="s">
        <v>163</v>
      </c>
      <c r="B65" s="3" t="s">
        <v>164</v>
      </c>
      <c r="C65" s="4">
        <v>301</v>
      </c>
      <c r="D65" s="3" t="s">
        <v>12</v>
      </c>
      <c r="E65" s="3" t="s">
        <v>13</v>
      </c>
      <c r="F65" s="5">
        <v>16675.919999999998</v>
      </c>
      <c r="G65" s="5">
        <v>22354.59</v>
      </c>
      <c r="H65" s="5">
        <f t="shared" si="0"/>
        <v>5678.6700000000019</v>
      </c>
      <c r="I65" s="9">
        <f t="shared" si="1"/>
        <v>0.34053113711267513</v>
      </c>
      <c r="J65" s="3" t="s">
        <v>4603</v>
      </c>
    </row>
    <row r="66" spans="1:10" ht="25.5">
      <c r="A66" s="3" t="s">
        <v>165</v>
      </c>
      <c r="B66" s="3" t="s">
        <v>166</v>
      </c>
      <c r="C66" s="4">
        <v>316</v>
      </c>
      <c r="D66" s="3" t="s">
        <v>167</v>
      </c>
      <c r="E66" s="3" t="s">
        <v>18</v>
      </c>
      <c r="F66" s="5">
        <v>11688.96</v>
      </c>
      <c r="G66" s="5">
        <v>81242.22</v>
      </c>
      <c r="H66" s="5">
        <f t="shared" si="0"/>
        <v>69553.260000000009</v>
      </c>
      <c r="I66" s="9">
        <f t="shared" si="1"/>
        <v>5.9503377545992118</v>
      </c>
      <c r="J66" s="3" t="s">
        <v>4604</v>
      </c>
    </row>
    <row r="67" spans="1:10" ht="25.5">
      <c r="A67" s="3" t="s">
        <v>168</v>
      </c>
      <c r="B67" s="3" t="s">
        <v>169</v>
      </c>
      <c r="C67" s="4">
        <v>19</v>
      </c>
      <c r="D67" s="3" t="s">
        <v>53</v>
      </c>
      <c r="E67" s="3" t="s">
        <v>22</v>
      </c>
      <c r="F67" s="5">
        <v>17050.310000000001</v>
      </c>
      <c r="G67" s="5">
        <v>0</v>
      </c>
      <c r="H67" s="5">
        <f t="shared" ref="H67:H130" si="2">G67-F67</f>
        <v>-17050.310000000001</v>
      </c>
      <c r="I67" s="9">
        <f t="shared" ref="I67:I130" si="3">IFERROR(G67/F67-1,0)</f>
        <v>-1</v>
      </c>
      <c r="J67" s="3" t="s">
        <v>4603</v>
      </c>
    </row>
    <row r="68" spans="1:10" ht="25.5">
      <c r="A68" s="3" t="s">
        <v>170</v>
      </c>
      <c r="B68" s="3" t="s">
        <v>171</v>
      </c>
      <c r="C68" s="4">
        <v>31</v>
      </c>
      <c r="D68" s="3" t="s">
        <v>172</v>
      </c>
      <c r="E68" s="3" t="s">
        <v>13</v>
      </c>
      <c r="F68" s="5">
        <v>0</v>
      </c>
      <c r="G68" s="5">
        <v>35183.279999999999</v>
      </c>
      <c r="H68" s="5">
        <f t="shared" si="2"/>
        <v>35183.279999999999</v>
      </c>
      <c r="I68" s="9">
        <f t="shared" si="3"/>
        <v>0</v>
      </c>
      <c r="J68" s="3" t="s">
        <v>4603</v>
      </c>
    </row>
    <row r="69" spans="1:10" ht="38.25">
      <c r="A69" s="3" t="s">
        <v>173</v>
      </c>
      <c r="B69" s="3" t="s">
        <v>174</v>
      </c>
      <c r="C69" s="4">
        <v>11</v>
      </c>
      <c r="D69" s="3" t="s">
        <v>55</v>
      </c>
      <c r="E69" s="3" t="s">
        <v>18</v>
      </c>
      <c r="F69" s="5">
        <v>0</v>
      </c>
      <c r="G69" s="5">
        <v>13044</v>
      </c>
      <c r="H69" s="5">
        <f t="shared" si="2"/>
        <v>13044</v>
      </c>
      <c r="I69" s="9">
        <f t="shared" si="3"/>
        <v>0</v>
      </c>
      <c r="J69" s="3" t="s">
        <v>4603</v>
      </c>
    </row>
    <row r="70" spans="1:10" ht="38.25">
      <c r="A70" s="3" t="s">
        <v>175</v>
      </c>
      <c r="B70" s="3" t="s">
        <v>176</v>
      </c>
      <c r="C70" s="4">
        <v>11</v>
      </c>
      <c r="D70" s="3" t="s">
        <v>55</v>
      </c>
      <c r="E70" s="3" t="s">
        <v>18</v>
      </c>
      <c r="F70" s="5">
        <v>0</v>
      </c>
      <c r="G70" s="5">
        <v>5890.0460000000003</v>
      </c>
      <c r="H70" s="5">
        <f t="shared" si="2"/>
        <v>5890.0460000000003</v>
      </c>
      <c r="I70" s="9">
        <f t="shared" si="3"/>
        <v>0</v>
      </c>
      <c r="J70" s="3" t="s">
        <v>4603</v>
      </c>
    </row>
    <row r="71" spans="1:10" ht="25.5">
      <c r="A71" s="3" t="s">
        <v>177</v>
      </c>
      <c r="B71" s="3" t="s">
        <v>178</v>
      </c>
      <c r="C71" s="4">
        <v>194</v>
      </c>
      <c r="D71" s="3" t="s">
        <v>179</v>
      </c>
      <c r="E71" s="3" t="s">
        <v>13</v>
      </c>
      <c r="F71" s="5">
        <v>28779.9</v>
      </c>
      <c r="G71" s="5">
        <v>27003.93</v>
      </c>
      <c r="H71" s="5">
        <f t="shared" si="2"/>
        <v>-1775.9700000000012</v>
      </c>
      <c r="I71" s="9">
        <f t="shared" si="3"/>
        <v>-6.1708692524991449E-2</v>
      </c>
      <c r="J71" s="3" t="s">
        <v>4604</v>
      </c>
    </row>
    <row r="72" spans="1:10">
      <c r="A72" s="3" t="s">
        <v>177</v>
      </c>
      <c r="B72" s="3" t="s">
        <v>178</v>
      </c>
      <c r="C72" s="4">
        <v>232</v>
      </c>
      <c r="D72" s="3" t="s">
        <v>95</v>
      </c>
      <c r="E72" s="3" t="s">
        <v>13</v>
      </c>
      <c r="F72" s="5">
        <v>28779.9</v>
      </c>
      <c r="G72" s="5">
        <v>27003.93</v>
      </c>
      <c r="H72" s="5">
        <f t="shared" si="2"/>
        <v>-1775.9700000000012</v>
      </c>
      <c r="I72" s="9">
        <f t="shared" si="3"/>
        <v>-6.1708692524991449E-2</v>
      </c>
      <c r="J72" s="3" t="s">
        <v>4604</v>
      </c>
    </row>
    <row r="73" spans="1:10" ht="25.5">
      <c r="A73" s="3" t="s">
        <v>177</v>
      </c>
      <c r="B73" s="3" t="s">
        <v>178</v>
      </c>
      <c r="C73" s="4">
        <v>31</v>
      </c>
      <c r="D73" s="3" t="s">
        <v>172</v>
      </c>
      <c r="E73" s="3" t="s">
        <v>13</v>
      </c>
      <c r="F73" s="5">
        <v>28779.9</v>
      </c>
      <c r="G73" s="5">
        <v>27003.93</v>
      </c>
      <c r="H73" s="5">
        <f t="shared" si="2"/>
        <v>-1775.9700000000012</v>
      </c>
      <c r="I73" s="9">
        <f t="shared" si="3"/>
        <v>-6.1708692524991449E-2</v>
      </c>
      <c r="J73" s="3" t="s">
        <v>4604</v>
      </c>
    </row>
    <row r="74" spans="1:10" ht="25.5">
      <c r="A74" s="3" t="s">
        <v>180</v>
      </c>
      <c r="B74" s="3" t="s">
        <v>181</v>
      </c>
      <c r="C74" s="4">
        <v>74</v>
      </c>
      <c r="D74" s="3" t="s">
        <v>86</v>
      </c>
      <c r="E74" s="3" t="s">
        <v>8</v>
      </c>
      <c r="F74" s="5">
        <v>53799.72</v>
      </c>
      <c r="G74" s="5">
        <v>0</v>
      </c>
      <c r="H74" s="5">
        <f t="shared" si="2"/>
        <v>-53799.72</v>
      </c>
      <c r="I74" s="9">
        <f t="shared" si="3"/>
        <v>-1</v>
      </c>
      <c r="J74" s="3" t="s">
        <v>4603</v>
      </c>
    </row>
    <row r="75" spans="1:10" ht="25.5">
      <c r="A75" s="3" t="s">
        <v>182</v>
      </c>
      <c r="B75" s="3" t="s">
        <v>183</v>
      </c>
      <c r="C75" s="4">
        <v>74</v>
      </c>
      <c r="D75" s="3" t="s">
        <v>86</v>
      </c>
      <c r="E75" s="3" t="s">
        <v>8</v>
      </c>
      <c r="F75" s="5">
        <v>13341.96</v>
      </c>
      <c r="G75" s="5">
        <v>0</v>
      </c>
      <c r="H75" s="5">
        <f t="shared" si="2"/>
        <v>-13341.96</v>
      </c>
      <c r="I75" s="9">
        <f t="shared" si="3"/>
        <v>-1</v>
      </c>
      <c r="J75" s="3" t="s">
        <v>4603</v>
      </c>
    </row>
    <row r="76" spans="1:10" ht="25.5">
      <c r="A76" s="3" t="s">
        <v>184</v>
      </c>
      <c r="B76" s="3" t="s">
        <v>185</v>
      </c>
      <c r="C76" s="4">
        <v>74</v>
      </c>
      <c r="D76" s="3" t="s">
        <v>86</v>
      </c>
      <c r="E76" s="3" t="s">
        <v>8</v>
      </c>
      <c r="F76" s="5">
        <v>28315.200000000001</v>
      </c>
      <c r="G76" s="5">
        <v>0</v>
      </c>
      <c r="H76" s="5">
        <f t="shared" si="2"/>
        <v>-28315.200000000001</v>
      </c>
      <c r="I76" s="9">
        <f t="shared" si="3"/>
        <v>-1</v>
      </c>
      <c r="J76" s="3" t="s">
        <v>4603</v>
      </c>
    </row>
    <row r="77" spans="1:10" ht="25.5">
      <c r="A77" s="3" t="s">
        <v>186</v>
      </c>
      <c r="B77" s="3" t="s">
        <v>187</v>
      </c>
      <c r="C77" s="4">
        <v>74</v>
      </c>
      <c r="D77" s="3" t="s">
        <v>86</v>
      </c>
      <c r="E77" s="3" t="s">
        <v>8</v>
      </c>
      <c r="F77" s="5">
        <v>36630.449999999997</v>
      </c>
      <c r="G77" s="5">
        <v>0</v>
      </c>
      <c r="H77" s="5">
        <f t="shared" si="2"/>
        <v>-36630.449999999997</v>
      </c>
      <c r="I77" s="9">
        <f t="shared" si="3"/>
        <v>-1</v>
      </c>
      <c r="J77" s="3" t="s">
        <v>4603</v>
      </c>
    </row>
    <row r="78" spans="1:10" ht="25.5">
      <c r="A78" s="3" t="s">
        <v>189</v>
      </c>
      <c r="B78" s="3" t="s">
        <v>190</v>
      </c>
      <c r="C78" s="4">
        <v>31</v>
      </c>
      <c r="D78" s="3" t="s">
        <v>172</v>
      </c>
      <c r="E78" s="3" t="s">
        <v>13</v>
      </c>
      <c r="F78" s="5">
        <v>27119.4</v>
      </c>
      <c r="G78" s="5">
        <v>55389.3</v>
      </c>
      <c r="H78" s="5">
        <f t="shared" si="2"/>
        <v>28269.9</v>
      </c>
      <c r="I78" s="9">
        <f t="shared" si="3"/>
        <v>1.0424235049447996</v>
      </c>
      <c r="J78" s="3" t="s">
        <v>4604</v>
      </c>
    </row>
    <row r="79" spans="1:10" ht="25.5">
      <c r="A79" s="3" t="s">
        <v>191</v>
      </c>
      <c r="B79" s="3" t="s">
        <v>192</v>
      </c>
      <c r="C79" s="4">
        <v>178</v>
      </c>
      <c r="D79" s="3" t="s">
        <v>92</v>
      </c>
      <c r="E79" s="3" t="s">
        <v>8</v>
      </c>
      <c r="F79" s="5">
        <v>55114.86</v>
      </c>
      <c r="G79" s="5">
        <v>67355.789999999994</v>
      </c>
      <c r="H79" s="5">
        <f t="shared" si="2"/>
        <v>12240.929999999993</v>
      </c>
      <c r="I79" s="9">
        <f t="shared" si="3"/>
        <v>0.22209854111940031</v>
      </c>
      <c r="J79" s="3" t="s">
        <v>4603</v>
      </c>
    </row>
    <row r="80" spans="1:10" ht="38.25">
      <c r="A80" s="3" t="s">
        <v>193</v>
      </c>
      <c r="B80" s="3" t="s">
        <v>194</v>
      </c>
      <c r="C80" s="4">
        <v>34</v>
      </c>
      <c r="D80" s="3" t="s">
        <v>136</v>
      </c>
      <c r="E80" s="3" t="s">
        <v>30</v>
      </c>
      <c r="F80" s="5">
        <v>73497.600000000006</v>
      </c>
      <c r="G80" s="5">
        <v>11913</v>
      </c>
      <c r="H80" s="5">
        <f t="shared" si="2"/>
        <v>-61584.600000000006</v>
      </c>
      <c r="I80" s="9">
        <f t="shared" si="3"/>
        <v>-0.83791307471264376</v>
      </c>
      <c r="J80" s="3" t="s">
        <v>4603</v>
      </c>
    </row>
    <row r="81" spans="1:10" ht="25.5">
      <c r="A81" s="3" t="s">
        <v>195</v>
      </c>
      <c r="B81" s="3" t="s">
        <v>196</v>
      </c>
      <c r="C81" s="4">
        <v>328</v>
      </c>
      <c r="D81" s="3" t="s">
        <v>158</v>
      </c>
      <c r="E81" s="3" t="s">
        <v>22</v>
      </c>
      <c r="F81" s="5">
        <v>0</v>
      </c>
      <c r="G81" s="5">
        <v>13662.66</v>
      </c>
      <c r="H81" s="5">
        <f t="shared" si="2"/>
        <v>13662.66</v>
      </c>
      <c r="I81" s="9">
        <f t="shared" si="3"/>
        <v>0</v>
      </c>
      <c r="J81" s="3" t="s">
        <v>4603</v>
      </c>
    </row>
    <row r="82" spans="1:10" ht="25.5">
      <c r="A82" s="3" t="s">
        <v>197</v>
      </c>
      <c r="B82" s="3" t="s">
        <v>198</v>
      </c>
      <c r="C82" s="4">
        <v>31</v>
      </c>
      <c r="D82" s="3" t="s">
        <v>172</v>
      </c>
      <c r="E82" s="3" t="s">
        <v>13</v>
      </c>
      <c r="F82" s="5">
        <v>68708.67</v>
      </c>
      <c r="G82" s="5">
        <v>98349.18</v>
      </c>
      <c r="H82" s="5">
        <f t="shared" si="2"/>
        <v>29640.509999999995</v>
      </c>
      <c r="I82" s="9">
        <f t="shared" si="3"/>
        <v>0.43139402931245785</v>
      </c>
      <c r="J82" s="3" t="s">
        <v>4603</v>
      </c>
    </row>
    <row r="83" spans="1:10" ht="25.5">
      <c r="A83" s="3" t="s">
        <v>199</v>
      </c>
      <c r="B83" s="3" t="s">
        <v>200</v>
      </c>
      <c r="C83" s="4">
        <v>31</v>
      </c>
      <c r="D83" s="3" t="s">
        <v>172</v>
      </c>
      <c r="E83" s="3" t="s">
        <v>13</v>
      </c>
      <c r="F83" s="5">
        <v>0</v>
      </c>
      <c r="G83" s="5">
        <v>23314.6</v>
      </c>
      <c r="H83" s="5">
        <f t="shared" si="2"/>
        <v>23314.6</v>
      </c>
      <c r="I83" s="9">
        <f t="shared" si="3"/>
        <v>0</v>
      </c>
      <c r="J83" s="3" t="s">
        <v>4603</v>
      </c>
    </row>
    <row r="84" spans="1:10" ht="25.5">
      <c r="A84" s="3" t="s">
        <v>201</v>
      </c>
      <c r="B84" s="3" t="s">
        <v>202</v>
      </c>
      <c r="C84" s="4">
        <v>31</v>
      </c>
      <c r="D84" s="3" t="s">
        <v>172</v>
      </c>
      <c r="E84" s="3" t="s">
        <v>13</v>
      </c>
      <c r="F84" s="5">
        <v>15321.21</v>
      </c>
      <c r="G84" s="5">
        <v>0</v>
      </c>
      <c r="H84" s="5">
        <f t="shared" si="2"/>
        <v>-15321.21</v>
      </c>
      <c r="I84" s="9">
        <f t="shared" si="3"/>
        <v>-1</v>
      </c>
      <c r="J84" s="3" t="s">
        <v>4603</v>
      </c>
    </row>
    <row r="85" spans="1:10" ht="25.5">
      <c r="A85" s="3" t="s">
        <v>203</v>
      </c>
      <c r="B85" s="3" t="s">
        <v>204</v>
      </c>
      <c r="C85" s="4">
        <v>31</v>
      </c>
      <c r="D85" s="3" t="s">
        <v>172</v>
      </c>
      <c r="E85" s="3" t="s">
        <v>13</v>
      </c>
      <c r="F85" s="5">
        <v>19765.02</v>
      </c>
      <c r="G85" s="5">
        <v>19187.04</v>
      </c>
      <c r="H85" s="5">
        <f t="shared" si="2"/>
        <v>-577.97999999999956</v>
      </c>
      <c r="I85" s="9">
        <f t="shared" si="3"/>
        <v>-2.9242570966282799E-2</v>
      </c>
      <c r="J85" s="3" t="s">
        <v>4603</v>
      </c>
    </row>
    <row r="86" spans="1:10" ht="25.5">
      <c r="A86" s="3" t="s">
        <v>205</v>
      </c>
      <c r="B86" s="3" t="s">
        <v>206</v>
      </c>
      <c r="C86" s="4">
        <v>31</v>
      </c>
      <c r="D86" s="3" t="s">
        <v>172</v>
      </c>
      <c r="E86" s="3" t="s">
        <v>13</v>
      </c>
      <c r="F86" s="5">
        <v>14853</v>
      </c>
      <c r="G86" s="5">
        <v>22536.84</v>
      </c>
      <c r="H86" s="5">
        <f t="shared" si="2"/>
        <v>7683.84</v>
      </c>
      <c r="I86" s="9">
        <f t="shared" si="3"/>
        <v>0.51732579276913748</v>
      </c>
      <c r="J86" s="3" t="s">
        <v>4603</v>
      </c>
    </row>
    <row r="87" spans="1:10" ht="25.5">
      <c r="A87" s="3" t="s">
        <v>207</v>
      </c>
      <c r="B87" s="3" t="s">
        <v>208</v>
      </c>
      <c r="C87" s="4">
        <v>297</v>
      </c>
      <c r="D87" s="3" t="s">
        <v>209</v>
      </c>
      <c r="E87" s="3" t="s">
        <v>22</v>
      </c>
      <c r="F87" s="5">
        <v>27044.38</v>
      </c>
      <c r="G87" s="5">
        <v>18993.39</v>
      </c>
      <c r="H87" s="5">
        <f t="shared" si="2"/>
        <v>-8050.9900000000016</v>
      </c>
      <c r="I87" s="9">
        <f t="shared" si="3"/>
        <v>-0.29769549163264242</v>
      </c>
      <c r="J87" s="3" t="s">
        <v>4603</v>
      </c>
    </row>
    <row r="88" spans="1:10" ht="25.5">
      <c r="A88" s="3" t="s">
        <v>210</v>
      </c>
      <c r="B88" s="3" t="s">
        <v>211</v>
      </c>
      <c r="C88" s="4">
        <v>328</v>
      </c>
      <c r="D88" s="3" t="s">
        <v>158</v>
      </c>
      <c r="E88" s="3" t="s">
        <v>22</v>
      </c>
      <c r="F88" s="5">
        <v>10910.43</v>
      </c>
      <c r="G88" s="5">
        <v>0</v>
      </c>
      <c r="H88" s="5">
        <f t="shared" si="2"/>
        <v>-10910.43</v>
      </c>
      <c r="I88" s="9">
        <f t="shared" si="3"/>
        <v>-1</v>
      </c>
      <c r="J88" s="3" t="s">
        <v>4603</v>
      </c>
    </row>
    <row r="89" spans="1:10" ht="25.5">
      <c r="A89" s="3" t="s">
        <v>212</v>
      </c>
      <c r="B89" s="3" t="s">
        <v>213</v>
      </c>
      <c r="C89" s="4">
        <v>41</v>
      </c>
      <c r="D89" s="3" t="s">
        <v>106</v>
      </c>
      <c r="E89" s="3" t="s">
        <v>22</v>
      </c>
      <c r="F89" s="5">
        <v>8918.33</v>
      </c>
      <c r="G89" s="5">
        <v>11769.21</v>
      </c>
      <c r="H89" s="5">
        <f t="shared" si="2"/>
        <v>2850.8799999999992</v>
      </c>
      <c r="I89" s="9">
        <f t="shared" si="3"/>
        <v>0.31966522880404735</v>
      </c>
      <c r="J89" s="3" t="s">
        <v>4603</v>
      </c>
    </row>
    <row r="90" spans="1:10" ht="25.5">
      <c r="A90" s="3" t="s">
        <v>214</v>
      </c>
      <c r="B90" s="3" t="s">
        <v>215</v>
      </c>
      <c r="C90" s="4">
        <v>31</v>
      </c>
      <c r="D90" s="3" t="s">
        <v>172</v>
      </c>
      <c r="E90" s="3" t="s">
        <v>13</v>
      </c>
      <c r="F90" s="5">
        <v>14449.95</v>
      </c>
      <c r="G90" s="5">
        <v>8690.94</v>
      </c>
      <c r="H90" s="5">
        <f t="shared" si="2"/>
        <v>-5759.01</v>
      </c>
      <c r="I90" s="9">
        <f t="shared" si="3"/>
        <v>-0.39854878390582671</v>
      </c>
      <c r="J90" s="3" t="s">
        <v>4603</v>
      </c>
    </row>
    <row r="91" spans="1:10" ht="25.5">
      <c r="A91" s="3" t="s">
        <v>216</v>
      </c>
      <c r="B91" s="3" t="s">
        <v>217</v>
      </c>
      <c r="C91" s="4">
        <v>337</v>
      </c>
      <c r="D91" s="3" t="s">
        <v>218</v>
      </c>
      <c r="E91" s="3" t="s">
        <v>13</v>
      </c>
      <c r="F91" s="5">
        <v>4511.3999999999996</v>
      </c>
      <c r="G91" s="5">
        <v>0</v>
      </c>
      <c r="H91" s="5">
        <f t="shared" si="2"/>
        <v>-4511.3999999999996</v>
      </c>
      <c r="I91" s="9">
        <f t="shared" si="3"/>
        <v>-1</v>
      </c>
      <c r="J91" s="3" t="s">
        <v>4603</v>
      </c>
    </row>
    <row r="92" spans="1:10" ht="38.25">
      <c r="A92" s="3" t="s">
        <v>219</v>
      </c>
      <c r="B92" s="3" t="s">
        <v>220</v>
      </c>
      <c r="C92" s="4">
        <v>143</v>
      </c>
      <c r="D92" s="3" t="s">
        <v>21</v>
      </c>
      <c r="E92" s="3" t="s">
        <v>22</v>
      </c>
      <c r="F92" s="5">
        <v>0</v>
      </c>
      <c r="G92" s="5">
        <v>8678.4</v>
      </c>
      <c r="H92" s="5">
        <f t="shared" si="2"/>
        <v>8678.4</v>
      </c>
      <c r="I92" s="9">
        <f t="shared" si="3"/>
        <v>0</v>
      </c>
      <c r="J92" s="3" t="s">
        <v>4603</v>
      </c>
    </row>
    <row r="93" spans="1:10" ht="25.5">
      <c r="A93" s="3" t="s">
        <v>221</v>
      </c>
      <c r="B93" s="3" t="s">
        <v>222</v>
      </c>
      <c r="C93" s="4">
        <v>208</v>
      </c>
      <c r="D93" s="3" t="s">
        <v>58</v>
      </c>
      <c r="E93" s="3" t="s">
        <v>13</v>
      </c>
      <c r="F93" s="5">
        <v>42058.98</v>
      </c>
      <c r="G93" s="5">
        <v>10183.56</v>
      </c>
      <c r="H93" s="5">
        <f t="shared" si="2"/>
        <v>-31875.420000000006</v>
      </c>
      <c r="I93" s="9">
        <f t="shared" si="3"/>
        <v>-0.75787429937673245</v>
      </c>
      <c r="J93" s="3" t="s">
        <v>4603</v>
      </c>
    </row>
    <row r="94" spans="1:10" ht="25.5">
      <c r="A94" s="3" t="s">
        <v>223</v>
      </c>
      <c r="B94" s="3" t="s">
        <v>224</v>
      </c>
      <c r="C94" s="4">
        <v>39</v>
      </c>
      <c r="D94" s="3" t="s">
        <v>26</v>
      </c>
      <c r="E94" s="3" t="s">
        <v>9</v>
      </c>
      <c r="F94" s="5">
        <v>254573.16</v>
      </c>
      <c r="G94" s="5">
        <v>192077.13</v>
      </c>
      <c r="H94" s="5">
        <f t="shared" si="2"/>
        <v>-62496.03</v>
      </c>
      <c r="I94" s="9">
        <f t="shared" si="3"/>
        <v>-0.24549339765433242</v>
      </c>
      <c r="J94" s="3" t="s">
        <v>4603</v>
      </c>
    </row>
    <row r="95" spans="1:10" ht="38.25">
      <c r="A95" s="3" t="s">
        <v>225</v>
      </c>
      <c r="B95" s="3" t="s">
        <v>226</v>
      </c>
      <c r="C95" s="4">
        <v>301</v>
      </c>
      <c r="D95" s="3" t="s">
        <v>12</v>
      </c>
      <c r="E95" s="3" t="s">
        <v>13</v>
      </c>
      <c r="F95" s="5">
        <v>14820</v>
      </c>
      <c r="G95" s="5">
        <v>7188.06</v>
      </c>
      <c r="H95" s="5">
        <f t="shared" si="2"/>
        <v>-7631.94</v>
      </c>
      <c r="I95" s="9">
        <f t="shared" si="3"/>
        <v>-0.51497570850202434</v>
      </c>
      <c r="J95" s="3" t="s">
        <v>4603</v>
      </c>
    </row>
    <row r="96" spans="1:10" ht="38.25">
      <c r="A96" s="3" t="s">
        <v>227</v>
      </c>
      <c r="B96" s="3" t="s">
        <v>228</v>
      </c>
      <c r="C96" s="4">
        <v>38</v>
      </c>
      <c r="D96" s="3" t="s">
        <v>229</v>
      </c>
      <c r="E96" s="3" t="s">
        <v>30</v>
      </c>
      <c r="F96" s="5">
        <v>57363.360000000001</v>
      </c>
      <c r="G96" s="5">
        <v>81499.02</v>
      </c>
      <c r="H96" s="5">
        <f t="shared" si="2"/>
        <v>24135.660000000003</v>
      </c>
      <c r="I96" s="9">
        <f t="shared" si="3"/>
        <v>0.42075045813215972</v>
      </c>
      <c r="J96" s="3" t="s">
        <v>4603</v>
      </c>
    </row>
    <row r="97" spans="1:10" ht="25.5">
      <c r="A97" s="3" t="s">
        <v>230</v>
      </c>
      <c r="B97" s="3" t="s">
        <v>231</v>
      </c>
      <c r="C97" s="4">
        <v>31</v>
      </c>
      <c r="D97" s="3" t="s">
        <v>172</v>
      </c>
      <c r="E97" s="3" t="s">
        <v>13</v>
      </c>
      <c r="F97" s="5">
        <v>0</v>
      </c>
      <c r="G97" s="5">
        <v>67325.7</v>
      </c>
      <c r="H97" s="5">
        <f t="shared" si="2"/>
        <v>67325.7</v>
      </c>
      <c r="I97" s="9">
        <f t="shared" si="3"/>
        <v>0</v>
      </c>
      <c r="J97" s="3" t="s">
        <v>4603</v>
      </c>
    </row>
    <row r="98" spans="1:10" ht="25.5">
      <c r="A98" s="3" t="s">
        <v>232</v>
      </c>
      <c r="B98" s="3" t="s">
        <v>233</v>
      </c>
      <c r="C98" s="4">
        <v>194</v>
      </c>
      <c r="D98" s="3" t="s">
        <v>179</v>
      </c>
      <c r="E98" s="3" t="s">
        <v>13</v>
      </c>
      <c r="F98" s="5">
        <v>31985.81</v>
      </c>
      <c r="G98" s="5">
        <v>16014.33</v>
      </c>
      <c r="H98" s="5">
        <f t="shared" si="2"/>
        <v>-15971.480000000001</v>
      </c>
      <c r="I98" s="9">
        <f t="shared" si="3"/>
        <v>-0.49933017172302341</v>
      </c>
      <c r="J98" s="3" t="s">
        <v>4603</v>
      </c>
    </row>
    <row r="99" spans="1:10" ht="25.5">
      <c r="A99" s="3" t="s">
        <v>234</v>
      </c>
      <c r="B99" s="3" t="s">
        <v>235</v>
      </c>
      <c r="C99" s="4">
        <v>197</v>
      </c>
      <c r="D99" s="3" t="s">
        <v>23</v>
      </c>
      <c r="E99" s="3" t="s">
        <v>22</v>
      </c>
      <c r="F99" s="5">
        <v>58595.040000000001</v>
      </c>
      <c r="G99" s="5">
        <v>38196.516000000003</v>
      </c>
      <c r="H99" s="5">
        <f t="shared" si="2"/>
        <v>-20398.523999999998</v>
      </c>
      <c r="I99" s="9">
        <f t="shared" si="3"/>
        <v>-0.34812714523277055</v>
      </c>
      <c r="J99" s="3" t="s">
        <v>4603</v>
      </c>
    </row>
    <row r="100" spans="1:10" ht="25.5">
      <c r="A100" s="3" t="s">
        <v>236</v>
      </c>
      <c r="B100" s="3" t="s">
        <v>237</v>
      </c>
      <c r="C100" s="4">
        <v>194</v>
      </c>
      <c r="D100" s="3" t="s">
        <v>179</v>
      </c>
      <c r="E100" s="3" t="s">
        <v>13</v>
      </c>
      <c r="F100" s="5">
        <v>661855.94999999995</v>
      </c>
      <c r="G100" s="5">
        <v>225079.11</v>
      </c>
      <c r="H100" s="5">
        <f t="shared" si="2"/>
        <v>-436776.83999999997</v>
      </c>
      <c r="I100" s="9">
        <f t="shared" si="3"/>
        <v>-0.6599273452176414</v>
      </c>
      <c r="J100" s="3" t="s">
        <v>4603</v>
      </c>
    </row>
    <row r="101" spans="1:10" ht="38.25">
      <c r="A101" s="3" t="s">
        <v>238</v>
      </c>
      <c r="B101" s="3" t="s">
        <v>237</v>
      </c>
      <c r="C101" s="4">
        <v>301</v>
      </c>
      <c r="D101" s="3" t="s">
        <v>12</v>
      </c>
      <c r="E101" s="3" t="s">
        <v>13</v>
      </c>
      <c r="F101" s="5">
        <v>661855.94999999995</v>
      </c>
      <c r="G101" s="5">
        <v>225079.11</v>
      </c>
      <c r="H101" s="5">
        <f t="shared" si="2"/>
        <v>-436776.83999999997</v>
      </c>
      <c r="I101" s="9">
        <f t="shared" si="3"/>
        <v>-0.6599273452176414</v>
      </c>
      <c r="J101" s="3" t="s">
        <v>4603</v>
      </c>
    </row>
    <row r="102" spans="1:10" ht="25.5">
      <c r="A102" s="3" t="s">
        <v>238</v>
      </c>
      <c r="B102" s="3" t="s">
        <v>237</v>
      </c>
      <c r="C102" s="4">
        <v>31</v>
      </c>
      <c r="D102" s="3" t="s">
        <v>172</v>
      </c>
      <c r="E102" s="3" t="s">
        <v>13</v>
      </c>
      <c r="F102" s="5">
        <v>661855.94999999995</v>
      </c>
      <c r="G102" s="5">
        <v>225079.11</v>
      </c>
      <c r="H102" s="5">
        <f t="shared" si="2"/>
        <v>-436776.83999999997</v>
      </c>
      <c r="I102" s="9">
        <f t="shared" si="3"/>
        <v>-0.6599273452176414</v>
      </c>
      <c r="J102" s="3" t="s">
        <v>4603</v>
      </c>
    </row>
    <row r="103" spans="1:10" ht="25.5">
      <c r="A103" s="3" t="s">
        <v>239</v>
      </c>
      <c r="B103" s="3" t="s">
        <v>237</v>
      </c>
      <c r="C103" s="4">
        <v>194</v>
      </c>
      <c r="D103" s="3" t="s">
        <v>179</v>
      </c>
      <c r="E103" s="3" t="s">
        <v>13</v>
      </c>
      <c r="F103" s="5">
        <v>661855.94999999995</v>
      </c>
      <c r="G103" s="5">
        <v>225079.11</v>
      </c>
      <c r="H103" s="5">
        <f t="shared" si="2"/>
        <v>-436776.83999999997</v>
      </c>
      <c r="I103" s="9">
        <f t="shared" si="3"/>
        <v>-0.6599273452176414</v>
      </c>
      <c r="J103" s="3" t="s">
        <v>4603</v>
      </c>
    </row>
    <row r="104" spans="1:10" ht="38.25">
      <c r="A104" s="3" t="s">
        <v>239</v>
      </c>
      <c r="B104" s="3" t="s">
        <v>237</v>
      </c>
      <c r="C104" s="4">
        <v>301</v>
      </c>
      <c r="D104" s="3" t="s">
        <v>12</v>
      </c>
      <c r="E104" s="3" t="s">
        <v>13</v>
      </c>
      <c r="F104" s="5">
        <v>661855.94999999995</v>
      </c>
      <c r="G104" s="5">
        <v>225079.11</v>
      </c>
      <c r="H104" s="5">
        <f t="shared" si="2"/>
        <v>-436776.83999999997</v>
      </c>
      <c r="I104" s="9">
        <f t="shared" si="3"/>
        <v>-0.6599273452176414</v>
      </c>
      <c r="J104" s="3" t="s">
        <v>4603</v>
      </c>
    </row>
    <row r="105" spans="1:10" ht="25.5">
      <c r="A105" s="3" t="s">
        <v>240</v>
      </c>
      <c r="B105" s="3" t="s">
        <v>241</v>
      </c>
      <c r="C105" s="4">
        <v>197</v>
      </c>
      <c r="D105" s="3" t="s">
        <v>23</v>
      </c>
      <c r="E105" s="3" t="s">
        <v>22</v>
      </c>
      <c r="F105" s="5">
        <v>0</v>
      </c>
      <c r="G105" s="5">
        <v>4786.08</v>
      </c>
      <c r="H105" s="5">
        <f t="shared" si="2"/>
        <v>4786.08</v>
      </c>
      <c r="I105" s="9">
        <f t="shared" si="3"/>
        <v>0</v>
      </c>
      <c r="J105" s="3" t="s">
        <v>4603</v>
      </c>
    </row>
    <row r="106" spans="1:10" ht="25.5">
      <c r="A106" s="3" t="s">
        <v>242</v>
      </c>
      <c r="B106" s="3" t="s">
        <v>243</v>
      </c>
      <c r="C106" s="4">
        <v>266</v>
      </c>
      <c r="D106" s="3" t="s">
        <v>111</v>
      </c>
      <c r="E106" s="3" t="s">
        <v>18</v>
      </c>
      <c r="F106" s="5">
        <v>26505.57</v>
      </c>
      <c r="G106" s="5">
        <v>0</v>
      </c>
      <c r="H106" s="5">
        <f t="shared" si="2"/>
        <v>-26505.57</v>
      </c>
      <c r="I106" s="9">
        <f t="shared" si="3"/>
        <v>-1</v>
      </c>
      <c r="J106" s="3" t="s">
        <v>4603</v>
      </c>
    </row>
    <row r="107" spans="1:10" ht="25.5">
      <c r="A107" s="3" t="s">
        <v>244</v>
      </c>
      <c r="B107" s="3" t="s">
        <v>245</v>
      </c>
      <c r="C107" s="4">
        <v>299</v>
      </c>
      <c r="D107" s="3" t="s">
        <v>246</v>
      </c>
      <c r="E107" s="3" t="s">
        <v>30</v>
      </c>
      <c r="F107" s="5">
        <v>10342.44</v>
      </c>
      <c r="G107" s="5">
        <v>7199.52</v>
      </c>
      <c r="H107" s="5">
        <f t="shared" si="2"/>
        <v>-3142.92</v>
      </c>
      <c r="I107" s="9">
        <f t="shared" si="3"/>
        <v>-0.30388573682805986</v>
      </c>
      <c r="J107" s="3" t="s">
        <v>4603</v>
      </c>
    </row>
    <row r="108" spans="1:10" ht="25.5">
      <c r="A108" s="3" t="s">
        <v>247</v>
      </c>
      <c r="B108" s="3" t="s">
        <v>248</v>
      </c>
      <c r="C108" s="4">
        <v>61</v>
      </c>
      <c r="D108" s="3" t="s">
        <v>114</v>
      </c>
      <c r="E108" s="3" t="s">
        <v>30</v>
      </c>
      <c r="F108" s="5">
        <v>36883.32</v>
      </c>
      <c r="G108" s="5">
        <v>83250.244000000006</v>
      </c>
      <c r="H108" s="5">
        <f t="shared" si="2"/>
        <v>46366.924000000006</v>
      </c>
      <c r="I108" s="9">
        <f t="shared" si="3"/>
        <v>1.2571244671032868</v>
      </c>
      <c r="J108" s="3" t="s">
        <v>4603</v>
      </c>
    </row>
    <row r="109" spans="1:10" ht="25.5">
      <c r="A109" s="3" t="s">
        <v>249</v>
      </c>
      <c r="B109" s="3" t="s">
        <v>250</v>
      </c>
      <c r="C109" s="4">
        <v>261</v>
      </c>
      <c r="D109" s="3" t="s">
        <v>17</v>
      </c>
      <c r="E109" s="3" t="s">
        <v>18</v>
      </c>
      <c r="F109" s="5">
        <v>1487.64</v>
      </c>
      <c r="G109" s="5">
        <v>0</v>
      </c>
      <c r="H109" s="5">
        <f t="shared" si="2"/>
        <v>-1487.64</v>
      </c>
      <c r="I109" s="9">
        <f t="shared" si="3"/>
        <v>-1</v>
      </c>
      <c r="J109" s="3" t="s">
        <v>4603</v>
      </c>
    </row>
    <row r="110" spans="1:10">
      <c r="A110" s="3" t="s">
        <v>251</v>
      </c>
      <c r="B110" s="3" t="s">
        <v>252</v>
      </c>
      <c r="C110" s="4">
        <v>217</v>
      </c>
      <c r="D110" s="3" t="s">
        <v>253</v>
      </c>
      <c r="E110" s="3" t="s">
        <v>13</v>
      </c>
      <c r="F110" s="5">
        <v>0</v>
      </c>
      <c r="G110" s="5">
        <v>87973.56</v>
      </c>
      <c r="H110" s="5">
        <f t="shared" si="2"/>
        <v>87973.56</v>
      </c>
      <c r="I110" s="9">
        <f t="shared" si="3"/>
        <v>0</v>
      </c>
      <c r="J110" s="3" t="s">
        <v>4603</v>
      </c>
    </row>
    <row r="111" spans="1:10">
      <c r="A111" s="3" t="s">
        <v>254</v>
      </c>
      <c r="B111" s="3" t="s">
        <v>255</v>
      </c>
      <c r="C111" s="4">
        <v>217</v>
      </c>
      <c r="D111" s="3" t="s">
        <v>253</v>
      </c>
      <c r="E111" s="3" t="s">
        <v>13</v>
      </c>
      <c r="F111" s="5">
        <v>8395.2000000000007</v>
      </c>
      <c r="G111" s="5">
        <v>0</v>
      </c>
      <c r="H111" s="5">
        <f t="shared" si="2"/>
        <v>-8395.2000000000007</v>
      </c>
      <c r="I111" s="9">
        <f t="shared" si="3"/>
        <v>-1</v>
      </c>
      <c r="J111" s="3" t="s">
        <v>4603</v>
      </c>
    </row>
    <row r="112" spans="1:10">
      <c r="A112" s="3" t="s">
        <v>256</v>
      </c>
      <c r="B112" s="3" t="s">
        <v>257</v>
      </c>
      <c r="C112" s="4">
        <v>217</v>
      </c>
      <c r="D112" s="3" t="s">
        <v>253</v>
      </c>
      <c r="E112" s="3" t="s">
        <v>13</v>
      </c>
      <c r="F112" s="5">
        <v>23986.080000000002</v>
      </c>
      <c r="G112" s="5">
        <v>0</v>
      </c>
      <c r="H112" s="5">
        <f t="shared" si="2"/>
        <v>-23986.080000000002</v>
      </c>
      <c r="I112" s="9">
        <f t="shared" si="3"/>
        <v>-1</v>
      </c>
      <c r="J112" s="3" t="s">
        <v>4603</v>
      </c>
    </row>
    <row r="113" spans="1:10" ht="25.5">
      <c r="A113" s="3" t="s">
        <v>258</v>
      </c>
      <c r="B113" s="3" t="s">
        <v>259</v>
      </c>
      <c r="C113" s="4">
        <v>31</v>
      </c>
      <c r="D113" s="3" t="s">
        <v>172</v>
      </c>
      <c r="E113" s="3" t="s">
        <v>13</v>
      </c>
      <c r="F113" s="5">
        <v>19843.62</v>
      </c>
      <c r="G113" s="5">
        <v>0</v>
      </c>
      <c r="H113" s="5">
        <f t="shared" si="2"/>
        <v>-19843.62</v>
      </c>
      <c r="I113" s="9">
        <f t="shared" si="3"/>
        <v>-1</v>
      </c>
      <c r="J113" s="3" t="s">
        <v>4603</v>
      </c>
    </row>
    <row r="114" spans="1:10" ht="25.5">
      <c r="A114" s="3" t="s">
        <v>260</v>
      </c>
      <c r="B114" s="3" t="s">
        <v>261</v>
      </c>
      <c r="C114" s="4">
        <v>297</v>
      </c>
      <c r="D114" s="3" t="s">
        <v>209</v>
      </c>
      <c r="E114" s="3" t="s">
        <v>22</v>
      </c>
      <c r="F114" s="5">
        <v>138851.85</v>
      </c>
      <c r="G114" s="5">
        <v>0</v>
      </c>
      <c r="H114" s="5">
        <f t="shared" si="2"/>
        <v>-138851.85</v>
      </c>
      <c r="I114" s="9">
        <f t="shared" si="3"/>
        <v>-1</v>
      </c>
      <c r="J114" s="3" t="s">
        <v>4603</v>
      </c>
    </row>
    <row r="115" spans="1:10" ht="38.25">
      <c r="A115" s="3" t="s">
        <v>262</v>
      </c>
      <c r="B115" s="3" t="s">
        <v>263</v>
      </c>
      <c r="C115" s="4">
        <v>371</v>
      </c>
      <c r="D115" s="3" t="s">
        <v>29</v>
      </c>
      <c r="E115" s="3" t="s">
        <v>30</v>
      </c>
      <c r="F115" s="5">
        <v>13724.64</v>
      </c>
      <c r="G115" s="5">
        <v>0</v>
      </c>
      <c r="H115" s="5">
        <f t="shared" si="2"/>
        <v>-13724.64</v>
      </c>
      <c r="I115" s="9">
        <f t="shared" si="3"/>
        <v>-1</v>
      </c>
      <c r="J115" s="3" t="s">
        <v>4603</v>
      </c>
    </row>
    <row r="116" spans="1:10" ht="25.5">
      <c r="A116" s="3" t="s">
        <v>264</v>
      </c>
      <c r="B116" s="3" t="s">
        <v>265</v>
      </c>
      <c r="C116" s="4">
        <v>178</v>
      </c>
      <c r="D116" s="3" t="s">
        <v>92</v>
      </c>
      <c r="E116" s="3" t="s">
        <v>8</v>
      </c>
      <c r="F116" s="5">
        <v>51777.48</v>
      </c>
      <c r="G116" s="5">
        <v>53365.8</v>
      </c>
      <c r="H116" s="5">
        <f t="shared" si="2"/>
        <v>1588.3199999999997</v>
      </c>
      <c r="I116" s="9">
        <f t="shared" si="3"/>
        <v>3.0675884573756695E-2</v>
      </c>
      <c r="J116" s="3" t="s">
        <v>4603</v>
      </c>
    </row>
    <row r="117" spans="1:10" ht="38.25">
      <c r="A117" s="3" t="s">
        <v>266</v>
      </c>
      <c r="B117" s="3" t="s">
        <v>267</v>
      </c>
      <c r="C117" s="4">
        <v>301</v>
      </c>
      <c r="D117" s="3" t="s">
        <v>12</v>
      </c>
      <c r="E117" s="3" t="s">
        <v>13</v>
      </c>
      <c r="F117" s="5">
        <v>212327.7</v>
      </c>
      <c r="G117" s="5">
        <v>134357.54999999999</v>
      </c>
      <c r="H117" s="5">
        <f t="shared" si="2"/>
        <v>-77970.150000000023</v>
      </c>
      <c r="I117" s="9">
        <f t="shared" si="3"/>
        <v>-0.36721610039575625</v>
      </c>
      <c r="J117" s="3" t="s">
        <v>4603</v>
      </c>
    </row>
    <row r="118" spans="1:10" ht="25.5">
      <c r="A118" s="3" t="s">
        <v>266</v>
      </c>
      <c r="B118" s="3" t="s">
        <v>267</v>
      </c>
      <c r="C118" s="4">
        <v>320</v>
      </c>
      <c r="D118" s="3" t="s">
        <v>188</v>
      </c>
      <c r="E118" s="3" t="s">
        <v>13</v>
      </c>
      <c r="F118" s="5">
        <v>212327.7</v>
      </c>
      <c r="G118" s="5">
        <v>134357.54999999999</v>
      </c>
      <c r="H118" s="5">
        <f t="shared" si="2"/>
        <v>-77970.150000000023</v>
      </c>
      <c r="I118" s="9">
        <f t="shared" si="3"/>
        <v>-0.36721610039575625</v>
      </c>
      <c r="J118" s="3" t="s">
        <v>4603</v>
      </c>
    </row>
    <row r="119" spans="1:10" ht="25.5">
      <c r="A119" s="3" t="s">
        <v>266</v>
      </c>
      <c r="B119" s="3" t="s">
        <v>267</v>
      </c>
      <c r="C119" s="4">
        <v>320</v>
      </c>
      <c r="D119" s="3" t="s">
        <v>188</v>
      </c>
      <c r="E119" s="3" t="s">
        <v>30</v>
      </c>
      <c r="F119" s="5">
        <v>212327.7</v>
      </c>
      <c r="G119" s="5">
        <v>134357.54999999999</v>
      </c>
      <c r="H119" s="5">
        <f t="shared" si="2"/>
        <v>-77970.150000000023</v>
      </c>
      <c r="I119" s="9">
        <f t="shared" si="3"/>
        <v>-0.36721610039575625</v>
      </c>
      <c r="J119" s="3" t="s">
        <v>4603</v>
      </c>
    </row>
    <row r="120" spans="1:10" ht="38.25">
      <c r="A120" s="3" t="s">
        <v>268</v>
      </c>
      <c r="B120" s="3" t="s">
        <v>178</v>
      </c>
      <c r="C120" s="4">
        <v>301</v>
      </c>
      <c r="D120" s="3" t="s">
        <v>12</v>
      </c>
      <c r="E120" s="3" t="s">
        <v>13</v>
      </c>
      <c r="F120" s="5">
        <v>28779.9</v>
      </c>
      <c r="G120" s="5">
        <v>27003.93</v>
      </c>
      <c r="H120" s="5">
        <f t="shared" si="2"/>
        <v>-1775.9700000000012</v>
      </c>
      <c r="I120" s="9">
        <f t="shared" si="3"/>
        <v>-6.1708692524991449E-2</v>
      </c>
      <c r="J120" s="3" t="s">
        <v>4604</v>
      </c>
    </row>
    <row r="121" spans="1:10" ht="25.5">
      <c r="A121" s="3" t="s">
        <v>269</v>
      </c>
      <c r="B121" s="3" t="s">
        <v>270</v>
      </c>
      <c r="C121" s="4">
        <v>194</v>
      </c>
      <c r="D121" s="3" t="s">
        <v>179</v>
      </c>
      <c r="E121" s="3" t="s">
        <v>13</v>
      </c>
      <c r="F121" s="5">
        <v>11230.08</v>
      </c>
      <c r="G121" s="5">
        <v>0</v>
      </c>
      <c r="H121" s="5">
        <f t="shared" si="2"/>
        <v>-11230.08</v>
      </c>
      <c r="I121" s="9">
        <f t="shared" si="3"/>
        <v>-1</v>
      </c>
      <c r="J121" s="3" t="s">
        <v>4603</v>
      </c>
    </row>
    <row r="122" spans="1:10" ht="25.5">
      <c r="A122" s="3" t="s">
        <v>271</v>
      </c>
      <c r="B122" s="3" t="s">
        <v>166</v>
      </c>
      <c r="C122" s="4">
        <v>194</v>
      </c>
      <c r="D122" s="3" t="s">
        <v>179</v>
      </c>
      <c r="E122" s="3" t="s">
        <v>13</v>
      </c>
      <c r="F122" s="5">
        <v>11688.96</v>
      </c>
      <c r="G122" s="5">
        <v>81242.22</v>
      </c>
      <c r="H122" s="5">
        <f t="shared" si="2"/>
        <v>69553.260000000009</v>
      </c>
      <c r="I122" s="9">
        <f t="shared" si="3"/>
        <v>5.9503377545992118</v>
      </c>
      <c r="J122" s="3" t="s">
        <v>4604</v>
      </c>
    </row>
    <row r="123" spans="1:10" ht="25.5">
      <c r="A123" s="3" t="s">
        <v>272</v>
      </c>
      <c r="B123" s="3" t="s">
        <v>273</v>
      </c>
      <c r="C123" s="4">
        <v>299</v>
      </c>
      <c r="D123" s="3" t="s">
        <v>246</v>
      </c>
      <c r="E123" s="3" t="s">
        <v>30</v>
      </c>
      <c r="F123" s="5">
        <v>0</v>
      </c>
      <c r="G123" s="5">
        <v>20248.542000000001</v>
      </c>
      <c r="H123" s="5">
        <f t="shared" si="2"/>
        <v>20248.542000000001</v>
      </c>
      <c r="I123" s="9">
        <f t="shared" si="3"/>
        <v>0</v>
      </c>
      <c r="J123" s="3" t="s">
        <v>4603</v>
      </c>
    </row>
    <row r="124" spans="1:10">
      <c r="A124" s="3" t="s">
        <v>274</v>
      </c>
      <c r="B124" s="3" t="s">
        <v>275</v>
      </c>
      <c r="C124" s="4">
        <v>15</v>
      </c>
      <c r="D124" s="3" t="s">
        <v>33</v>
      </c>
      <c r="E124" s="3" t="s">
        <v>13</v>
      </c>
      <c r="F124" s="5">
        <v>93421.89</v>
      </c>
      <c r="G124" s="5">
        <v>94156.2</v>
      </c>
      <c r="H124" s="5">
        <f t="shared" si="2"/>
        <v>734.30999999999767</v>
      </c>
      <c r="I124" s="9">
        <f t="shared" si="3"/>
        <v>7.8601492648029403E-3</v>
      </c>
      <c r="J124" s="3" t="s">
        <v>4603</v>
      </c>
    </row>
    <row r="125" spans="1:10" ht="25.5">
      <c r="A125" s="3" t="s">
        <v>276</v>
      </c>
      <c r="B125" s="3" t="s">
        <v>277</v>
      </c>
      <c r="C125" s="4">
        <v>23</v>
      </c>
      <c r="D125" s="3" t="s">
        <v>71</v>
      </c>
      <c r="E125" s="3" t="s">
        <v>8</v>
      </c>
      <c r="F125" s="5">
        <v>15153.72</v>
      </c>
      <c r="G125" s="5">
        <v>36673.17</v>
      </c>
      <c r="H125" s="5">
        <f t="shared" si="2"/>
        <v>21519.449999999997</v>
      </c>
      <c r="I125" s="9">
        <f t="shared" si="3"/>
        <v>1.4200770503876274</v>
      </c>
      <c r="J125" s="3" t="s">
        <v>4603</v>
      </c>
    </row>
    <row r="126" spans="1:10" ht="25.5">
      <c r="A126" s="3" t="s">
        <v>278</v>
      </c>
      <c r="B126" s="3" t="s">
        <v>279</v>
      </c>
      <c r="C126" s="4">
        <v>328</v>
      </c>
      <c r="D126" s="3" t="s">
        <v>158</v>
      </c>
      <c r="E126" s="3" t="s">
        <v>22</v>
      </c>
      <c r="F126" s="5">
        <v>4638.88</v>
      </c>
      <c r="G126" s="5">
        <v>0</v>
      </c>
      <c r="H126" s="5">
        <f t="shared" si="2"/>
        <v>-4638.88</v>
      </c>
      <c r="I126" s="9">
        <f t="shared" si="3"/>
        <v>-1</v>
      </c>
      <c r="J126" s="3" t="s">
        <v>4603</v>
      </c>
    </row>
    <row r="127" spans="1:10" ht="25.5">
      <c r="A127" s="3" t="s">
        <v>280</v>
      </c>
      <c r="B127" s="3" t="s">
        <v>281</v>
      </c>
      <c r="C127" s="4">
        <v>19</v>
      </c>
      <c r="D127" s="3" t="s">
        <v>53</v>
      </c>
      <c r="E127" s="3" t="s">
        <v>22</v>
      </c>
      <c r="F127" s="5">
        <v>89549.4</v>
      </c>
      <c r="G127" s="5">
        <v>0</v>
      </c>
      <c r="H127" s="5">
        <f t="shared" si="2"/>
        <v>-89549.4</v>
      </c>
      <c r="I127" s="9">
        <f t="shared" si="3"/>
        <v>-1</v>
      </c>
      <c r="J127" s="3" t="s">
        <v>4603</v>
      </c>
    </row>
    <row r="128" spans="1:10" ht="25.5">
      <c r="A128" s="3" t="s">
        <v>282</v>
      </c>
      <c r="B128" s="3" t="s">
        <v>283</v>
      </c>
      <c r="C128" s="4">
        <v>328</v>
      </c>
      <c r="D128" s="3" t="s">
        <v>158</v>
      </c>
      <c r="E128" s="3" t="s">
        <v>22</v>
      </c>
      <c r="F128" s="5">
        <v>19020.46</v>
      </c>
      <c r="G128" s="5">
        <v>18583.560000000001</v>
      </c>
      <c r="H128" s="5">
        <f t="shared" si="2"/>
        <v>-436.89999999999782</v>
      </c>
      <c r="I128" s="9">
        <f t="shared" si="3"/>
        <v>-2.2970001777033677E-2</v>
      </c>
      <c r="J128" s="3" t="s">
        <v>4603</v>
      </c>
    </row>
    <row r="129" spans="1:10" ht="25.5">
      <c r="A129" s="3" t="s">
        <v>284</v>
      </c>
      <c r="B129" s="3" t="s">
        <v>285</v>
      </c>
      <c r="C129" s="4">
        <v>178</v>
      </c>
      <c r="D129" s="3" t="s">
        <v>92</v>
      </c>
      <c r="E129" s="3" t="s">
        <v>8</v>
      </c>
      <c r="F129" s="5">
        <v>57938.16</v>
      </c>
      <c r="G129" s="5">
        <v>14988.6</v>
      </c>
      <c r="H129" s="5">
        <f t="shared" si="2"/>
        <v>-42949.560000000005</v>
      </c>
      <c r="I129" s="9">
        <f t="shared" si="3"/>
        <v>-0.7413000343814854</v>
      </c>
      <c r="J129" s="3" t="s">
        <v>4603</v>
      </c>
    </row>
    <row r="130" spans="1:10" ht="38.25">
      <c r="A130" s="3" t="s">
        <v>286</v>
      </c>
      <c r="B130" s="3" t="s">
        <v>287</v>
      </c>
      <c r="C130" s="4">
        <v>11</v>
      </c>
      <c r="D130" s="3" t="s">
        <v>55</v>
      </c>
      <c r="E130" s="3" t="s">
        <v>18</v>
      </c>
      <c r="F130" s="5">
        <v>11350.32</v>
      </c>
      <c r="G130" s="5">
        <v>43012.351999999999</v>
      </c>
      <c r="H130" s="5">
        <f t="shared" si="2"/>
        <v>31662.031999999999</v>
      </c>
      <c r="I130" s="9">
        <f t="shared" si="3"/>
        <v>2.7895276961354392</v>
      </c>
      <c r="J130" s="3" t="s">
        <v>4603</v>
      </c>
    </row>
    <row r="131" spans="1:10">
      <c r="A131" s="3" t="s">
        <v>288</v>
      </c>
      <c r="B131" s="3" t="s">
        <v>289</v>
      </c>
      <c r="C131" s="4">
        <v>217</v>
      </c>
      <c r="D131" s="3" t="s">
        <v>253</v>
      </c>
      <c r="E131" s="3" t="s">
        <v>13</v>
      </c>
      <c r="F131" s="5">
        <v>0</v>
      </c>
      <c r="G131" s="5">
        <v>5088.6899999999996</v>
      </c>
      <c r="H131" s="5">
        <f t="shared" ref="H131:H194" si="4">G131-F131</f>
        <v>5088.6899999999996</v>
      </c>
      <c r="I131" s="9">
        <f t="shared" ref="I131:I194" si="5">IFERROR(G131/F131-1,0)</f>
        <v>0</v>
      </c>
      <c r="J131" s="3" t="s">
        <v>4603</v>
      </c>
    </row>
    <row r="132" spans="1:10" ht="25.5">
      <c r="A132" s="3" t="s">
        <v>290</v>
      </c>
      <c r="B132" s="3" t="s">
        <v>291</v>
      </c>
      <c r="C132" s="4">
        <v>61</v>
      </c>
      <c r="D132" s="3" t="s">
        <v>114</v>
      </c>
      <c r="E132" s="3" t="s">
        <v>30</v>
      </c>
      <c r="F132" s="5">
        <v>27157.439999999999</v>
      </c>
      <c r="G132" s="5">
        <v>18828.84</v>
      </c>
      <c r="H132" s="5">
        <f t="shared" si="4"/>
        <v>-8328.5999999999985</v>
      </c>
      <c r="I132" s="9">
        <f t="shared" si="5"/>
        <v>-0.30667839089398707</v>
      </c>
      <c r="J132" s="3" t="s">
        <v>4603</v>
      </c>
    </row>
    <row r="133" spans="1:10" ht="25.5">
      <c r="A133" s="3" t="s">
        <v>292</v>
      </c>
      <c r="B133" s="3" t="s">
        <v>293</v>
      </c>
      <c r="C133" s="4">
        <v>194</v>
      </c>
      <c r="D133" s="3" t="s">
        <v>179</v>
      </c>
      <c r="E133" s="3" t="s">
        <v>13</v>
      </c>
      <c r="F133" s="5">
        <v>14853.72</v>
      </c>
      <c r="G133" s="5">
        <v>0</v>
      </c>
      <c r="H133" s="5">
        <f t="shared" si="4"/>
        <v>-14853.72</v>
      </c>
      <c r="I133" s="9">
        <f t="shared" si="5"/>
        <v>-1</v>
      </c>
      <c r="J133" s="3" t="s">
        <v>4604</v>
      </c>
    </row>
    <row r="134" spans="1:10" ht="25.5">
      <c r="A134" s="3" t="s">
        <v>294</v>
      </c>
      <c r="B134" s="3" t="s">
        <v>295</v>
      </c>
      <c r="C134" s="4">
        <v>93</v>
      </c>
      <c r="D134" s="3" t="s">
        <v>42</v>
      </c>
      <c r="E134" s="3" t="s">
        <v>8</v>
      </c>
      <c r="F134" s="5">
        <v>0</v>
      </c>
      <c r="G134" s="5">
        <v>3448.08</v>
      </c>
      <c r="H134" s="5">
        <f t="shared" si="4"/>
        <v>3448.08</v>
      </c>
      <c r="I134" s="9">
        <f t="shared" si="5"/>
        <v>0</v>
      </c>
      <c r="J134" s="3" t="s">
        <v>4603</v>
      </c>
    </row>
    <row r="135" spans="1:10" ht="51">
      <c r="A135" s="3" t="s">
        <v>296</v>
      </c>
      <c r="B135" s="3" t="s">
        <v>297</v>
      </c>
      <c r="C135" s="4">
        <v>282</v>
      </c>
      <c r="D135" s="3" t="s">
        <v>298</v>
      </c>
      <c r="E135" s="3" t="s">
        <v>9</v>
      </c>
      <c r="F135" s="5">
        <v>0</v>
      </c>
      <c r="G135" s="5">
        <v>13333.44</v>
      </c>
      <c r="H135" s="5">
        <f t="shared" si="4"/>
        <v>13333.44</v>
      </c>
      <c r="I135" s="9">
        <f t="shared" si="5"/>
        <v>0</v>
      </c>
      <c r="J135" s="3" t="s">
        <v>4603</v>
      </c>
    </row>
    <row r="136" spans="1:10">
      <c r="A136" s="3" t="s">
        <v>299</v>
      </c>
      <c r="B136" s="3" t="s">
        <v>300</v>
      </c>
      <c r="C136" s="4">
        <v>15</v>
      </c>
      <c r="D136" s="3" t="s">
        <v>33</v>
      </c>
      <c r="E136" s="3" t="s">
        <v>13</v>
      </c>
      <c r="F136" s="5">
        <v>54080.52</v>
      </c>
      <c r="G136" s="5">
        <v>26312.400000000001</v>
      </c>
      <c r="H136" s="5">
        <f t="shared" si="4"/>
        <v>-27768.119999999995</v>
      </c>
      <c r="I136" s="9">
        <f t="shared" si="5"/>
        <v>-0.51345882029240841</v>
      </c>
      <c r="J136" s="3" t="s">
        <v>4603</v>
      </c>
    </row>
    <row r="137" spans="1:10" ht="25.5">
      <c r="A137" s="3" t="s">
        <v>301</v>
      </c>
      <c r="B137" s="3" t="s">
        <v>302</v>
      </c>
      <c r="C137" s="4">
        <v>302</v>
      </c>
      <c r="D137" s="3" t="s">
        <v>303</v>
      </c>
      <c r="E137" s="3" t="s">
        <v>30</v>
      </c>
      <c r="F137" s="5">
        <v>2813.52</v>
      </c>
      <c r="G137" s="5">
        <v>0</v>
      </c>
      <c r="H137" s="5">
        <f t="shared" si="4"/>
        <v>-2813.52</v>
      </c>
      <c r="I137" s="9">
        <f t="shared" si="5"/>
        <v>-1</v>
      </c>
      <c r="J137" s="3" t="s">
        <v>4603</v>
      </c>
    </row>
    <row r="138" spans="1:10">
      <c r="A138" s="3" t="s">
        <v>304</v>
      </c>
      <c r="B138" s="3" t="s">
        <v>305</v>
      </c>
      <c r="C138" s="4">
        <v>217</v>
      </c>
      <c r="D138" s="3" t="s">
        <v>253</v>
      </c>
      <c r="E138" s="3" t="s">
        <v>13</v>
      </c>
      <c r="F138" s="5">
        <v>17331.72</v>
      </c>
      <c r="G138" s="5">
        <v>0</v>
      </c>
      <c r="H138" s="5">
        <f t="shared" si="4"/>
        <v>-17331.72</v>
      </c>
      <c r="I138" s="9">
        <f t="shared" si="5"/>
        <v>-1</v>
      </c>
      <c r="J138" s="3" t="s">
        <v>4603</v>
      </c>
    </row>
    <row r="139" spans="1:10" ht="51">
      <c r="A139" s="3" t="s">
        <v>306</v>
      </c>
      <c r="B139" s="3" t="s">
        <v>307</v>
      </c>
      <c r="C139" s="4">
        <v>282</v>
      </c>
      <c r="D139" s="3" t="s">
        <v>298</v>
      </c>
      <c r="E139" s="3" t="s">
        <v>9</v>
      </c>
      <c r="F139" s="5">
        <v>45289</v>
      </c>
      <c r="G139" s="5">
        <v>0</v>
      </c>
      <c r="H139" s="5">
        <f t="shared" si="4"/>
        <v>-45289</v>
      </c>
      <c r="I139" s="9">
        <f t="shared" si="5"/>
        <v>-1</v>
      </c>
      <c r="J139" s="3" t="s">
        <v>4603</v>
      </c>
    </row>
    <row r="140" spans="1:10" ht="38.25">
      <c r="A140" s="3" t="s">
        <v>308</v>
      </c>
      <c r="B140" s="3" t="s">
        <v>309</v>
      </c>
      <c r="C140" s="4">
        <v>11</v>
      </c>
      <c r="D140" s="3" t="s">
        <v>55</v>
      </c>
      <c r="E140" s="3" t="s">
        <v>18</v>
      </c>
      <c r="F140" s="5">
        <v>54701.34</v>
      </c>
      <c r="G140" s="5">
        <v>0</v>
      </c>
      <c r="H140" s="5">
        <f t="shared" si="4"/>
        <v>-54701.34</v>
      </c>
      <c r="I140" s="9">
        <f t="shared" si="5"/>
        <v>-1</v>
      </c>
      <c r="J140" s="3" t="s">
        <v>4603</v>
      </c>
    </row>
    <row r="141" spans="1:10" ht="25.5">
      <c r="A141" s="3" t="s">
        <v>310</v>
      </c>
      <c r="B141" s="3" t="s">
        <v>311</v>
      </c>
      <c r="C141" s="4">
        <v>270</v>
      </c>
      <c r="D141" s="3" t="s">
        <v>312</v>
      </c>
      <c r="E141" s="3" t="s">
        <v>30</v>
      </c>
      <c r="F141" s="5">
        <v>38213.82</v>
      </c>
      <c r="G141" s="5">
        <v>7758.57</v>
      </c>
      <c r="H141" s="5">
        <f t="shared" si="4"/>
        <v>-30455.25</v>
      </c>
      <c r="I141" s="9">
        <f t="shared" si="5"/>
        <v>-0.79696952568468682</v>
      </c>
      <c r="J141" s="3" t="s">
        <v>4603</v>
      </c>
    </row>
    <row r="142" spans="1:10" ht="25.5">
      <c r="A142" s="3" t="s">
        <v>313</v>
      </c>
      <c r="B142" s="3" t="s">
        <v>314</v>
      </c>
      <c r="C142" s="4">
        <v>321</v>
      </c>
      <c r="D142" s="3" t="s">
        <v>125</v>
      </c>
      <c r="E142" s="3" t="s">
        <v>22</v>
      </c>
      <c r="F142" s="5">
        <v>0</v>
      </c>
      <c r="G142" s="5">
        <v>8285.52</v>
      </c>
      <c r="H142" s="5">
        <f t="shared" si="4"/>
        <v>8285.52</v>
      </c>
      <c r="I142" s="9">
        <f t="shared" si="5"/>
        <v>0</v>
      </c>
      <c r="J142" s="3" t="s">
        <v>4603</v>
      </c>
    </row>
    <row r="143" spans="1:10" ht="25.5">
      <c r="A143" s="3" t="s">
        <v>315</v>
      </c>
      <c r="B143" s="3" t="s">
        <v>316</v>
      </c>
      <c r="C143" s="4">
        <v>208</v>
      </c>
      <c r="D143" s="3" t="s">
        <v>58</v>
      </c>
      <c r="E143" s="3" t="s">
        <v>13</v>
      </c>
      <c r="F143" s="5">
        <v>9670.32</v>
      </c>
      <c r="G143" s="5">
        <v>9839.0400000000009</v>
      </c>
      <c r="H143" s="5">
        <f t="shared" si="4"/>
        <v>168.72000000000116</v>
      </c>
      <c r="I143" s="9">
        <f t="shared" si="5"/>
        <v>1.7447199265381297E-2</v>
      </c>
      <c r="J143" s="3" t="s">
        <v>4603</v>
      </c>
    </row>
    <row r="144" spans="1:10" ht="38.25">
      <c r="A144" s="3" t="s">
        <v>317</v>
      </c>
      <c r="B144" s="3" t="s">
        <v>318</v>
      </c>
      <c r="C144" s="4">
        <v>371</v>
      </c>
      <c r="D144" s="3" t="s">
        <v>29</v>
      </c>
      <c r="E144" s="3" t="s">
        <v>30</v>
      </c>
      <c r="F144" s="5">
        <v>20875.439999999999</v>
      </c>
      <c r="G144" s="5">
        <v>6761.7</v>
      </c>
      <c r="H144" s="5">
        <f t="shared" si="4"/>
        <v>-14113.739999999998</v>
      </c>
      <c r="I144" s="9">
        <f t="shared" si="5"/>
        <v>-0.67609305480507231</v>
      </c>
      <c r="J144" s="3" t="s">
        <v>4603</v>
      </c>
    </row>
    <row r="145" spans="1:10" ht="25.5">
      <c r="A145" s="3" t="s">
        <v>319</v>
      </c>
      <c r="B145" s="3" t="s">
        <v>320</v>
      </c>
      <c r="C145" s="4">
        <v>31</v>
      </c>
      <c r="D145" s="3" t="s">
        <v>172</v>
      </c>
      <c r="E145" s="3" t="s">
        <v>13</v>
      </c>
      <c r="F145" s="5">
        <v>9374.2800000000007</v>
      </c>
      <c r="G145" s="5">
        <v>9823.92</v>
      </c>
      <c r="H145" s="5">
        <f t="shared" si="4"/>
        <v>449.63999999999942</v>
      </c>
      <c r="I145" s="9">
        <f t="shared" si="5"/>
        <v>4.796528373379072E-2</v>
      </c>
      <c r="J145" s="3" t="s">
        <v>4603</v>
      </c>
    </row>
    <row r="146" spans="1:10">
      <c r="A146" s="3" t="s">
        <v>321</v>
      </c>
      <c r="B146" s="3" t="s">
        <v>322</v>
      </c>
      <c r="C146" s="4">
        <v>240</v>
      </c>
      <c r="D146" s="3" t="s">
        <v>152</v>
      </c>
      <c r="E146" s="3" t="s">
        <v>13</v>
      </c>
      <c r="F146" s="5">
        <v>3499.92</v>
      </c>
      <c r="G146" s="5">
        <v>0</v>
      </c>
      <c r="H146" s="5">
        <f t="shared" si="4"/>
        <v>-3499.92</v>
      </c>
      <c r="I146" s="9">
        <f t="shared" si="5"/>
        <v>-1</v>
      </c>
      <c r="J146" s="3" t="s">
        <v>4603</v>
      </c>
    </row>
    <row r="147" spans="1:10" ht="25.5">
      <c r="A147" s="3" t="s">
        <v>323</v>
      </c>
      <c r="B147" s="3" t="s">
        <v>324</v>
      </c>
      <c r="C147" s="4">
        <v>240</v>
      </c>
      <c r="D147" s="3" t="s">
        <v>152</v>
      </c>
      <c r="E147" s="3" t="s">
        <v>13</v>
      </c>
      <c r="F147" s="5">
        <v>3004.2</v>
      </c>
      <c r="G147" s="5">
        <v>13284.21</v>
      </c>
      <c r="H147" s="5">
        <f t="shared" si="4"/>
        <v>10280.009999999998</v>
      </c>
      <c r="I147" s="9">
        <f t="shared" si="5"/>
        <v>3.4218793688835634</v>
      </c>
      <c r="J147" s="3" t="s">
        <v>4603</v>
      </c>
    </row>
    <row r="148" spans="1:10" ht="38.25">
      <c r="A148" s="3" t="s">
        <v>323</v>
      </c>
      <c r="B148" s="3" t="s">
        <v>324</v>
      </c>
      <c r="C148" s="4">
        <v>45</v>
      </c>
      <c r="D148" s="3" t="s">
        <v>16</v>
      </c>
      <c r="E148" s="3" t="s">
        <v>8</v>
      </c>
      <c r="F148" s="5">
        <v>3004.2</v>
      </c>
      <c r="G148" s="5">
        <v>13284.21</v>
      </c>
      <c r="H148" s="5">
        <f t="shared" si="4"/>
        <v>10280.009999999998</v>
      </c>
      <c r="I148" s="9">
        <f t="shared" si="5"/>
        <v>3.4218793688835634</v>
      </c>
      <c r="J148" s="3" t="s">
        <v>4603</v>
      </c>
    </row>
    <row r="149" spans="1:10" ht="38.25">
      <c r="A149" s="3" t="s">
        <v>325</v>
      </c>
      <c r="B149" s="3" t="s">
        <v>326</v>
      </c>
      <c r="C149" s="4">
        <v>45</v>
      </c>
      <c r="D149" s="3" t="s">
        <v>16</v>
      </c>
      <c r="E149" s="3" t="s">
        <v>8</v>
      </c>
      <c r="F149" s="5">
        <v>24962.1</v>
      </c>
      <c r="G149" s="5">
        <v>30935.34</v>
      </c>
      <c r="H149" s="5">
        <f t="shared" si="4"/>
        <v>5973.2400000000016</v>
      </c>
      <c r="I149" s="9">
        <f t="shared" si="5"/>
        <v>0.23929236722871883</v>
      </c>
      <c r="J149" s="3" t="s">
        <v>4603</v>
      </c>
    </row>
    <row r="150" spans="1:10" ht="25.5">
      <c r="A150" s="3" t="s">
        <v>327</v>
      </c>
      <c r="B150" s="3" t="s">
        <v>328</v>
      </c>
      <c r="C150" s="4">
        <v>194</v>
      </c>
      <c r="D150" s="3" t="s">
        <v>179</v>
      </c>
      <c r="E150" s="3" t="s">
        <v>13</v>
      </c>
      <c r="F150" s="5">
        <v>29613.360000000001</v>
      </c>
      <c r="G150" s="5">
        <v>17125.68</v>
      </c>
      <c r="H150" s="5">
        <f t="shared" si="4"/>
        <v>-12487.68</v>
      </c>
      <c r="I150" s="9">
        <f t="shared" si="5"/>
        <v>-0.42169075039103976</v>
      </c>
      <c r="J150" s="3" t="s">
        <v>4604</v>
      </c>
    </row>
    <row r="151" spans="1:10" ht="25.5">
      <c r="A151" s="3" t="s">
        <v>329</v>
      </c>
      <c r="B151" s="3" t="s">
        <v>330</v>
      </c>
      <c r="C151" s="4">
        <v>61</v>
      </c>
      <c r="D151" s="3" t="s">
        <v>114</v>
      </c>
      <c r="E151" s="3" t="s">
        <v>30</v>
      </c>
      <c r="F151" s="5">
        <v>30787.439999999999</v>
      </c>
      <c r="G151" s="5">
        <v>27246.12</v>
      </c>
      <c r="H151" s="5">
        <f t="shared" si="4"/>
        <v>-3541.3199999999997</v>
      </c>
      <c r="I151" s="9">
        <f t="shared" si="5"/>
        <v>-0.1150248283066081</v>
      </c>
      <c r="J151" s="3" t="s">
        <v>4603</v>
      </c>
    </row>
    <row r="152" spans="1:10" ht="38.25">
      <c r="A152" s="3" t="s">
        <v>331</v>
      </c>
      <c r="B152" s="3" t="s">
        <v>332</v>
      </c>
      <c r="C152" s="4">
        <v>371</v>
      </c>
      <c r="D152" s="3" t="s">
        <v>29</v>
      </c>
      <c r="E152" s="3" t="s">
        <v>30</v>
      </c>
      <c r="F152" s="5">
        <v>5278.8</v>
      </c>
      <c r="G152" s="5">
        <v>0</v>
      </c>
      <c r="H152" s="5">
        <f t="shared" si="4"/>
        <v>-5278.8</v>
      </c>
      <c r="I152" s="9">
        <f t="shared" si="5"/>
        <v>-1</v>
      </c>
      <c r="J152" s="3" t="s">
        <v>4603</v>
      </c>
    </row>
    <row r="153" spans="1:10">
      <c r="A153" s="3" t="s">
        <v>333</v>
      </c>
      <c r="B153" s="3" t="s">
        <v>334</v>
      </c>
      <c r="C153" s="4">
        <v>167</v>
      </c>
      <c r="D153" s="3" t="s">
        <v>335</v>
      </c>
      <c r="E153" s="3" t="s">
        <v>30</v>
      </c>
      <c r="F153" s="5">
        <v>15657.45</v>
      </c>
      <c r="G153" s="5">
        <v>14426.04</v>
      </c>
      <c r="H153" s="5">
        <f t="shared" si="4"/>
        <v>-1231.4099999999999</v>
      </c>
      <c r="I153" s="9">
        <f t="shared" si="5"/>
        <v>-7.8646906105400261E-2</v>
      </c>
      <c r="J153" s="3" t="s">
        <v>4603</v>
      </c>
    </row>
    <row r="154" spans="1:10" ht="25.5">
      <c r="A154" s="3" t="s">
        <v>336</v>
      </c>
      <c r="B154" s="3" t="s">
        <v>337</v>
      </c>
      <c r="C154" s="4">
        <v>93</v>
      </c>
      <c r="D154" s="3" t="s">
        <v>42</v>
      </c>
      <c r="E154" s="3" t="s">
        <v>8</v>
      </c>
      <c r="F154" s="5">
        <v>8446.08</v>
      </c>
      <c r="G154" s="5">
        <v>3417.96</v>
      </c>
      <c r="H154" s="5">
        <f t="shared" si="4"/>
        <v>-5028.12</v>
      </c>
      <c r="I154" s="9">
        <f t="shared" si="5"/>
        <v>-0.5953199590816094</v>
      </c>
      <c r="J154" s="3" t="s">
        <v>4603</v>
      </c>
    </row>
    <row r="155" spans="1:10" ht="25.5">
      <c r="A155" s="3" t="s">
        <v>338</v>
      </c>
      <c r="B155" s="3" t="s">
        <v>339</v>
      </c>
      <c r="C155" s="4">
        <v>53</v>
      </c>
      <c r="D155" s="3" t="s">
        <v>340</v>
      </c>
      <c r="E155" s="3" t="s">
        <v>13</v>
      </c>
      <c r="F155" s="5">
        <v>3455.28</v>
      </c>
      <c r="G155" s="5">
        <v>15647.04</v>
      </c>
      <c r="H155" s="5">
        <f t="shared" si="4"/>
        <v>12191.76</v>
      </c>
      <c r="I155" s="9">
        <f t="shared" si="5"/>
        <v>3.5284434257136903</v>
      </c>
      <c r="J155" s="3" t="s">
        <v>4603</v>
      </c>
    </row>
    <row r="156" spans="1:10" ht="25.5">
      <c r="A156" s="3" t="s">
        <v>341</v>
      </c>
      <c r="B156" s="3" t="s">
        <v>342</v>
      </c>
      <c r="C156" s="4">
        <v>316</v>
      </c>
      <c r="D156" s="3" t="s">
        <v>167</v>
      </c>
      <c r="E156" s="3" t="s">
        <v>18</v>
      </c>
      <c r="F156" s="5">
        <v>12000</v>
      </c>
      <c r="G156" s="5">
        <v>0</v>
      </c>
      <c r="H156" s="5">
        <f t="shared" si="4"/>
        <v>-12000</v>
      </c>
      <c r="I156" s="9">
        <f t="shared" si="5"/>
        <v>-1</v>
      </c>
      <c r="J156" s="3" t="s">
        <v>4603</v>
      </c>
    </row>
    <row r="157" spans="1:10" ht="25.5">
      <c r="A157" s="3" t="s">
        <v>343</v>
      </c>
      <c r="B157" s="3" t="s">
        <v>344</v>
      </c>
      <c r="C157" s="4">
        <v>74</v>
      </c>
      <c r="D157" s="3" t="s">
        <v>86</v>
      </c>
      <c r="E157" s="3" t="s">
        <v>8</v>
      </c>
      <c r="F157" s="5">
        <v>13994.31</v>
      </c>
      <c r="G157" s="5">
        <v>28658.16</v>
      </c>
      <c r="H157" s="5">
        <f t="shared" si="4"/>
        <v>14663.85</v>
      </c>
      <c r="I157" s="9">
        <f t="shared" si="5"/>
        <v>1.0478437307734358</v>
      </c>
      <c r="J157" s="3" t="s">
        <v>4603</v>
      </c>
    </row>
    <row r="158" spans="1:10" ht="25.5">
      <c r="A158" s="3" t="s">
        <v>345</v>
      </c>
      <c r="B158" s="3" t="s">
        <v>346</v>
      </c>
      <c r="C158" s="4">
        <v>31</v>
      </c>
      <c r="D158" s="3" t="s">
        <v>172</v>
      </c>
      <c r="E158" s="3" t="s">
        <v>13</v>
      </c>
      <c r="F158" s="5">
        <v>4475.28</v>
      </c>
      <c r="G158" s="5">
        <v>0</v>
      </c>
      <c r="H158" s="5">
        <f t="shared" si="4"/>
        <v>-4475.28</v>
      </c>
      <c r="I158" s="9">
        <f t="shared" si="5"/>
        <v>-1</v>
      </c>
      <c r="J158" s="3" t="s">
        <v>4603</v>
      </c>
    </row>
    <row r="159" spans="1:10" ht="25.5">
      <c r="A159" s="3" t="s">
        <v>347</v>
      </c>
      <c r="B159" s="3" t="s">
        <v>348</v>
      </c>
      <c r="C159" s="4">
        <v>327</v>
      </c>
      <c r="D159" s="3" t="s">
        <v>76</v>
      </c>
      <c r="E159" s="3" t="s">
        <v>8</v>
      </c>
      <c r="F159" s="5">
        <v>0</v>
      </c>
      <c r="G159" s="5">
        <v>10386.555</v>
      </c>
      <c r="H159" s="5">
        <f t="shared" si="4"/>
        <v>10386.555</v>
      </c>
      <c r="I159" s="9">
        <f t="shared" si="5"/>
        <v>0</v>
      </c>
      <c r="J159" s="3" t="s">
        <v>4603</v>
      </c>
    </row>
    <row r="160" spans="1:10" ht="25.5">
      <c r="A160" s="3" t="s">
        <v>349</v>
      </c>
      <c r="B160" s="3" t="s">
        <v>350</v>
      </c>
      <c r="C160" s="4">
        <v>93</v>
      </c>
      <c r="D160" s="3" t="s">
        <v>42</v>
      </c>
      <c r="E160" s="3" t="s">
        <v>8</v>
      </c>
      <c r="F160" s="5">
        <v>38198.67</v>
      </c>
      <c r="G160" s="5">
        <v>51912.39</v>
      </c>
      <c r="H160" s="5">
        <f t="shared" si="4"/>
        <v>13713.720000000001</v>
      </c>
      <c r="I160" s="9">
        <f t="shared" si="5"/>
        <v>0.35901040533610207</v>
      </c>
      <c r="J160" s="3" t="s">
        <v>4603</v>
      </c>
    </row>
    <row r="161" spans="1:10" ht="25.5">
      <c r="A161" s="3" t="s">
        <v>351</v>
      </c>
      <c r="B161" s="3" t="s">
        <v>352</v>
      </c>
      <c r="C161" s="4">
        <v>93</v>
      </c>
      <c r="D161" s="3" t="s">
        <v>42</v>
      </c>
      <c r="E161" s="3" t="s">
        <v>8</v>
      </c>
      <c r="F161" s="5">
        <v>11164.14</v>
      </c>
      <c r="G161" s="5">
        <v>12198</v>
      </c>
      <c r="H161" s="5">
        <f t="shared" si="4"/>
        <v>1033.8600000000006</v>
      </c>
      <c r="I161" s="9">
        <f t="shared" si="5"/>
        <v>9.2605431318489417E-2</v>
      </c>
      <c r="J161" s="3" t="s">
        <v>4603</v>
      </c>
    </row>
    <row r="162" spans="1:10">
      <c r="A162" s="3" t="s">
        <v>353</v>
      </c>
      <c r="B162" s="3" t="s">
        <v>354</v>
      </c>
      <c r="C162" s="4">
        <v>167</v>
      </c>
      <c r="D162" s="3" t="s">
        <v>335</v>
      </c>
      <c r="E162" s="3" t="s">
        <v>30</v>
      </c>
      <c r="F162" s="5">
        <v>0</v>
      </c>
      <c r="G162" s="5">
        <v>31361.64</v>
      </c>
      <c r="H162" s="5">
        <f t="shared" si="4"/>
        <v>31361.64</v>
      </c>
      <c r="I162" s="9">
        <f t="shared" si="5"/>
        <v>0</v>
      </c>
      <c r="J162" s="3" t="s">
        <v>4603</v>
      </c>
    </row>
    <row r="163" spans="1:10" ht="25.5">
      <c r="A163" s="3" t="s">
        <v>355</v>
      </c>
      <c r="B163" s="3" t="s">
        <v>356</v>
      </c>
      <c r="C163" s="4">
        <v>208</v>
      </c>
      <c r="D163" s="3" t="s">
        <v>58</v>
      </c>
      <c r="E163" s="3" t="s">
        <v>13</v>
      </c>
      <c r="F163" s="5">
        <v>18368.759999999998</v>
      </c>
      <c r="G163" s="5">
        <v>0</v>
      </c>
      <c r="H163" s="5">
        <f t="shared" si="4"/>
        <v>-18368.759999999998</v>
      </c>
      <c r="I163" s="9">
        <f t="shared" si="5"/>
        <v>-1</v>
      </c>
      <c r="J163" s="3" t="s">
        <v>4603</v>
      </c>
    </row>
    <row r="164" spans="1:10" ht="25.5">
      <c r="A164" s="3" t="s">
        <v>357</v>
      </c>
      <c r="B164" s="3" t="s">
        <v>358</v>
      </c>
      <c r="C164" s="4">
        <v>93</v>
      </c>
      <c r="D164" s="3" t="s">
        <v>42</v>
      </c>
      <c r="E164" s="3" t="s">
        <v>8</v>
      </c>
      <c r="F164" s="5">
        <v>0</v>
      </c>
      <c r="G164" s="5">
        <v>2502.7199999999998</v>
      </c>
      <c r="H164" s="5">
        <f t="shared" si="4"/>
        <v>2502.7199999999998</v>
      </c>
      <c r="I164" s="9">
        <f t="shared" si="5"/>
        <v>0</v>
      </c>
      <c r="J164" s="3" t="s">
        <v>4603</v>
      </c>
    </row>
    <row r="165" spans="1:10" ht="25.5">
      <c r="A165" s="3" t="s">
        <v>359</v>
      </c>
      <c r="B165" s="3" t="s">
        <v>360</v>
      </c>
      <c r="C165" s="4">
        <v>61</v>
      </c>
      <c r="D165" s="3" t="s">
        <v>114</v>
      </c>
      <c r="E165" s="3" t="s">
        <v>30</v>
      </c>
      <c r="F165" s="5">
        <v>50177.22</v>
      </c>
      <c r="G165" s="5">
        <v>0</v>
      </c>
      <c r="H165" s="5">
        <f t="shared" si="4"/>
        <v>-50177.22</v>
      </c>
      <c r="I165" s="9">
        <f t="shared" si="5"/>
        <v>-1</v>
      </c>
      <c r="J165" s="3" t="s">
        <v>4603</v>
      </c>
    </row>
    <row r="166" spans="1:10" ht="25.5">
      <c r="A166" s="3" t="s">
        <v>361</v>
      </c>
      <c r="B166" s="3" t="s">
        <v>362</v>
      </c>
      <c r="C166" s="4">
        <v>93</v>
      </c>
      <c r="D166" s="3" t="s">
        <v>42</v>
      </c>
      <c r="E166" s="3" t="s">
        <v>8</v>
      </c>
      <c r="F166" s="5">
        <v>1979.7</v>
      </c>
      <c r="G166" s="5">
        <v>10652.07</v>
      </c>
      <c r="H166" s="5">
        <f t="shared" si="4"/>
        <v>8672.369999999999</v>
      </c>
      <c r="I166" s="9">
        <f t="shared" si="5"/>
        <v>4.3806485831186537</v>
      </c>
      <c r="J166" s="3" t="s">
        <v>4603</v>
      </c>
    </row>
    <row r="167" spans="1:10" ht="25.5">
      <c r="A167" s="3" t="s">
        <v>363</v>
      </c>
      <c r="B167" s="3" t="s">
        <v>364</v>
      </c>
      <c r="C167" s="4">
        <v>261</v>
      </c>
      <c r="D167" s="3" t="s">
        <v>17</v>
      </c>
      <c r="E167" s="3" t="s">
        <v>18</v>
      </c>
      <c r="F167" s="5">
        <v>27325.77</v>
      </c>
      <c r="G167" s="5">
        <v>0</v>
      </c>
      <c r="H167" s="5">
        <f t="shared" si="4"/>
        <v>-27325.77</v>
      </c>
      <c r="I167" s="9">
        <f t="shared" si="5"/>
        <v>-1</v>
      </c>
      <c r="J167" s="3" t="s">
        <v>4603</v>
      </c>
    </row>
    <row r="168" spans="1:10">
      <c r="A168" s="3" t="s">
        <v>365</v>
      </c>
      <c r="B168" s="3" t="s">
        <v>366</v>
      </c>
      <c r="C168" s="4">
        <v>231</v>
      </c>
      <c r="D168" s="3" t="s">
        <v>89</v>
      </c>
      <c r="E168" s="3" t="s">
        <v>8</v>
      </c>
      <c r="F168" s="5">
        <v>21897.15</v>
      </c>
      <c r="G168" s="5">
        <v>24815.317999999999</v>
      </c>
      <c r="H168" s="5">
        <f t="shared" si="4"/>
        <v>2918.1679999999978</v>
      </c>
      <c r="I168" s="9">
        <f t="shared" si="5"/>
        <v>0.13326702333408669</v>
      </c>
      <c r="J168" s="3" t="s">
        <v>4603</v>
      </c>
    </row>
    <row r="169" spans="1:10" ht="25.5">
      <c r="A169" s="3" t="s">
        <v>367</v>
      </c>
      <c r="B169" s="3" t="s">
        <v>368</v>
      </c>
      <c r="C169" s="4">
        <v>328</v>
      </c>
      <c r="D169" s="3" t="s">
        <v>158</v>
      </c>
      <c r="E169" s="3" t="s">
        <v>22</v>
      </c>
      <c r="F169" s="5">
        <v>19070.259999999998</v>
      </c>
      <c r="G169" s="5">
        <v>17950.462</v>
      </c>
      <c r="H169" s="5">
        <f t="shared" si="4"/>
        <v>-1119.7979999999989</v>
      </c>
      <c r="I169" s="9">
        <f t="shared" si="5"/>
        <v>-5.8719597949896785E-2</v>
      </c>
      <c r="J169" s="3" t="s">
        <v>4603</v>
      </c>
    </row>
    <row r="170" spans="1:10" ht="25.5">
      <c r="A170" s="3" t="s">
        <v>369</v>
      </c>
      <c r="B170" s="3" t="s">
        <v>370</v>
      </c>
      <c r="C170" s="4">
        <v>208</v>
      </c>
      <c r="D170" s="3" t="s">
        <v>58</v>
      </c>
      <c r="E170" s="3" t="s">
        <v>13</v>
      </c>
      <c r="F170" s="5">
        <v>24920.04</v>
      </c>
      <c r="G170" s="5">
        <v>19566.48</v>
      </c>
      <c r="H170" s="5">
        <f t="shared" si="4"/>
        <v>-5353.5600000000013</v>
      </c>
      <c r="I170" s="9">
        <f t="shared" si="5"/>
        <v>-0.21482951070704548</v>
      </c>
      <c r="J170" s="3" t="s">
        <v>4603</v>
      </c>
    </row>
    <row r="171" spans="1:10" ht="25.5">
      <c r="A171" s="3" t="s">
        <v>371</v>
      </c>
      <c r="B171" s="3" t="s">
        <v>372</v>
      </c>
      <c r="C171" s="4">
        <v>197</v>
      </c>
      <c r="D171" s="3" t="s">
        <v>23</v>
      </c>
      <c r="E171" s="3" t="s">
        <v>22</v>
      </c>
      <c r="F171" s="5">
        <v>41108.04</v>
      </c>
      <c r="G171" s="5">
        <v>26842.644</v>
      </c>
      <c r="H171" s="5">
        <f t="shared" si="4"/>
        <v>-14265.396000000001</v>
      </c>
      <c r="I171" s="9">
        <f t="shared" si="5"/>
        <v>-0.34702204240338386</v>
      </c>
      <c r="J171" s="3" t="s">
        <v>4603</v>
      </c>
    </row>
    <row r="172" spans="1:10" ht="51">
      <c r="A172" s="3" t="s">
        <v>373</v>
      </c>
      <c r="B172" s="3" t="s">
        <v>374</v>
      </c>
      <c r="C172" s="4">
        <v>282</v>
      </c>
      <c r="D172" s="3" t="s">
        <v>298</v>
      </c>
      <c r="E172" s="3" t="s">
        <v>9</v>
      </c>
      <c r="F172" s="5">
        <v>293233.08</v>
      </c>
      <c r="G172" s="5">
        <v>272187.603</v>
      </c>
      <c r="H172" s="5">
        <f t="shared" si="4"/>
        <v>-21045.477000000014</v>
      </c>
      <c r="I172" s="9">
        <f t="shared" si="5"/>
        <v>-7.1770473508650512E-2</v>
      </c>
      <c r="J172" s="3" t="s">
        <v>4603</v>
      </c>
    </row>
    <row r="173" spans="1:10">
      <c r="A173" s="3" t="s">
        <v>375</v>
      </c>
      <c r="B173" s="3" t="s">
        <v>376</v>
      </c>
      <c r="C173" s="4">
        <v>231</v>
      </c>
      <c r="D173" s="3" t="s">
        <v>89</v>
      </c>
      <c r="E173" s="3" t="s">
        <v>8</v>
      </c>
      <c r="F173" s="5">
        <v>17577.599999999999</v>
      </c>
      <c r="G173" s="5">
        <v>0</v>
      </c>
      <c r="H173" s="5">
        <f t="shared" si="4"/>
        <v>-17577.599999999999</v>
      </c>
      <c r="I173" s="9">
        <f t="shared" si="5"/>
        <v>-1</v>
      </c>
      <c r="J173" s="3" t="s">
        <v>4603</v>
      </c>
    </row>
    <row r="174" spans="1:10" ht="25.5">
      <c r="A174" s="3" t="s">
        <v>377</v>
      </c>
      <c r="B174" s="3" t="s">
        <v>378</v>
      </c>
      <c r="C174" s="4">
        <v>218</v>
      </c>
      <c r="D174" s="3" t="s">
        <v>155</v>
      </c>
      <c r="E174" s="3" t="s">
        <v>13</v>
      </c>
      <c r="F174" s="5">
        <v>7090.56</v>
      </c>
      <c r="G174" s="5">
        <v>0</v>
      </c>
      <c r="H174" s="5">
        <f t="shared" si="4"/>
        <v>-7090.56</v>
      </c>
      <c r="I174" s="9">
        <f t="shared" si="5"/>
        <v>-1</v>
      </c>
      <c r="J174" s="3" t="s">
        <v>4603</v>
      </c>
    </row>
    <row r="175" spans="1:10" ht="25.5">
      <c r="A175" s="3" t="s">
        <v>379</v>
      </c>
      <c r="B175" s="3" t="s">
        <v>380</v>
      </c>
      <c r="C175" s="4">
        <v>194</v>
      </c>
      <c r="D175" s="3" t="s">
        <v>179</v>
      </c>
      <c r="E175" s="3" t="s">
        <v>13</v>
      </c>
      <c r="F175" s="5">
        <v>41611.019999999997</v>
      </c>
      <c r="G175" s="5">
        <v>59829.120000000003</v>
      </c>
      <c r="H175" s="5">
        <f t="shared" si="4"/>
        <v>18218.100000000006</v>
      </c>
      <c r="I175" s="9">
        <f t="shared" si="5"/>
        <v>0.43781911618604896</v>
      </c>
      <c r="J175" s="3" t="s">
        <v>4603</v>
      </c>
    </row>
    <row r="176" spans="1:10" ht="25.5">
      <c r="A176" s="3" t="s">
        <v>381</v>
      </c>
      <c r="B176" s="3" t="s">
        <v>382</v>
      </c>
      <c r="C176" s="4">
        <v>197</v>
      </c>
      <c r="D176" s="3" t="s">
        <v>23</v>
      </c>
      <c r="E176" s="3" t="s">
        <v>22</v>
      </c>
      <c r="F176" s="5">
        <v>0</v>
      </c>
      <c r="G176" s="5">
        <v>8793.99</v>
      </c>
      <c r="H176" s="5">
        <f t="shared" si="4"/>
        <v>8793.99</v>
      </c>
      <c r="I176" s="9">
        <f t="shared" si="5"/>
        <v>0</v>
      </c>
      <c r="J176" s="3" t="s">
        <v>4604</v>
      </c>
    </row>
    <row r="177" spans="1:10" ht="25.5">
      <c r="A177" s="3" t="s">
        <v>383</v>
      </c>
      <c r="B177" s="3" t="s">
        <v>384</v>
      </c>
      <c r="C177" s="4">
        <v>218</v>
      </c>
      <c r="D177" s="3" t="s">
        <v>155</v>
      </c>
      <c r="E177" s="3" t="s">
        <v>13</v>
      </c>
      <c r="F177" s="5">
        <v>5446.92</v>
      </c>
      <c r="G177" s="5">
        <v>3195.6</v>
      </c>
      <c r="H177" s="5">
        <f t="shared" si="4"/>
        <v>-2251.3200000000002</v>
      </c>
      <c r="I177" s="9">
        <f t="shared" si="5"/>
        <v>-0.41331982110991172</v>
      </c>
      <c r="J177" s="3" t="s">
        <v>4603</v>
      </c>
    </row>
    <row r="178" spans="1:10" ht="25.5">
      <c r="A178" s="3" t="s">
        <v>385</v>
      </c>
      <c r="B178" s="3" t="s">
        <v>386</v>
      </c>
      <c r="C178" s="4">
        <v>328</v>
      </c>
      <c r="D178" s="3" t="s">
        <v>158</v>
      </c>
      <c r="E178" s="3" t="s">
        <v>22</v>
      </c>
      <c r="F178" s="5">
        <v>44832.52</v>
      </c>
      <c r="G178" s="5">
        <v>40315.199999999997</v>
      </c>
      <c r="H178" s="5">
        <f t="shared" si="4"/>
        <v>-4517.32</v>
      </c>
      <c r="I178" s="9">
        <f t="shared" si="5"/>
        <v>-0.10075989482634484</v>
      </c>
      <c r="J178" s="3" t="s">
        <v>4603</v>
      </c>
    </row>
    <row r="179" spans="1:10" ht="25.5">
      <c r="A179" s="3" t="s">
        <v>387</v>
      </c>
      <c r="B179" s="3" t="s">
        <v>388</v>
      </c>
      <c r="C179" s="4">
        <v>197</v>
      </c>
      <c r="D179" s="3" t="s">
        <v>23</v>
      </c>
      <c r="E179" s="3" t="s">
        <v>22</v>
      </c>
      <c r="F179" s="5">
        <v>13758.62</v>
      </c>
      <c r="G179" s="5">
        <v>0</v>
      </c>
      <c r="H179" s="5">
        <f t="shared" si="4"/>
        <v>-13758.62</v>
      </c>
      <c r="I179" s="9">
        <f t="shared" si="5"/>
        <v>-1</v>
      </c>
      <c r="J179" s="3" t="s">
        <v>4603</v>
      </c>
    </row>
    <row r="180" spans="1:10" ht="25.5">
      <c r="A180" s="3" t="s">
        <v>389</v>
      </c>
      <c r="B180" s="3" t="s">
        <v>390</v>
      </c>
      <c r="C180" s="4">
        <v>41</v>
      </c>
      <c r="D180" s="3" t="s">
        <v>106</v>
      </c>
      <c r="E180" s="3" t="s">
        <v>22</v>
      </c>
      <c r="F180" s="5">
        <v>15342.56</v>
      </c>
      <c r="G180" s="5">
        <v>17363.099999999999</v>
      </c>
      <c r="H180" s="5">
        <f t="shared" si="4"/>
        <v>2020.5399999999991</v>
      </c>
      <c r="I180" s="9">
        <f t="shared" si="5"/>
        <v>0.13169510173008936</v>
      </c>
      <c r="J180" s="3" t="s">
        <v>4603</v>
      </c>
    </row>
    <row r="181" spans="1:10" ht="38.25">
      <c r="A181" s="3" t="s">
        <v>391</v>
      </c>
      <c r="B181" s="3" t="s">
        <v>392</v>
      </c>
      <c r="C181" s="4">
        <v>34</v>
      </c>
      <c r="D181" s="3" t="s">
        <v>136</v>
      </c>
      <c r="E181" s="3" t="s">
        <v>30</v>
      </c>
      <c r="F181" s="5">
        <v>15046.2</v>
      </c>
      <c r="G181" s="5">
        <v>88969.89</v>
      </c>
      <c r="H181" s="5">
        <f t="shared" si="4"/>
        <v>73923.69</v>
      </c>
      <c r="I181" s="9">
        <f t="shared" si="5"/>
        <v>4.9131136100809503</v>
      </c>
      <c r="J181" s="3" t="s">
        <v>4603</v>
      </c>
    </row>
    <row r="182" spans="1:10">
      <c r="A182" s="3" t="s">
        <v>393</v>
      </c>
      <c r="B182" s="3" t="s">
        <v>394</v>
      </c>
      <c r="C182" s="4">
        <v>231</v>
      </c>
      <c r="D182" s="3" t="s">
        <v>89</v>
      </c>
      <c r="E182" s="3" t="s">
        <v>8</v>
      </c>
      <c r="F182" s="5">
        <v>0</v>
      </c>
      <c r="G182" s="5">
        <v>48730.35</v>
      </c>
      <c r="H182" s="5">
        <f t="shared" si="4"/>
        <v>48730.35</v>
      </c>
      <c r="I182" s="9">
        <f t="shared" si="5"/>
        <v>0</v>
      </c>
      <c r="J182" s="3" t="s">
        <v>4603</v>
      </c>
    </row>
    <row r="183" spans="1:10" ht="25.5">
      <c r="A183" s="3" t="s">
        <v>395</v>
      </c>
      <c r="B183" s="3" t="s">
        <v>396</v>
      </c>
      <c r="C183" s="4">
        <v>302</v>
      </c>
      <c r="D183" s="3" t="s">
        <v>303</v>
      </c>
      <c r="E183" s="3" t="s">
        <v>30</v>
      </c>
      <c r="F183" s="5">
        <v>3916.32</v>
      </c>
      <c r="G183" s="5">
        <v>0</v>
      </c>
      <c r="H183" s="5">
        <f t="shared" si="4"/>
        <v>-3916.32</v>
      </c>
      <c r="I183" s="9">
        <f t="shared" si="5"/>
        <v>-1</v>
      </c>
      <c r="J183" s="3" t="s">
        <v>4603</v>
      </c>
    </row>
    <row r="184" spans="1:10" ht="25.5">
      <c r="A184" s="3" t="s">
        <v>397</v>
      </c>
      <c r="B184" s="3" t="s">
        <v>398</v>
      </c>
      <c r="C184" s="4">
        <v>167</v>
      </c>
      <c r="D184" s="3" t="s">
        <v>335</v>
      </c>
      <c r="E184" s="3" t="s">
        <v>30</v>
      </c>
      <c r="F184" s="5">
        <v>5638.92</v>
      </c>
      <c r="G184" s="5">
        <v>0</v>
      </c>
      <c r="H184" s="5">
        <f t="shared" si="4"/>
        <v>-5638.92</v>
      </c>
      <c r="I184" s="9">
        <f t="shared" si="5"/>
        <v>-1</v>
      </c>
      <c r="J184" s="3" t="s">
        <v>4603</v>
      </c>
    </row>
    <row r="185" spans="1:10" ht="25.5">
      <c r="A185" s="3" t="s">
        <v>399</v>
      </c>
      <c r="B185" s="3" t="s">
        <v>400</v>
      </c>
      <c r="C185" s="4">
        <v>208</v>
      </c>
      <c r="D185" s="3" t="s">
        <v>58</v>
      </c>
      <c r="E185" s="3" t="s">
        <v>13</v>
      </c>
      <c r="F185" s="5">
        <v>7207.65</v>
      </c>
      <c r="G185" s="5">
        <v>3487.68</v>
      </c>
      <c r="H185" s="5">
        <f t="shared" si="4"/>
        <v>-3719.97</v>
      </c>
      <c r="I185" s="9">
        <f t="shared" si="5"/>
        <v>-0.51611412873821561</v>
      </c>
      <c r="J185" s="3" t="s">
        <v>4603</v>
      </c>
    </row>
    <row r="186" spans="1:10" ht="25.5">
      <c r="A186" s="3" t="s">
        <v>401</v>
      </c>
      <c r="B186" s="3" t="s">
        <v>402</v>
      </c>
      <c r="C186" s="4">
        <v>261</v>
      </c>
      <c r="D186" s="3" t="s">
        <v>17</v>
      </c>
      <c r="E186" s="3" t="s">
        <v>18</v>
      </c>
      <c r="F186" s="5">
        <v>9097.56</v>
      </c>
      <c r="G186" s="5">
        <v>2727</v>
      </c>
      <c r="H186" s="5">
        <f t="shared" si="4"/>
        <v>-6370.5599999999995</v>
      </c>
      <c r="I186" s="9">
        <f t="shared" si="5"/>
        <v>-0.70024929761386567</v>
      </c>
      <c r="J186" s="3" t="s">
        <v>4603</v>
      </c>
    </row>
    <row r="187" spans="1:10" ht="25.5">
      <c r="A187" s="3" t="s">
        <v>403</v>
      </c>
      <c r="B187" s="3" t="s">
        <v>404</v>
      </c>
      <c r="C187" s="4">
        <v>178</v>
      </c>
      <c r="D187" s="3" t="s">
        <v>92</v>
      </c>
      <c r="E187" s="3" t="s">
        <v>8</v>
      </c>
      <c r="F187" s="5">
        <v>109862.58</v>
      </c>
      <c r="G187" s="5">
        <v>61954.17</v>
      </c>
      <c r="H187" s="5">
        <f t="shared" si="4"/>
        <v>-47908.41</v>
      </c>
      <c r="I187" s="9">
        <f t="shared" si="5"/>
        <v>-0.43607577757594995</v>
      </c>
      <c r="J187" s="3" t="s">
        <v>4603</v>
      </c>
    </row>
    <row r="188" spans="1:10" ht="38.25">
      <c r="A188" s="3" t="s">
        <v>405</v>
      </c>
      <c r="B188" s="3" t="s">
        <v>406</v>
      </c>
      <c r="C188" s="4">
        <v>371</v>
      </c>
      <c r="D188" s="3" t="s">
        <v>29</v>
      </c>
      <c r="E188" s="3" t="s">
        <v>30</v>
      </c>
      <c r="F188" s="5">
        <v>251926.05</v>
      </c>
      <c r="G188" s="5">
        <v>0</v>
      </c>
      <c r="H188" s="5">
        <f t="shared" si="4"/>
        <v>-251926.05</v>
      </c>
      <c r="I188" s="9">
        <f t="shared" si="5"/>
        <v>-1</v>
      </c>
      <c r="J188" s="3" t="s">
        <v>4604</v>
      </c>
    </row>
    <row r="189" spans="1:10" ht="25.5">
      <c r="A189" s="3" t="s">
        <v>407</v>
      </c>
      <c r="B189" s="3" t="s">
        <v>408</v>
      </c>
      <c r="C189" s="4">
        <v>266</v>
      </c>
      <c r="D189" s="3" t="s">
        <v>111</v>
      </c>
      <c r="E189" s="3" t="s">
        <v>18</v>
      </c>
      <c r="F189" s="5">
        <v>10988.04</v>
      </c>
      <c r="G189" s="5">
        <v>0</v>
      </c>
      <c r="H189" s="5">
        <f t="shared" si="4"/>
        <v>-10988.04</v>
      </c>
      <c r="I189" s="9">
        <f t="shared" si="5"/>
        <v>-1</v>
      </c>
      <c r="J189" s="3" t="s">
        <v>4603</v>
      </c>
    </row>
    <row r="190" spans="1:10">
      <c r="A190" s="3" t="s">
        <v>409</v>
      </c>
      <c r="B190" s="3" t="s">
        <v>410</v>
      </c>
      <c r="C190" s="4">
        <v>315</v>
      </c>
      <c r="D190" s="3" t="s">
        <v>79</v>
      </c>
      <c r="E190" s="3" t="s">
        <v>8</v>
      </c>
      <c r="F190" s="5">
        <v>0</v>
      </c>
      <c r="G190" s="5">
        <v>4629.3559999999998</v>
      </c>
      <c r="H190" s="5">
        <f t="shared" si="4"/>
        <v>4629.3559999999998</v>
      </c>
      <c r="I190" s="9">
        <f t="shared" si="5"/>
        <v>0</v>
      </c>
      <c r="J190" s="3" t="s">
        <v>4603</v>
      </c>
    </row>
    <row r="191" spans="1:10" ht="25.5">
      <c r="A191" s="3" t="s">
        <v>411</v>
      </c>
      <c r="B191" s="3" t="s">
        <v>412</v>
      </c>
      <c r="C191" s="4">
        <v>194</v>
      </c>
      <c r="D191" s="3" t="s">
        <v>179</v>
      </c>
      <c r="E191" s="3" t="s">
        <v>13</v>
      </c>
      <c r="F191" s="5">
        <v>27807.72</v>
      </c>
      <c r="G191" s="5">
        <v>0</v>
      </c>
      <c r="H191" s="5">
        <f t="shared" si="4"/>
        <v>-27807.72</v>
      </c>
      <c r="I191" s="9">
        <f t="shared" si="5"/>
        <v>-1</v>
      </c>
      <c r="J191" s="3" t="s">
        <v>4603</v>
      </c>
    </row>
    <row r="192" spans="1:10">
      <c r="A192" s="3" t="s">
        <v>411</v>
      </c>
      <c r="B192" s="3" t="s">
        <v>412</v>
      </c>
      <c r="C192" s="4">
        <v>217</v>
      </c>
      <c r="D192" s="3" t="s">
        <v>253</v>
      </c>
      <c r="E192" s="3" t="s">
        <v>13</v>
      </c>
      <c r="F192" s="5">
        <v>27807.72</v>
      </c>
      <c r="G192" s="5">
        <v>0</v>
      </c>
      <c r="H192" s="5">
        <f t="shared" si="4"/>
        <v>-27807.72</v>
      </c>
      <c r="I192" s="9">
        <f t="shared" si="5"/>
        <v>-1</v>
      </c>
      <c r="J192" s="3" t="s">
        <v>4603</v>
      </c>
    </row>
    <row r="193" spans="1:10" ht="25.5">
      <c r="A193" s="3" t="s">
        <v>413</v>
      </c>
      <c r="B193" s="3" t="s">
        <v>414</v>
      </c>
      <c r="C193" s="4">
        <v>61</v>
      </c>
      <c r="D193" s="3" t="s">
        <v>114</v>
      </c>
      <c r="E193" s="3" t="s">
        <v>30</v>
      </c>
      <c r="F193" s="5">
        <v>223662.97</v>
      </c>
      <c r="G193" s="5">
        <v>186050.179</v>
      </c>
      <c r="H193" s="5">
        <f t="shared" si="4"/>
        <v>-37612.790999999997</v>
      </c>
      <c r="I193" s="9">
        <f t="shared" si="5"/>
        <v>-0.16816726970942042</v>
      </c>
      <c r="J193" s="3" t="s">
        <v>4603</v>
      </c>
    </row>
    <row r="194" spans="1:10" ht="25.5">
      <c r="A194" s="3" t="s">
        <v>415</v>
      </c>
      <c r="B194" s="3" t="s">
        <v>416</v>
      </c>
      <c r="C194" s="4">
        <v>39</v>
      </c>
      <c r="D194" s="3" t="s">
        <v>26</v>
      </c>
      <c r="E194" s="3" t="s">
        <v>9</v>
      </c>
      <c r="F194" s="5">
        <v>0</v>
      </c>
      <c r="G194" s="5">
        <v>2802</v>
      </c>
      <c r="H194" s="5">
        <f t="shared" si="4"/>
        <v>2802</v>
      </c>
      <c r="I194" s="9">
        <f t="shared" si="5"/>
        <v>0</v>
      </c>
      <c r="J194" s="3" t="s">
        <v>4603</v>
      </c>
    </row>
    <row r="195" spans="1:10">
      <c r="A195" s="3" t="s">
        <v>418</v>
      </c>
      <c r="B195" s="3" t="s">
        <v>419</v>
      </c>
      <c r="C195" s="4">
        <v>240</v>
      </c>
      <c r="D195" s="3" t="s">
        <v>152</v>
      </c>
      <c r="E195" s="3" t="s">
        <v>13</v>
      </c>
      <c r="F195" s="5">
        <v>0</v>
      </c>
      <c r="G195" s="5">
        <v>4075.08</v>
      </c>
      <c r="H195" s="5">
        <f t="shared" ref="H195:H258" si="6">G195-F195</f>
        <v>4075.08</v>
      </c>
      <c r="I195" s="9">
        <f t="shared" ref="I195:I258" si="7">IFERROR(G195/F195-1,0)</f>
        <v>0</v>
      </c>
      <c r="J195" s="3" t="s">
        <v>4603</v>
      </c>
    </row>
    <row r="196" spans="1:10">
      <c r="A196" s="3" t="s">
        <v>420</v>
      </c>
      <c r="B196" s="3" t="s">
        <v>421</v>
      </c>
      <c r="C196" s="4">
        <v>167</v>
      </c>
      <c r="D196" s="3" t="s">
        <v>335</v>
      </c>
      <c r="E196" s="3" t="s">
        <v>30</v>
      </c>
      <c r="F196" s="5">
        <v>0</v>
      </c>
      <c r="G196" s="5">
        <v>13144.62</v>
      </c>
      <c r="H196" s="5">
        <f t="shared" si="6"/>
        <v>13144.62</v>
      </c>
      <c r="I196" s="9">
        <f t="shared" si="7"/>
        <v>0</v>
      </c>
      <c r="J196" s="3" t="s">
        <v>4603</v>
      </c>
    </row>
    <row r="197" spans="1:10" ht="25.5">
      <c r="A197" s="3" t="s">
        <v>422</v>
      </c>
      <c r="B197" s="3" t="s">
        <v>423</v>
      </c>
      <c r="C197" s="4">
        <v>267</v>
      </c>
      <c r="D197" s="3" t="s">
        <v>417</v>
      </c>
      <c r="E197" s="3" t="s">
        <v>13</v>
      </c>
      <c r="F197" s="5">
        <v>0</v>
      </c>
      <c r="G197" s="5">
        <v>114829.74</v>
      </c>
      <c r="H197" s="5">
        <f t="shared" si="6"/>
        <v>114829.74</v>
      </c>
      <c r="I197" s="9">
        <f t="shared" si="7"/>
        <v>0</v>
      </c>
      <c r="J197" s="3" t="s">
        <v>4603</v>
      </c>
    </row>
    <row r="198" spans="1:10" ht="25.5">
      <c r="A198" s="3" t="s">
        <v>424</v>
      </c>
      <c r="B198" s="3" t="s">
        <v>425</v>
      </c>
      <c r="C198" s="4">
        <v>328</v>
      </c>
      <c r="D198" s="3" t="s">
        <v>158</v>
      </c>
      <c r="E198" s="3" t="s">
        <v>22</v>
      </c>
      <c r="F198" s="5">
        <v>138171.84</v>
      </c>
      <c r="G198" s="5">
        <v>50046.444000000003</v>
      </c>
      <c r="H198" s="5">
        <f t="shared" si="6"/>
        <v>-88125.395999999993</v>
      </c>
      <c r="I198" s="9">
        <f t="shared" si="7"/>
        <v>-0.63779563187404897</v>
      </c>
      <c r="J198" s="3" t="s">
        <v>4603</v>
      </c>
    </row>
    <row r="199" spans="1:10" ht="25.5">
      <c r="A199" s="3" t="s">
        <v>426</v>
      </c>
      <c r="B199" s="3" t="s">
        <v>427</v>
      </c>
      <c r="C199" s="4">
        <v>23</v>
      </c>
      <c r="D199" s="3" t="s">
        <v>71</v>
      </c>
      <c r="E199" s="3" t="s">
        <v>8</v>
      </c>
      <c r="F199" s="5">
        <v>50872.95</v>
      </c>
      <c r="G199" s="5">
        <v>46659.67</v>
      </c>
      <c r="H199" s="5">
        <f t="shared" si="6"/>
        <v>-4213.2799999999988</v>
      </c>
      <c r="I199" s="9">
        <f t="shared" si="7"/>
        <v>-8.2819651700953067E-2</v>
      </c>
      <c r="J199" s="3" t="s">
        <v>4603</v>
      </c>
    </row>
    <row r="200" spans="1:10" ht="25.5">
      <c r="A200" s="3" t="s">
        <v>428</v>
      </c>
      <c r="B200" s="3" t="s">
        <v>429</v>
      </c>
      <c r="C200" s="4">
        <v>261</v>
      </c>
      <c r="D200" s="3" t="s">
        <v>17</v>
      </c>
      <c r="E200" s="3" t="s">
        <v>18</v>
      </c>
      <c r="F200" s="5">
        <v>37831.26</v>
      </c>
      <c r="G200" s="5">
        <v>53512.203999999998</v>
      </c>
      <c r="H200" s="5">
        <f t="shared" si="6"/>
        <v>15680.943999999996</v>
      </c>
      <c r="I200" s="9">
        <f t="shared" si="7"/>
        <v>0.41449700591521399</v>
      </c>
      <c r="J200" s="3" t="s">
        <v>4603</v>
      </c>
    </row>
    <row r="201" spans="1:10" ht="25.5">
      <c r="A201" s="3" t="s">
        <v>430</v>
      </c>
      <c r="B201" s="3" t="s">
        <v>431</v>
      </c>
      <c r="C201" s="4">
        <v>261</v>
      </c>
      <c r="D201" s="3" t="s">
        <v>17</v>
      </c>
      <c r="E201" s="3" t="s">
        <v>18</v>
      </c>
      <c r="F201" s="5">
        <v>18123.18</v>
      </c>
      <c r="G201" s="5">
        <v>37062.239999999998</v>
      </c>
      <c r="H201" s="5">
        <f t="shared" si="6"/>
        <v>18939.059999999998</v>
      </c>
      <c r="I201" s="9">
        <f t="shared" si="7"/>
        <v>1.0450185894528441</v>
      </c>
      <c r="J201" s="3" t="s">
        <v>4603</v>
      </c>
    </row>
    <row r="202" spans="1:10" ht="38.25">
      <c r="A202" s="3" t="s">
        <v>432</v>
      </c>
      <c r="B202" s="3" t="s">
        <v>433</v>
      </c>
      <c r="C202" s="4">
        <v>371</v>
      </c>
      <c r="D202" s="3" t="s">
        <v>29</v>
      </c>
      <c r="E202" s="3" t="s">
        <v>30</v>
      </c>
      <c r="F202" s="5">
        <v>41366.879999999997</v>
      </c>
      <c r="G202" s="5">
        <v>22165.02</v>
      </c>
      <c r="H202" s="5">
        <f t="shared" si="6"/>
        <v>-19201.859999999997</v>
      </c>
      <c r="I202" s="9">
        <f t="shared" si="7"/>
        <v>-0.46418439099105369</v>
      </c>
      <c r="J202" s="3" t="s">
        <v>4603</v>
      </c>
    </row>
    <row r="203" spans="1:10" ht="25.5">
      <c r="A203" s="3" t="s">
        <v>434</v>
      </c>
      <c r="B203" s="3" t="s">
        <v>435</v>
      </c>
      <c r="C203" s="4">
        <v>39</v>
      </c>
      <c r="D203" s="3" t="s">
        <v>26</v>
      </c>
      <c r="E203" s="3" t="s">
        <v>9</v>
      </c>
      <c r="F203" s="5">
        <v>165975.85999999999</v>
      </c>
      <c r="G203" s="5">
        <v>142167.01999999999</v>
      </c>
      <c r="H203" s="5">
        <f t="shared" si="6"/>
        <v>-23808.839999999997</v>
      </c>
      <c r="I203" s="9">
        <f t="shared" si="7"/>
        <v>-0.14344760738097695</v>
      </c>
      <c r="J203" s="3" t="s">
        <v>4603</v>
      </c>
    </row>
    <row r="204" spans="1:10" ht="25.5">
      <c r="A204" s="3" t="s">
        <v>436</v>
      </c>
      <c r="B204" s="3" t="s">
        <v>437</v>
      </c>
      <c r="C204" s="4">
        <v>74</v>
      </c>
      <c r="D204" s="3" t="s">
        <v>86</v>
      </c>
      <c r="E204" s="3" t="s">
        <v>8</v>
      </c>
      <c r="F204" s="5">
        <v>40098.33</v>
      </c>
      <c r="G204" s="5">
        <v>74949.952000000005</v>
      </c>
      <c r="H204" s="5">
        <f t="shared" si="6"/>
        <v>34851.622000000003</v>
      </c>
      <c r="I204" s="9">
        <f t="shared" si="7"/>
        <v>0.86915395229676662</v>
      </c>
      <c r="J204" s="3" t="s">
        <v>4603</v>
      </c>
    </row>
    <row r="205" spans="1:10" ht="25.5">
      <c r="A205" s="3" t="s">
        <v>438</v>
      </c>
      <c r="B205" s="3" t="s">
        <v>439</v>
      </c>
      <c r="C205" s="4">
        <v>194</v>
      </c>
      <c r="D205" s="3" t="s">
        <v>179</v>
      </c>
      <c r="E205" s="3" t="s">
        <v>13</v>
      </c>
      <c r="F205" s="5">
        <v>0</v>
      </c>
      <c r="G205" s="5">
        <v>14832.12</v>
      </c>
      <c r="H205" s="5">
        <f t="shared" si="6"/>
        <v>14832.12</v>
      </c>
      <c r="I205" s="9">
        <f t="shared" si="7"/>
        <v>0</v>
      </c>
      <c r="J205" s="3" t="s">
        <v>4603</v>
      </c>
    </row>
    <row r="206" spans="1:10" ht="25.5">
      <c r="A206" s="3" t="s">
        <v>440</v>
      </c>
      <c r="B206" s="3" t="s">
        <v>441</v>
      </c>
      <c r="C206" s="4">
        <v>74</v>
      </c>
      <c r="D206" s="3" t="s">
        <v>86</v>
      </c>
      <c r="E206" s="3" t="s">
        <v>8</v>
      </c>
      <c r="F206" s="5">
        <v>8008.8</v>
      </c>
      <c r="G206" s="5">
        <v>13708.5</v>
      </c>
      <c r="H206" s="5">
        <f t="shared" si="6"/>
        <v>5699.7</v>
      </c>
      <c r="I206" s="9">
        <f t="shared" si="7"/>
        <v>0.7116796523823794</v>
      </c>
      <c r="J206" s="3" t="s">
        <v>4603</v>
      </c>
    </row>
    <row r="207" spans="1:10" ht="25.5">
      <c r="A207" s="3" t="s">
        <v>442</v>
      </c>
      <c r="B207" s="3" t="s">
        <v>443</v>
      </c>
      <c r="C207" s="4">
        <v>261</v>
      </c>
      <c r="D207" s="3" t="s">
        <v>17</v>
      </c>
      <c r="E207" s="3" t="s">
        <v>18</v>
      </c>
      <c r="F207" s="5">
        <v>0</v>
      </c>
      <c r="G207" s="5">
        <v>16321.5</v>
      </c>
      <c r="H207" s="5">
        <f t="shared" si="6"/>
        <v>16321.5</v>
      </c>
      <c r="I207" s="9">
        <f t="shared" si="7"/>
        <v>0</v>
      </c>
      <c r="J207" s="3" t="s">
        <v>4603</v>
      </c>
    </row>
    <row r="208" spans="1:10" ht="25.5">
      <c r="A208" s="3" t="s">
        <v>444</v>
      </c>
      <c r="B208" s="3" t="s">
        <v>445</v>
      </c>
      <c r="C208" s="4">
        <v>218</v>
      </c>
      <c r="D208" s="3" t="s">
        <v>155</v>
      </c>
      <c r="E208" s="3" t="s">
        <v>13</v>
      </c>
      <c r="F208" s="5">
        <v>0</v>
      </c>
      <c r="G208" s="5">
        <v>165395.04</v>
      </c>
      <c r="H208" s="5">
        <f t="shared" si="6"/>
        <v>165395.04</v>
      </c>
      <c r="I208" s="9">
        <f t="shared" si="7"/>
        <v>0</v>
      </c>
      <c r="J208" s="3" t="s">
        <v>4603</v>
      </c>
    </row>
    <row r="209" spans="1:10" ht="25.5">
      <c r="A209" s="3" t="s">
        <v>446</v>
      </c>
      <c r="B209" s="3" t="s">
        <v>447</v>
      </c>
      <c r="C209" s="4">
        <v>31</v>
      </c>
      <c r="D209" s="3" t="s">
        <v>172</v>
      </c>
      <c r="E209" s="3" t="s">
        <v>13</v>
      </c>
      <c r="F209" s="5">
        <v>4223.04</v>
      </c>
      <c r="G209" s="5">
        <v>6924</v>
      </c>
      <c r="H209" s="5">
        <f t="shared" si="6"/>
        <v>2700.96</v>
      </c>
      <c r="I209" s="9">
        <f t="shared" si="7"/>
        <v>0.63957717663105251</v>
      </c>
      <c r="J209" s="3" t="s">
        <v>4603</v>
      </c>
    </row>
    <row r="210" spans="1:10">
      <c r="A210" s="3" t="s">
        <v>448</v>
      </c>
      <c r="B210" s="3" t="s">
        <v>449</v>
      </c>
      <c r="C210" s="4">
        <v>315</v>
      </c>
      <c r="D210" s="3" t="s">
        <v>79</v>
      </c>
      <c r="E210" s="3" t="s">
        <v>8</v>
      </c>
      <c r="F210" s="5">
        <v>38641.199999999997</v>
      </c>
      <c r="G210" s="5">
        <v>21963.026000000002</v>
      </c>
      <c r="H210" s="5">
        <f t="shared" si="6"/>
        <v>-16678.173999999995</v>
      </c>
      <c r="I210" s="9">
        <f t="shared" si="7"/>
        <v>-0.43161635767005158</v>
      </c>
      <c r="J210" s="3" t="s">
        <v>4603</v>
      </c>
    </row>
    <row r="211" spans="1:10">
      <c r="A211" s="3" t="s">
        <v>450</v>
      </c>
      <c r="B211" s="3" t="s">
        <v>451</v>
      </c>
      <c r="C211" s="4">
        <v>315</v>
      </c>
      <c r="D211" s="3" t="s">
        <v>79</v>
      </c>
      <c r="E211" s="3" t="s">
        <v>8</v>
      </c>
      <c r="F211" s="5">
        <v>12225.69</v>
      </c>
      <c r="G211" s="5">
        <v>0</v>
      </c>
      <c r="H211" s="5">
        <f t="shared" si="6"/>
        <v>-12225.69</v>
      </c>
      <c r="I211" s="9">
        <f t="shared" si="7"/>
        <v>-1</v>
      </c>
      <c r="J211" s="3" t="s">
        <v>4603</v>
      </c>
    </row>
    <row r="212" spans="1:10" ht="25.5">
      <c r="A212" s="3" t="s">
        <v>452</v>
      </c>
      <c r="B212" s="3" t="s">
        <v>453</v>
      </c>
      <c r="C212" s="4">
        <v>61</v>
      </c>
      <c r="D212" s="3" t="s">
        <v>114</v>
      </c>
      <c r="E212" s="3" t="s">
        <v>30</v>
      </c>
      <c r="F212" s="5">
        <v>127257</v>
      </c>
      <c r="G212" s="5">
        <v>0</v>
      </c>
      <c r="H212" s="5">
        <f t="shared" si="6"/>
        <v>-127257</v>
      </c>
      <c r="I212" s="9">
        <f t="shared" si="7"/>
        <v>-1</v>
      </c>
      <c r="J212" s="3" t="s">
        <v>4603</v>
      </c>
    </row>
    <row r="213" spans="1:10" ht="25.5">
      <c r="A213" s="3" t="s">
        <v>454</v>
      </c>
      <c r="B213" s="3" t="s">
        <v>455</v>
      </c>
      <c r="C213" s="4">
        <v>218</v>
      </c>
      <c r="D213" s="3" t="s">
        <v>155</v>
      </c>
      <c r="E213" s="3" t="s">
        <v>13</v>
      </c>
      <c r="F213" s="5">
        <v>0</v>
      </c>
      <c r="G213" s="5">
        <v>10559.67</v>
      </c>
      <c r="H213" s="5">
        <f t="shared" si="6"/>
        <v>10559.67</v>
      </c>
      <c r="I213" s="9">
        <f t="shared" si="7"/>
        <v>0</v>
      </c>
      <c r="J213" s="3" t="s">
        <v>4603</v>
      </c>
    </row>
    <row r="214" spans="1:10" ht="25.5">
      <c r="A214" s="3" t="s">
        <v>456</v>
      </c>
      <c r="B214" s="3" t="s">
        <v>457</v>
      </c>
      <c r="C214" s="4">
        <v>39</v>
      </c>
      <c r="D214" s="3" t="s">
        <v>26</v>
      </c>
      <c r="E214" s="3" t="s">
        <v>9</v>
      </c>
      <c r="F214" s="5">
        <v>156898.71</v>
      </c>
      <c r="G214" s="5">
        <v>0</v>
      </c>
      <c r="H214" s="5">
        <f t="shared" si="6"/>
        <v>-156898.71</v>
      </c>
      <c r="I214" s="9">
        <f t="shared" si="7"/>
        <v>-1</v>
      </c>
      <c r="J214" s="3" t="s">
        <v>4603</v>
      </c>
    </row>
    <row r="215" spans="1:10" ht="25.5">
      <c r="A215" s="3" t="s">
        <v>458</v>
      </c>
      <c r="B215" s="3" t="s">
        <v>459</v>
      </c>
      <c r="C215" s="4">
        <v>187</v>
      </c>
      <c r="D215" s="3" t="s">
        <v>460</v>
      </c>
      <c r="E215" s="3" t="s">
        <v>8</v>
      </c>
      <c r="F215" s="5">
        <v>14637.9</v>
      </c>
      <c r="G215" s="5">
        <v>8981.2800000000007</v>
      </c>
      <c r="H215" s="5">
        <f t="shared" si="6"/>
        <v>-5656.619999999999</v>
      </c>
      <c r="I215" s="9">
        <f t="shared" si="7"/>
        <v>-0.38643657901748196</v>
      </c>
      <c r="J215" s="3" t="s">
        <v>4603</v>
      </c>
    </row>
    <row r="216" spans="1:10">
      <c r="A216" s="3" t="s">
        <v>461</v>
      </c>
      <c r="B216" s="3" t="s">
        <v>462</v>
      </c>
      <c r="C216" s="4">
        <v>315</v>
      </c>
      <c r="D216" s="3" t="s">
        <v>79</v>
      </c>
      <c r="E216" s="3" t="s">
        <v>8</v>
      </c>
      <c r="F216" s="5">
        <v>3337.77</v>
      </c>
      <c r="G216" s="5">
        <v>6947.1840000000002</v>
      </c>
      <c r="H216" s="5">
        <f t="shared" si="6"/>
        <v>3609.4140000000002</v>
      </c>
      <c r="I216" s="9">
        <f t="shared" si="7"/>
        <v>1.0813848767290737</v>
      </c>
      <c r="J216" s="3" t="s">
        <v>4603</v>
      </c>
    </row>
    <row r="217" spans="1:10" ht="25.5">
      <c r="A217" s="3" t="s">
        <v>463</v>
      </c>
      <c r="B217" s="3" t="s">
        <v>464</v>
      </c>
      <c r="C217" s="4">
        <v>327</v>
      </c>
      <c r="D217" s="3" t="s">
        <v>76</v>
      </c>
      <c r="E217" s="3" t="s">
        <v>8</v>
      </c>
      <c r="F217" s="5">
        <v>9778.2000000000007</v>
      </c>
      <c r="G217" s="5">
        <v>4581.4799999999996</v>
      </c>
      <c r="H217" s="5">
        <f t="shared" si="6"/>
        <v>-5196.7200000000012</v>
      </c>
      <c r="I217" s="9">
        <f t="shared" si="7"/>
        <v>-0.53145977787322829</v>
      </c>
      <c r="J217" s="3" t="s">
        <v>4603</v>
      </c>
    </row>
    <row r="218" spans="1:10">
      <c r="A218" s="3" t="s">
        <v>465</v>
      </c>
      <c r="B218" s="3" t="s">
        <v>466</v>
      </c>
      <c r="C218" s="4">
        <v>315</v>
      </c>
      <c r="D218" s="3" t="s">
        <v>79</v>
      </c>
      <c r="E218" s="3" t="s">
        <v>8</v>
      </c>
      <c r="F218" s="5">
        <v>3202.2</v>
      </c>
      <c r="G218" s="5">
        <v>13409.378000000001</v>
      </c>
      <c r="H218" s="5">
        <f t="shared" si="6"/>
        <v>10207.178</v>
      </c>
      <c r="I218" s="9">
        <f t="shared" si="7"/>
        <v>3.1875516832177881</v>
      </c>
      <c r="J218" s="3" t="s">
        <v>4603</v>
      </c>
    </row>
    <row r="219" spans="1:10" ht="25.5">
      <c r="A219" s="3" t="s">
        <v>467</v>
      </c>
      <c r="B219" s="3" t="s">
        <v>468</v>
      </c>
      <c r="C219" s="4">
        <v>327</v>
      </c>
      <c r="D219" s="3" t="s">
        <v>76</v>
      </c>
      <c r="E219" s="3" t="s">
        <v>8</v>
      </c>
      <c r="F219" s="5">
        <v>14787.81</v>
      </c>
      <c r="G219" s="5">
        <v>31281.24</v>
      </c>
      <c r="H219" s="5">
        <f t="shared" si="6"/>
        <v>16493.43</v>
      </c>
      <c r="I219" s="9">
        <f t="shared" si="7"/>
        <v>1.1153395938952424</v>
      </c>
      <c r="J219" s="3" t="s">
        <v>4603</v>
      </c>
    </row>
    <row r="220" spans="1:10" ht="25.5">
      <c r="A220" s="3" t="s">
        <v>469</v>
      </c>
      <c r="B220" s="3" t="s">
        <v>470</v>
      </c>
      <c r="C220" s="4">
        <v>187</v>
      </c>
      <c r="D220" s="3" t="s">
        <v>460</v>
      </c>
      <c r="E220" s="3" t="s">
        <v>8</v>
      </c>
      <c r="F220" s="5">
        <v>4823.28</v>
      </c>
      <c r="G220" s="5">
        <v>6015.72</v>
      </c>
      <c r="H220" s="5">
        <f t="shared" si="6"/>
        <v>1192.4400000000005</v>
      </c>
      <c r="I220" s="9">
        <f t="shared" si="7"/>
        <v>0.24722595412250592</v>
      </c>
      <c r="J220" s="3" t="s">
        <v>4603</v>
      </c>
    </row>
    <row r="221" spans="1:10" ht="25.5">
      <c r="A221" s="3" t="s">
        <v>471</v>
      </c>
      <c r="B221" s="3" t="s">
        <v>472</v>
      </c>
      <c r="C221" s="4">
        <v>74</v>
      </c>
      <c r="D221" s="3" t="s">
        <v>86</v>
      </c>
      <c r="E221" s="3" t="s">
        <v>8</v>
      </c>
      <c r="F221" s="5">
        <v>215333.19</v>
      </c>
      <c r="G221" s="5">
        <v>126412.90300000001</v>
      </c>
      <c r="H221" s="5">
        <f t="shared" si="6"/>
        <v>-88920.286999999997</v>
      </c>
      <c r="I221" s="9">
        <f t="shared" si="7"/>
        <v>-0.41294278415696162</v>
      </c>
      <c r="J221" s="3" t="s">
        <v>4603</v>
      </c>
    </row>
    <row r="222" spans="1:10">
      <c r="A222" s="3" t="s">
        <v>473</v>
      </c>
      <c r="B222" s="3" t="s">
        <v>474</v>
      </c>
      <c r="C222" s="4">
        <v>315</v>
      </c>
      <c r="D222" s="3" t="s">
        <v>79</v>
      </c>
      <c r="E222" s="3" t="s">
        <v>8</v>
      </c>
      <c r="F222" s="5">
        <v>0</v>
      </c>
      <c r="G222" s="5">
        <v>10711.755999999999</v>
      </c>
      <c r="H222" s="5">
        <f t="shared" si="6"/>
        <v>10711.755999999999</v>
      </c>
      <c r="I222" s="9">
        <f t="shared" si="7"/>
        <v>0</v>
      </c>
      <c r="J222" s="3" t="s">
        <v>4603</v>
      </c>
    </row>
    <row r="223" spans="1:10" ht="25.5">
      <c r="A223" s="3" t="s">
        <v>475</v>
      </c>
      <c r="B223" s="3" t="s">
        <v>476</v>
      </c>
      <c r="C223" s="4">
        <v>327</v>
      </c>
      <c r="D223" s="3" t="s">
        <v>76</v>
      </c>
      <c r="E223" s="3" t="s">
        <v>8</v>
      </c>
      <c r="F223" s="5">
        <v>9367.41</v>
      </c>
      <c r="G223" s="5">
        <v>0</v>
      </c>
      <c r="H223" s="5">
        <f t="shared" si="6"/>
        <v>-9367.41</v>
      </c>
      <c r="I223" s="9">
        <f t="shared" si="7"/>
        <v>-1</v>
      </c>
      <c r="J223" s="3" t="s">
        <v>4603</v>
      </c>
    </row>
    <row r="224" spans="1:10">
      <c r="A224" s="3" t="s">
        <v>477</v>
      </c>
      <c r="B224" s="3" t="s">
        <v>478</v>
      </c>
      <c r="C224" s="4">
        <v>217</v>
      </c>
      <c r="D224" s="3" t="s">
        <v>253</v>
      </c>
      <c r="E224" s="3" t="s">
        <v>13</v>
      </c>
      <c r="F224" s="5">
        <v>23041.93</v>
      </c>
      <c r="G224" s="5">
        <v>16854.03</v>
      </c>
      <c r="H224" s="5">
        <f t="shared" si="6"/>
        <v>-6187.9000000000015</v>
      </c>
      <c r="I224" s="9">
        <f t="shared" si="7"/>
        <v>-0.26854955292373517</v>
      </c>
      <c r="J224" s="3" t="s">
        <v>4603</v>
      </c>
    </row>
    <row r="225" spans="1:10">
      <c r="A225" s="3" t="s">
        <v>479</v>
      </c>
      <c r="B225" s="3" t="s">
        <v>480</v>
      </c>
      <c r="C225" s="4">
        <v>217</v>
      </c>
      <c r="D225" s="3" t="s">
        <v>253</v>
      </c>
      <c r="E225" s="3" t="s">
        <v>13</v>
      </c>
      <c r="F225" s="5">
        <v>11179.65</v>
      </c>
      <c r="G225" s="5">
        <v>0</v>
      </c>
      <c r="H225" s="5">
        <f t="shared" si="6"/>
        <v>-11179.65</v>
      </c>
      <c r="I225" s="9">
        <f t="shared" si="7"/>
        <v>-1</v>
      </c>
      <c r="J225" s="3" t="s">
        <v>4603</v>
      </c>
    </row>
    <row r="226" spans="1:10">
      <c r="A226" s="3" t="s">
        <v>481</v>
      </c>
      <c r="B226" s="3" t="s">
        <v>482</v>
      </c>
      <c r="C226" s="4">
        <v>217</v>
      </c>
      <c r="D226" s="3" t="s">
        <v>253</v>
      </c>
      <c r="E226" s="3" t="s">
        <v>13</v>
      </c>
      <c r="F226" s="5">
        <v>110495.16</v>
      </c>
      <c r="G226" s="5">
        <v>11760</v>
      </c>
      <c r="H226" s="5">
        <f t="shared" si="6"/>
        <v>-98735.16</v>
      </c>
      <c r="I226" s="9">
        <f t="shared" si="7"/>
        <v>-0.89356999890311939</v>
      </c>
      <c r="J226" s="3" t="s">
        <v>4603</v>
      </c>
    </row>
    <row r="227" spans="1:10" ht="25.5">
      <c r="A227" s="3" t="s">
        <v>483</v>
      </c>
      <c r="B227" s="3" t="s">
        <v>484</v>
      </c>
      <c r="C227" s="4">
        <v>218</v>
      </c>
      <c r="D227" s="3" t="s">
        <v>155</v>
      </c>
      <c r="E227" s="3" t="s">
        <v>13</v>
      </c>
      <c r="F227" s="5">
        <v>7270.56</v>
      </c>
      <c r="G227" s="5">
        <v>7270.68</v>
      </c>
      <c r="H227" s="5">
        <f t="shared" si="6"/>
        <v>0.11999999999989086</v>
      </c>
      <c r="I227" s="9">
        <f t="shared" si="7"/>
        <v>1.6504918465720664E-5</v>
      </c>
      <c r="J227" s="3" t="s">
        <v>4603</v>
      </c>
    </row>
    <row r="228" spans="1:10" ht="25.5">
      <c r="A228" s="3" t="s">
        <v>485</v>
      </c>
      <c r="B228" s="3" t="s">
        <v>486</v>
      </c>
      <c r="C228" s="4">
        <v>218</v>
      </c>
      <c r="D228" s="3" t="s">
        <v>155</v>
      </c>
      <c r="E228" s="3" t="s">
        <v>13</v>
      </c>
      <c r="F228" s="5">
        <v>3275.4</v>
      </c>
      <c r="G228" s="5">
        <v>0</v>
      </c>
      <c r="H228" s="5">
        <f t="shared" si="6"/>
        <v>-3275.4</v>
      </c>
      <c r="I228" s="9">
        <f t="shared" si="7"/>
        <v>-1</v>
      </c>
      <c r="J228" s="3" t="s">
        <v>4603</v>
      </c>
    </row>
    <row r="229" spans="1:10" ht="25.5">
      <c r="A229" s="3" t="s">
        <v>487</v>
      </c>
      <c r="B229" s="3" t="s">
        <v>488</v>
      </c>
      <c r="C229" s="4">
        <v>218</v>
      </c>
      <c r="D229" s="3" t="s">
        <v>155</v>
      </c>
      <c r="E229" s="3" t="s">
        <v>13</v>
      </c>
      <c r="F229" s="5">
        <v>14586.3</v>
      </c>
      <c r="G229" s="5">
        <v>8016</v>
      </c>
      <c r="H229" s="5">
        <f t="shared" si="6"/>
        <v>-6570.2999999999993</v>
      </c>
      <c r="I229" s="9">
        <f t="shared" si="7"/>
        <v>-0.45044322412126447</v>
      </c>
      <c r="J229" s="3" t="s">
        <v>4603</v>
      </c>
    </row>
    <row r="230" spans="1:10" ht="25.5">
      <c r="A230" s="3" t="s">
        <v>489</v>
      </c>
      <c r="B230" s="3" t="s">
        <v>490</v>
      </c>
      <c r="C230" s="4">
        <v>218</v>
      </c>
      <c r="D230" s="3" t="s">
        <v>155</v>
      </c>
      <c r="E230" s="3" t="s">
        <v>13</v>
      </c>
      <c r="F230" s="5">
        <v>9598.08</v>
      </c>
      <c r="G230" s="5">
        <v>7616.4</v>
      </c>
      <c r="H230" s="5">
        <f t="shared" si="6"/>
        <v>-1981.6800000000003</v>
      </c>
      <c r="I230" s="9">
        <f t="shared" si="7"/>
        <v>-0.20646629325865173</v>
      </c>
      <c r="J230" s="3" t="s">
        <v>4603</v>
      </c>
    </row>
    <row r="231" spans="1:10" ht="25.5">
      <c r="A231" s="3" t="s">
        <v>491</v>
      </c>
      <c r="B231" s="3" t="s">
        <v>492</v>
      </c>
      <c r="C231" s="4">
        <v>218</v>
      </c>
      <c r="D231" s="3" t="s">
        <v>155</v>
      </c>
      <c r="E231" s="3" t="s">
        <v>13</v>
      </c>
      <c r="F231" s="5">
        <v>39910.199999999997</v>
      </c>
      <c r="G231" s="5">
        <v>11504.16</v>
      </c>
      <c r="H231" s="5">
        <f t="shared" si="6"/>
        <v>-28406.039999999997</v>
      </c>
      <c r="I231" s="9">
        <f t="shared" si="7"/>
        <v>-0.7117488762271299</v>
      </c>
      <c r="J231" s="3" t="s">
        <v>4603</v>
      </c>
    </row>
    <row r="232" spans="1:10" ht="25.5">
      <c r="A232" s="3" t="s">
        <v>493</v>
      </c>
      <c r="B232" s="3" t="s">
        <v>494</v>
      </c>
      <c r="C232" s="4">
        <v>266</v>
      </c>
      <c r="D232" s="3" t="s">
        <v>111</v>
      </c>
      <c r="E232" s="3" t="s">
        <v>18</v>
      </c>
      <c r="F232" s="5">
        <v>13648.8</v>
      </c>
      <c r="G232" s="5">
        <v>0</v>
      </c>
      <c r="H232" s="5">
        <f t="shared" si="6"/>
        <v>-13648.8</v>
      </c>
      <c r="I232" s="9">
        <f t="shared" si="7"/>
        <v>-1</v>
      </c>
      <c r="J232" s="3" t="s">
        <v>4603</v>
      </c>
    </row>
    <row r="233" spans="1:10" ht="25.5">
      <c r="A233" s="3" t="s">
        <v>495</v>
      </c>
      <c r="B233" s="3" t="s">
        <v>496</v>
      </c>
      <c r="C233" s="4">
        <v>267</v>
      </c>
      <c r="D233" s="3" t="s">
        <v>417</v>
      </c>
      <c r="E233" s="3" t="s">
        <v>13</v>
      </c>
      <c r="F233" s="5">
        <v>0</v>
      </c>
      <c r="G233" s="5">
        <v>8100.12</v>
      </c>
      <c r="H233" s="5">
        <f t="shared" si="6"/>
        <v>8100.12</v>
      </c>
      <c r="I233" s="9">
        <f t="shared" si="7"/>
        <v>0</v>
      </c>
      <c r="J233" s="3" t="s">
        <v>4603</v>
      </c>
    </row>
    <row r="234" spans="1:10" ht="25.5">
      <c r="A234" s="3" t="s">
        <v>497</v>
      </c>
      <c r="B234" s="3" t="s">
        <v>498</v>
      </c>
      <c r="C234" s="4">
        <v>267</v>
      </c>
      <c r="D234" s="3" t="s">
        <v>417</v>
      </c>
      <c r="E234" s="3" t="s">
        <v>13</v>
      </c>
      <c r="F234" s="5">
        <v>3096.03</v>
      </c>
      <c r="G234" s="5">
        <v>0</v>
      </c>
      <c r="H234" s="5">
        <f t="shared" si="6"/>
        <v>-3096.03</v>
      </c>
      <c r="I234" s="9">
        <f t="shared" si="7"/>
        <v>-1</v>
      </c>
      <c r="J234" s="3" t="s">
        <v>4603</v>
      </c>
    </row>
    <row r="235" spans="1:10" ht="25.5">
      <c r="A235" s="3" t="s">
        <v>499</v>
      </c>
      <c r="B235" s="3" t="s">
        <v>500</v>
      </c>
      <c r="C235" s="4">
        <v>267</v>
      </c>
      <c r="D235" s="3" t="s">
        <v>417</v>
      </c>
      <c r="E235" s="3" t="s">
        <v>13</v>
      </c>
      <c r="F235" s="5">
        <v>0</v>
      </c>
      <c r="G235" s="5">
        <v>14117.76</v>
      </c>
      <c r="H235" s="5">
        <f t="shared" si="6"/>
        <v>14117.76</v>
      </c>
      <c r="I235" s="9">
        <f t="shared" si="7"/>
        <v>0</v>
      </c>
      <c r="J235" s="3" t="s">
        <v>4603</v>
      </c>
    </row>
    <row r="236" spans="1:10" ht="25.5">
      <c r="A236" s="3" t="s">
        <v>501</v>
      </c>
      <c r="B236" s="3" t="s">
        <v>502</v>
      </c>
      <c r="C236" s="4">
        <v>267</v>
      </c>
      <c r="D236" s="3" t="s">
        <v>417</v>
      </c>
      <c r="E236" s="3" t="s">
        <v>13</v>
      </c>
      <c r="F236" s="5">
        <v>7636.2</v>
      </c>
      <c r="G236" s="5">
        <v>0</v>
      </c>
      <c r="H236" s="5">
        <f t="shared" si="6"/>
        <v>-7636.2</v>
      </c>
      <c r="I236" s="9">
        <f t="shared" si="7"/>
        <v>-1</v>
      </c>
      <c r="J236" s="3" t="s">
        <v>4603</v>
      </c>
    </row>
    <row r="237" spans="1:10" ht="25.5">
      <c r="A237" s="3" t="s">
        <v>503</v>
      </c>
      <c r="B237" s="3" t="s">
        <v>504</v>
      </c>
      <c r="C237" s="4">
        <v>218</v>
      </c>
      <c r="D237" s="3" t="s">
        <v>155</v>
      </c>
      <c r="E237" s="3" t="s">
        <v>13</v>
      </c>
      <c r="F237" s="5">
        <v>22064.28</v>
      </c>
      <c r="G237" s="5">
        <v>34697.699999999997</v>
      </c>
      <c r="H237" s="5">
        <f t="shared" si="6"/>
        <v>12633.419999999998</v>
      </c>
      <c r="I237" s="9">
        <f t="shared" si="7"/>
        <v>0.5725734082417373</v>
      </c>
      <c r="J237" s="3" t="s">
        <v>4603</v>
      </c>
    </row>
    <row r="238" spans="1:10" ht="25.5">
      <c r="A238" s="3" t="s">
        <v>505</v>
      </c>
      <c r="B238" s="3" t="s">
        <v>506</v>
      </c>
      <c r="C238" s="4">
        <v>218</v>
      </c>
      <c r="D238" s="3" t="s">
        <v>155</v>
      </c>
      <c r="E238" s="3" t="s">
        <v>13</v>
      </c>
      <c r="F238" s="5">
        <v>13197</v>
      </c>
      <c r="G238" s="5">
        <v>4601.28</v>
      </c>
      <c r="H238" s="5">
        <f t="shared" si="6"/>
        <v>-8595.7200000000012</v>
      </c>
      <c r="I238" s="9">
        <f t="shared" si="7"/>
        <v>-0.65133894066833375</v>
      </c>
      <c r="J238" s="3" t="s">
        <v>4603</v>
      </c>
    </row>
    <row r="239" spans="1:10" ht="25.5">
      <c r="A239" s="3" t="s">
        <v>507</v>
      </c>
      <c r="B239" s="3" t="s">
        <v>508</v>
      </c>
      <c r="C239" s="4">
        <v>297</v>
      </c>
      <c r="D239" s="3" t="s">
        <v>209</v>
      </c>
      <c r="E239" s="3" t="s">
        <v>22</v>
      </c>
      <c r="F239" s="5">
        <v>0</v>
      </c>
      <c r="G239" s="5">
        <v>3249.12</v>
      </c>
      <c r="H239" s="5">
        <f t="shared" si="6"/>
        <v>3249.12</v>
      </c>
      <c r="I239" s="9">
        <f t="shared" si="7"/>
        <v>0</v>
      </c>
      <c r="J239" s="3" t="s">
        <v>4603</v>
      </c>
    </row>
    <row r="240" spans="1:10">
      <c r="A240" s="3" t="s">
        <v>509</v>
      </c>
      <c r="B240" s="3" t="s">
        <v>510</v>
      </c>
      <c r="C240" s="4">
        <v>240</v>
      </c>
      <c r="D240" s="3" t="s">
        <v>152</v>
      </c>
      <c r="E240" s="3" t="s">
        <v>13</v>
      </c>
      <c r="F240" s="5">
        <v>13596</v>
      </c>
      <c r="G240" s="5">
        <v>3531</v>
      </c>
      <c r="H240" s="5">
        <f t="shared" si="6"/>
        <v>-10065</v>
      </c>
      <c r="I240" s="9">
        <f t="shared" si="7"/>
        <v>-0.74029126213592233</v>
      </c>
      <c r="J240" s="3" t="s">
        <v>4604</v>
      </c>
    </row>
    <row r="241" spans="1:10">
      <c r="A241" s="3" t="s">
        <v>511</v>
      </c>
      <c r="B241" s="3" t="s">
        <v>512</v>
      </c>
      <c r="C241" s="4">
        <v>240</v>
      </c>
      <c r="D241" s="3" t="s">
        <v>152</v>
      </c>
      <c r="E241" s="3" t="s">
        <v>13</v>
      </c>
      <c r="F241" s="5">
        <v>0</v>
      </c>
      <c r="G241" s="5">
        <v>4713.84</v>
      </c>
      <c r="H241" s="5">
        <f t="shared" si="6"/>
        <v>4713.84</v>
      </c>
      <c r="I241" s="9">
        <f t="shared" si="7"/>
        <v>0</v>
      </c>
      <c r="J241" s="3" t="s">
        <v>4603</v>
      </c>
    </row>
    <row r="242" spans="1:10">
      <c r="A242" s="3" t="s">
        <v>513</v>
      </c>
      <c r="B242" s="3" t="s">
        <v>514</v>
      </c>
      <c r="C242" s="4">
        <v>240</v>
      </c>
      <c r="D242" s="3" t="s">
        <v>152</v>
      </c>
      <c r="E242" s="3" t="s">
        <v>13</v>
      </c>
      <c r="F242" s="5">
        <v>3230.64</v>
      </c>
      <c r="G242" s="5">
        <v>9965.76</v>
      </c>
      <c r="H242" s="5">
        <f t="shared" si="6"/>
        <v>6735.1200000000008</v>
      </c>
      <c r="I242" s="9">
        <f t="shared" si="7"/>
        <v>2.0847633905356218</v>
      </c>
      <c r="J242" s="3" t="s">
        <v>4603</v>
      </c>
    </row>
    <row r="243" spans="1:10">
      <c r="A243" s="3" t="s">
        <v>515</v>
      </c>
      <c r="B243" s="3" t="s">
        <v>516</v>
      </c>
      <c r="C243" s="4">
        <v>240</v>
      </c>
      <c r="D243" s="3" t="s">
        <v>152</v>
      </c>
      <c r="E243" s="3" t="s">
        <v>13</v>
      </c>
      <c r="F243" s="5">
        <v>3389.88</v>
      </c>
      <c r="G243" s="5">
        <v>14906.4</v>
      </c>
      <c r="H243" s="5">
        <f t="shared" si="6"/>
        <v>11516.52</v>
      </c>
      <c r="I243" s="9">
        <f t="shared" si="7"/>
        <v>3.3973237990725336</v>
      </c>
      <c r="J243" s="3" t="s">
        <v>4603</v>
      </c>
    </row>
    <row r="244" spans="1:10">
      <c r="A244" s="3" t="s">
        <v>517</v>
      </c>
      <c r="B244" s="3" t="s">
        <v>518</v>
      </c>
      <c r="C244" s="4">
        <v>240</v>
      </c>
      <c r="D244" s="3" t="s">
        <v>152</v>
      </c>
      <c r="E244" s="3" t="s">
        <v>13</v>
      </c>
      <c r="F244" s="5">
        <v>2851.32</v>
      </c>
      <c r="G244" s="5">
        <v>3616.68</v>
      </c>
      <c r="H244" s="5">
        <f t="shared" si="6"/>
        <v>765.35999999999967</v>
      </c>
      <c r="I244" s="9">
        <f t="shared" si="7"/>
        <v>0.26842304616809054</v>
      </c>
      <c r="J244" s="3" t="s">
        <v>4603</v>
      </c>
    </row>
    <row r="245" spans="1:10" ht="25.5">
      <c r="A245" s="3" t="s">
        <v>519</v>
      </c>
      <c r="B245" s="3" t="s">
        <v>520</v>
      </c>
      <c r="C245" s="4">
        <v>93</v>
      </c>
      <c r="D245" s="3" t="s">
        <v>42</v>
      </c>
      <c r="E245" s="3" t="s">
        <v>8</v>
      </c>
      <c r="F245" s="5">
        <v>2951.52</v>
      </c>
      <c r="G245" s="5">
        <v>3890.88</v>
      </c>
      <c r="H245" s="5">
        <f t="shared" si="6"/>
        <v>939.36000000000013</v>
      </c>
      <c r="I245" s="9">
        <f t="shared" si="7"/>
        <v>0.31826313221662073</v>
      </c>
      <c r="J245" s="3" t="s">
        <v>4603</v>
      </c>
    </row>
    <row r="246" spans="1:10">
      <c r="A246" s="3" t="s">
        <v>521</v>
      </c>
      <c r="B246" s="3" t="s">
        <v>326</v>
      </c>
      <c r="C246" s="4">
        <v>240</v>
      </c>
      <c r="D246" s="3" t="s">
        <v>152</v>
      </c>
      <c r="E246" s="3" t="s">
        <v>13</v>
      </c>
      <c r="F246" s="5">
        <v>24962.1</v>
      </c>
      <c r="G246" s="5">
        <v>30935.34</v>
      </c>
      <c r="H246" s="5">
        <f t="shared" si="6"/>
        <v>5973.2400000000016</v>
      </c>
      <c r="I246" s="9">
        <f t="shared" si="7"/>
        <v>0.23929236722871883</v>
      </c>
      <c r="J246" s="3" t="s">
        <v>4603</v>
      </c>
    </row>
    <row r="247" spans="1:10">
      <c r="A247" s="3" t="s">
        <v>522</v>
      </c>
      <c r="B247" s="3" t="s">
        <v>523</v>
      </c>
      <c r="C247" s="4">
        <v>240</v>
      </c>
      <c r="D247" s="3" t="s">
        <v>152</v>
      </c>
      <c r="E247" s="3" t="s">
        <v>13</v>
      </c>
      <c r="F247" s="5">
        <v>16300.92</v>
      </c>
      <c r="G247" s="5">
        <v>11344.2</v>
      </c>
      <c r="H247" s="5">
        <f t="shared" si="6"/>
        <v>-4956.7199999999993</v>
      </c>
      <c r="I247" s="9">
        <f t="shared" si="7"/>
        <v>-0.30407608895694227</v>
      </c>
      <c r="J247" s="3" t="s">
        <v>4603</v>
      </c>
    </row>
    <row r="248" spans="1:10">
      <c r="A248" s="3" t="s">
        <v>524</v>
      </c>
      <c r="B248" s="3" t="s">
        <v>525</v>
      </c>
      <c r="C248" s="4">
        <v>240</v>
      </c>
      <c r="D248" s="3" t="s">
        <v>152</v>
      </c>
      <c r="E248" s="3" t="s">
        <v>13</v>
      </c>
      <c r="F248" s="5">
        <v>0</v>
      </c>
      <c r="G248" s="5">
        <v>13763.52</v>
      </c>
      <c r="H248" s="5">
        <f t="shared" si="6"/>
        <v>13763.52</v>
      </c>
      <c r="I248" s="9">
        <f t="shared" si="7"/>
        <v>0</v>
      </c>
      <c r="J248" s="3" t="s">
        <v>4603</v>
      </c>
    </row>
    <row r="249" spans="1:10">
      <c r="A249" s="3" t="s">
        <v>526</v>
      </c>
      <c r="B249" s="3" t="s">
        <v>527</v>
      </c>
      <c r="C249" s="4">
        <v>240</v>
      </c>
      <c r="D249" s="3" t="s">
        <v>152</v>
      </c>
      <c r="E249" s="3" t="s">
        <v>13</v>
      </c>
      <c r="F249" s="5">
        <v>18162.060000000001</v>
      </c>
      <c r="G249" s="5">
        <v>42644.1</v>
      </c>
      <c r="H249" s="5">
        <f t="shared" si="6"/>
        <v>24482.039999999997</v>
      </c>
      <c r="I249" s="9">
        <f t="shared" si="7"/>
        <v>1.3479770466566015</v>
      </c>
      <c r="J249" s="3" t="s">
        <v>4603</v>
      </c>
    </row>
    <row r="250" spans="1:10">
      <c r="A250" s="3" t="s">
        <v>528</v>
      </c>
      <c r="B250" s="3" t="s">
        <v>529</v>
      </c>
      <c r="C250" s="4">
        <v>240</v>
      </c>
      <c r="D250" s="3" t="s">
        <v>152</v>
      </c>
      <c r="E250" s="3" t="s">
        <v>13</v>
      </c>
      <c r="F250" s="5">
        <v>0</v>
      </c>
      <c r="G250" s="5">
        <v>5286.63</v>
      </c>
      <c r="H250" s="5">
        <f t="shared" si="6"/>
        <v>5286.63</v>
      </c>
      <c r="I250" s="9">
        <f t="shared" si="7"/>
        <v>0</v>
      </c>
      <c r="J250" s="3" t="s">
        <v>4603</v>
      </c>
    </row>
    <row r="251" spans="1:10">
      <c r="A251" s="3" t="s">
        <v>530</v>
      </c>
      <c r="B251" s="3" t="s">
        <v>531</v>
      </c>
      <c r="C251" s="4">
        <v>240</v>
      </c>
      <c r="D251" s="3" t="s">
        <v>152</v>
      </c>
      <c r="E251" s="3" t="s">
        <v>13</v>
      </c>
      <c r="F251" s="5">
        <v>8321.7000000000007</v>
      </c>
      <c r="G251" s="5">
        <v>5324.28</v>
      </c>
      <c r="H251" s="5">
        <f t="shared" si="6"/>
        <v>-2997.420000000001</v>
      </c>
      <c r="I251" s="9">
        <f t="shared" si="7"/>
        <v>-0.36019322974872936</v>
      </c>
      <c r="J251" s="3" t="s">
        <v>4603</v>
      </c>
    </row>
    <row r="252" spans="1:10" ht="51">
      <c r="A252" s="3" t="s">
        <v>532</v>
      </c>
      <c r="B252" s="3" t="s">
        <v>533</v>
      </c>
      <c r="C252" s="4">
        <v>282</v>
      </c>
      <c r="D252" s="3" t="s">
        <v>298</v>
      </c>
      <c r="E252" s="3" t="s">
        <v>9</v>
      </c>
      <c r="F252" s="5">
        <v>10954.98</v>
      </c>
      <c r="G252" s="5">
        <v>0</v>
      </c>
      <c r="H252" s="5">
        <f t="shared" si="6"/>
        <v>-10954.98</v>
      </c>
      <c r="I252" s="9">
        <f t="shared" si="7"/>
        <v>-1</v>
      </c>
      <c r="J252" s="3" t="s">
        <v>4603</v>
      </c>
    </row>
    <row r="253" spans="1:10">
      <c r="A253" s="3" t="s">
        <v>534</v>
      </c>
      <c r="B253" s="3" t="s">
        <v>535</v>
      </c>
      <c r="C253" s="4">
        <v>315</v>
      </c>
      <c r="D253" s="3" t="s">
        <v>79</v>
      </c>
      <c r="E253" s="3" t="s">
        <v>8</v>
      </c>
      <c r="F253" s="5">
        <v>14183.28</v>
      </c>
      <c r="G253" s="5">
        <v>31772.877</v>
      </c>
      <c r="H253" s="5">
        <f t="shared" si="6"/>
        <v>17589.597000000002</v>
      </c>
      <c r="I253" s="9">
        <f t="shared" si="7"/>
        <v>1.24016426383742</v>
      </c>
      <c r="J253" s="3" t="s">
        <v>4603</v>
      </c>
    </row>
    <row r="254" spans="1:10">
      <c r="A254" s="3" t="s">
        <v>536</v>
      </c>
      <c r="B254" s="3" t="s">
        <v>537</v>
      </c>
      <c r="C254" s="4">
        <v>240</v>
      </c>
      <c r="D254" s="3" t="s">
        <v>152</v>
      </c>
      <c r="E254" s="3" t="s">
        <v>13</v>
      </c>
      <c r="F254" s="5">
        <v>14318.16</v>
      </c>
      <c r="G254" s="5">
        <v>20440.68</v>
      </c>
      <c r="H254" s="5">
        <f t="shared" si="6"/>
        <v>6122.52</v>
      </c>
      <c r="I254" s="9">
        <f t="shared" si="7"/>
        <v>0.42760522301748272</v>
      </c>
      <c r="J254" s="3" t="s">
        <v>4603</v>
      </c>
    </row>
    <row r="255" spans="1:10">
      <c r="A255" s="3" t="s">
        <v>538</v>
      </c>
      <c r="B255" s="3" t="s">
        <v>539</v>
      </c>
      <c r="C255" s="4">
        <v>240</v>
      </c>
      <c r="D255" s="3" t="s">
        <v>152</v>
      </c>
      <c r="E255" s="3" t="s">
        <v>13</v>
      </c>
      <c r="F255" s="5">
        <v>0</v>
      </c>
      <c r="G255" s="5">
        <v>12270.63</v>
      </c>
      <c r="H255" s="5">
        <f t="shared" si="6"/>
        <v>12270.63</v>
      </c>
      <c r="I255" s="9">
        <f t="shared" si="7"/>
        <v>0</v>
      </c>
      <c r="J255" s="3" t="s">
        <v>4603</v>
      </c>
    </row>
    <row r="256" spans="1:10">
      <c r="A256" s="3" t="s">
        <v>540</v>
      </c>
      <c r="B256" s="3" t="s">
        <v>541</v>
      </c>
      <c r="C256" s="4">
        <v>240</v>
      </c>
      <c r="D256" s="3" t="s">
        <v>152</v>
      </c>
      <c r="E256" s="3" t="s">
        <v>13</v>
      </c>
      <c r="F256" s="5">
        <v>0</v>
      </c>
      <c r="G256" s="5">
        <v>10179.24</v>
      </c>
      <c r="H256" s="5">
        <f t="shared" si="6"/>
        <v>10179.24</v>
      </c>
      <c r="I256" s="9">
        <f t="shared" si="7"/>
        <v>0</v>
      </c>
      <c r="J256" s="3" t="s">
        <v>4603</v>
      </c>
    </row>
    <row r="257" spans="1:10">
      <c r="A257" s="3" t="s">
        <v>542</v>
      </c>
      <c r="B257" s="3" t="s">
        <v>543</v>
      </c>
      <c r="C257" s="4">
        <v>240</v>
      </c>
      <c r="D257" s="3" t="s">
        <v>152</v>
      </c>
      <c r="E257" s="3" t="s">
        <v>13</v>
      </c>
      <c r="F257" s="5">
        <v>20608.62</v>
      </c>
      <c r="G257" s="5">
        <v>14064.45</v>
      </c>
      <c r="H257" s="5">
        <f t="shared" si="6"/>
        <v>-6544.1699999999983</v>
      </c>
      <c r="I257" s="9">
        <f t="shared" si="7"/>
        <v>-0.31754527959659595</v>
      </c>
      <c r="J257" s="3" t="s">
        <v>4603</v>
      </c>
    </row>
    <row r="258" spans="1:10">
      <c r="A258" s="3" t="s">
        <v>544</v>
      </c>
      <c r="B258" s="3" t="s">
        <v>545</v>
      </c>
      <c r="C258" s="4">
        <v>240</v>
      </c>
      <c r="D258" s="3" t="s">
        <v>152</v>
      </c>
      <c r="E258" s="3" t="s">
        <v>13</v>
      </c>
      <c r="F258" s="5">
        <v>0</v>
      </c>
      <c r="G258" s="5">
        <v>11824.02</v>
      </c>
      <c r="H258" s="5">
        <f t="shared" si="6"/>
        <v>11824.02</v>
      </c>
      <c r="I258" s="9">
        <f t="shared" si="7"/>
        <v>0</v>
      </c>
      <c r="J258" s="3" t="s">
        <v>4603</v>
      </c>
    </row>
    <row r="259" spans="1:10">
      <c r="A259" s="3" t="s">
        <v>546</v>
      </c>
      <c r="B259" s="3" t="s">
        <v>547</v>
      </c>
      <c r="C259" s="4">
        <v>240</v>
      </c>
      <c r="D259" s="3" t="s">
        <v>152</v>
      </c>
      <c r="E259" s="3" t="s">
        <v>13</v>
      </c>
      <c r="F259" s="5">
        <v>0</v>
      </c>
      <c r="G259" s="5">
        <v>3478.92</v>
      </c>
      <c r="H259" s="5">
        <f t="shared" ref="H259:H322" si="8">G259-F259</f>
        <v>3478.92</v>
      </c>
      <c r="I259" s="9">
        <f t="shared" ref="I259:I322" si="9">IFERROR(G259/F259-1,0)</f>
        <v>0</v>
      </c>
      <c r="J259" s="3" t="s">
        <v>4603</v>
      </c>
    </row>
    <row r="260" spans="1:10" ht="25.5">
      <c r="A260" s="3" t="s">
        <v>548</v>
      </c>
      <c r="B260" s="3" t="s">
        <v>549</v>
      </c>
      <c r="C260" s="4">
        <v>39</v>
      </c>
      <c r="D260" s="3" t="s">
        <v>26</v>
      </c>
      <c r="E260" s="3" t="s">
        <v>9</v>
      </c>
      <c r="F260" s="5">
        <v>158108.93</v>
      </c>
      <c r="G260" s="5">
        <v>41005.587</v>
      </c>
      <c r="H260" s="5">
        <f t="shared" si="8"/>
        <v>-117103.34299999999</v>
      </c>
      <c r="I260" s="9">
        <f t="shared" si="9"/>
        <v>-0.74064977228041451</v>
      </c>
      <c r="J260" s="3" t="s">
        <v>4603</v>
      </c>
    </row>
    <row r="261" spans="1:10">
      <c r="A261" s="3" t="s">
        <v>550</v>
      </c>
      <c r="B261" s="3" t="s">
        <v>551</v>
      </c>
      <c r="C261" s="4">
        <v>240</v>
      </c>
      <c r="D261" s="3" t="s">
        <v>152</v>
      </c>
      <c r="E261" s="3" t="s">
        <v>13</v>
      </c>
      <c r="F261" s="5">
        <v>5898.72</v>
      </c>
      <c r="G261" s="5">
        <v>0</v>
      </c>
      <c r="H261" s="5">
        <f t="shared" si="8"/>
        <v>-5898.72</v>
      </c>
      <c r="I261" s="9">
        <f t="shared" si="9"/>
        <v>-1</v>
      </c>
      <c r="J261" s="3" t="s">
        <v>4604</v>
      </c>
    </row>
    <row r="262" spans="1:10">
      <c r="A262" s="3" t="s">
        <v>552</v>
      </c>
      <c r="B262" s="3" t="s">
        <v>516</v>
      </c>
      <c r="C262" s="4">
        <v>240</v>
      </c>
      <c r="D262" s="3" t="s">
        <v>152</v>
      </c>
      <c r="E262" s="3" t="s">
        <v>13</v>
      </c>
      <c r="F262" s="5">
        <v>3389.88</v>
      </c>
      <c r="G262" s="5">
        <v>14906.4</v>
      </c>
      <c r="H262" s="5">
        <f t="shared" si="8"/>
        <v>11516.52</v>
      </c>
      <c r="I262" s="9">
        <f t="shared" si="9"/>
        <v>3.3973237990725336</v>
      </c>
      <c r="J262" s="3" t="s">
        <v>4603</v>
      </c>
    </row>
    <row r="263" spans="1:10">
      <c r="A263" s="3" t="s">
        <v>553</v>
      </c>
      <c r="B263" s="3" t="s">
        <v>554</v>
      </c>
      <c r="C263" s="4">
        <v>240</v>
      </c>
      <c r="D263" s="3" t="s">
        <v>152</v>
      </c>
      <c r="E263" s="3" t="s">
        <v>13</v>
      </c>
      <c r="F263" s="5">
        <v>7391.88</v>
      </c>
      <c r="G263" s="5">
        <v>0</v>
      </c>
      <c r="H263" s="5">
        <f t="shared" si="8"/>
        <v>-7391.88</v>
      </c>
      <c r="I263" s="9">
        <f t="shared" si="9"/>
        <v>-1</v>
      </c>
      <c r="J263" s="3" t="s">
        <v>4603</v>
      </c>
    </row>
    <row r="264" spans="1:10" ht="25.5">
      <c r="A264" s="3" t="s">
        <v>555</v>
      </c>
      <c r="B264" s="3" t="s">
        <v>556</v>
      </c>
      <c r="C264" s="4">
        <v>194</v>
      </c>
      <c r="D264" s="3" t="s">
        <v>179</v>
      </c>
      <c r="E264" s="3" t="s">
        <v>13</v>
      </c>
      <c r="F264" s="5">
        <v>0</v>
      </c>
      <c r="G264" s="5">
        <v>12353.64</v>
      </c>
      <c r="H264" s="5">
        <f t="shared" si="8"/>
        <v>12353.64</v>
      </c>
      <c r="I264" s="9">
        <f t="shared" si="9"/>
        <v>0</v>
      </c>
      <c r="J264" s="3" t="s">
        <v>4603</v>
      </c>
    </row>
    <row r="265" spans="1:10" ht="25.5">
      <c r="A265" s="3" t="s">
        <v>557</v>
      </c>
      <c r="B265" s="3" t="s">
        <v>558</v>
      </c>
      <c r="C265" s="4">
        <v>178</v>
      </c>
      <c r="D265" s="3" t="s">
        <v>92</v>
      </c>
      <c r="E265" s="3" t="s">
        <v>8</v>
      </c>
      <c r="F265" s="5">
        <v>6107.04</v>
      </c>
      <c r="G265" s="5">
        <v>2876.16</v>
      </c>
      <c r="H265" s="5">
        <f t="shared" si="8"/>
        <v>-3230.88</v>
      </c>
      <c r="I265" s="9">
        <f t="shared" si="9"/>
        <v>-0.52904189263538481</v>
      </c>
      <c r="J265" s="3" t="s">
        <v>4603</v>
      </c>
    </row>
    <row r="266" spans="1:10" ht="38.25">
      <c r="A266" s="3" t="s">
        <v>559</v>
      </c>
      <c r="B266" s="3" t="s">
        <v>560</v>
      </c>
      <c r="C266" s="4">
        <v>11</v>
      </c>
      <c r="D266" s="3" t="s">
        <v>55</v>
      </c>
      <c r="E266" s="3" t="s">
        <v>18</v>
      </c>
      <c r="F266" s="5">
        <v>30815.16</v>
      </c>
      <c r="G266" s="5">
        <v>0</v>
      </c>
      <c r="H266" s="5">
        <f t="shared" si="8"/>
        <v>-30815.16</v>
      </c>
      <c r="I266" s="9">
        <f t="shared" si="9"/>
        <v>-1</v>
      </c>
      <c r="J266" s="3" t="s">
        <v>4603</v>
      </c>
    </row>
    <row r="267" spans="1:10" ht="25.5">
      <c r="A267" s="3" t="s">
        <v>561</v>
      </c>
      <c r="B267" s="3" t="s">
        <v>562</v>
      </c>
      <c r="C267" s="4">
        <v>194</v>
      </c>
      <c r="D267" s="3" t="s">
        <v>179</v>
      </c>
      <c r="E267" s="3" t="s">
        <v>13</v>
      </c>
      <c r="F267" s="5">
        <v>0</v>
      </c>
      <c r="G267" s="5">
        <v>24544.68</v>
      </c>
      <c r="H267" s="5">
        <f t="shared" si="8"/>
        <v>24544.68</v>
      </c>
      <c r="I267" s="9">
        <f t="shared" si="9"/>
        <v>0</v>
      </c>
      <c r="J267" s="3" t="s">
        <v>4603</v>
      </c>
    </row>
    <row r="268" spans="1:10" ht="25.5">
      <c r="A268" s="3" t="s">
        <v>563</v>
      </c>
      <c r="B268" s="3" t="s">
        <v>564</v>
      </c>
      <c r="C268" s="4">
        <v>31</v>
      </c>
      <c r="D268" s="3" t="s">
        <v>172</v>
      </c>
      <c r="E268" s="3" t="s">
        <v>13</v>
      </c>
      <c r="F268" s="5">
        <v>13908.18</v>
      </c>
      <c r="G268" s="5">
        <v>0</v>
      </c>
      <c r="H268" s="5">
        <f t="shared" si="8"/>
        <v>-13908.18</v>
      </c>
      <c r="I268" s="9">
        <f t="shared" si="9"/>
        <v>-1</v>
      </c>
      <c r="J268" s="3" t="s">
        <v>4603</v>
      </c>
    </row>
    <row r="269" spans="1:10" ht="25.5">
      <c r="A269" s="3" t="s">
        <v>565</v>
      </c>
      <c r="B269" s="3" t="s">
        <v>566</v>
      </c>
      <c r="C269" s="4">
        <v>317</v>
      </c>
      <c r="D269" s="3" t="s">
        <v>54</v>
      </c>
      <c r="E269" s="3" t="s">
        <v>18</v>
      </c>
      <c r="F269" s="5">
        <v>25003.919999999998</v>
      </c>
      <c r="G269" s="5">
        <v>26407.08</v>
      </c>
      <c r="H269" s="5">
        <f t="shared" si="8"/>
        <v>1403.1600000000035</v>
      </c>
      <c r="I269" s="9">
        <f t="shared" si="9"/>
        <v>5.6117600760200892E-2</v>
      </c>
      <c r="J269" s="3" t="s">
        <v>4603</v>
      </c>
    </row>
    <row r="270" spans="1:10" ht="38.25">
      <c r="A270" s="3" t="s">
        <v>567</v>
      </c>
      <c r="B270" s="3" t="s">
        <v>568</v>
      </c>
      <c r="C270" s="4">
        <v>371</v>
      </c>
      <c r="D270" s="3" t="s">
        <v>29</v>
      </c>
      <c r="E270" s="3" t="s">
        <v>30</v>
      </c>
      <c r="F270" s="5">
        <v>6017.76</v>
      </c>
      <c r="G270" s="5">
        <v>0</v>
      </c>
      <c r="H270" s="5">
        <f t="shared" si="8"/>
        <v>-6017.76</v>
      </c>
      <c r="I270" s="9">
        <f t="shared" si="9"/>
        <v>-1</v>
      </c>
      <c r="J270" s="3" t="s">
        <v>4603</v>
      </c>
    </row>
    <row r="271" spans="1:10" ht="38.25">
      <c r="A271" s="3" t="s">
        <v>569</v>
      </c>
      <c r="B271" s="3" t="s">
        <v>570</v>
      </c>
      <c r="C271" s="4">
        <v>38</v>
      </c>
      <c r="D271" s="3" t="s">
        <v>229</v>
      </c>
      <c r="E271" s="3" t="s">
        <v>30</v>
      </c>
      <c r="F271" s="5">
        <v>9874.56</v>
      </c>
      <c r="G271" s="5">
        <v>15710.55</v>
      </c>
      <c r="H271" s="5">
        <f t="shared" si="8"/>
        <v>5835.99</v>
      </c>
      <c r="I271" s="9">
        <f t="shared" si="9"/>
        <v>0.59101266284269882</v>
      </c>
      <c r="J271" s="3" t="s">
        <v>4603</v>
      </c>
    </row>
    <row r="272" spans="1:10" ht="38.25">
      <c r="A272" s="3" t="s">
        <v>571</v>
      </c>
      <c r="B272" s="3" t="s">
        <v>572</v>
      </c>
      <c r="C272" s="4">
        <v>301</v>
      </c>
      <c r="D272" s="3" t="s">
        <v>12</v>
      </c>
      <c r="E272" s="3" t="s">
        <v>13</v>
      </c>
      <c r="F272" s="5">
        <v>10736.16</v>
      </c>
      <c r="G272" s="5">
        <v>0</v>
      </c>
      <c r="H272" s="5">
        <f t="shared" si="8"/>
        <v>-10736.16</v>
      </c>
      <c r="I272" s="9">
        <f t="shared" si="9"/>
        <v>-1</v>
      </c>
      <c r="J272" s="3" t="s">
        <v>4603</v>
      </c>
    </row>
    <row r="273" spans="1:10" ht="25.5">
      <c r="A273" s="3" t="s">
        <v>573</v>
      </c>
      <c r="B273" s="3" t="s">
        <v>574</v>
      </c>
      <c r="C273" s="4">
        <v>31</v>
      </c>
      <c r="D273" s="3" t="s">
        <v>172</v>
      </c>
      <c r="E273" s="3" t="s">
        <v>13</v>
      </c>
      <c r="F273" s="5">
        <v>37504.800000000003</v>
      </c>
      <c r="G273" s="5">
        <v>43036.02</v>
      </c>
      <c r="H273" s="5">
        <f t="shared" si="8"/>
        <v>5531.2199999999939</v>
      </c>
      <c r="I273" s="9">
        <f t="shared" si="9"/>
        <v>0.14748032251871734</v>
      </c>
      <c r="J273" s="3" t="s">
        <v>4603</v>
      </c>
    </row>
    <row r="274" spans="1:10" ht="51">
      <c r="A274" s="3" t="s">
        <v>575</v>
      </c>
      <c r="B274" s="3" t="s">
        <v>576</v>
      </c>
      <c r="C274" s="4">
        <v>282</v>
      </c>
      <c r="D274" s="3" t="s">
        <v>298</v>
      </c>
      <c r="E274" s="3" t="s">
        <v>9</v>
      </c>
      <c r="F274" s="5">
        <v>2594.04</v>
      </c>
      <c r="G274" s="5">
        <v>1821.3969999999999</v>
      </c>
      <c r="H274" s="5">
        <f t="shared" si="8"/>
        <v>-772.64300000000003</v>
      </c>
      <c r="I274" s="9">
        <f t="shared" si="9"/>
        <v>-0.29785315569536319</v>
      </c>
      <c r="J274" s="3" t="s">
        <v>4603</v>
      </c>
    </row>
    <row r="275" spans="1:10" ht="25.5">
      <c r="A275" s="3" t="s">
        <v>577</v>
      </c>
      <c r="B275" s="3" t="s">
        <v>578</v>
      </c>
      <c r="C275" s="4">
        <v>74</v>
      </c>
      <c r="D275" s="3" t="s">
        <v>86</v>
      </c>
      <c r="E275" s="3" t="s">
        <v>8</v>
      </c>
      <c r="F275" s="5">
        <v>0</v>
      </c>
      <c r="G275" s="5">
        <v>5561.28</v>
      </c>
      <c r="H275" s="5">
        <f t="shared" si="8"/>
        <v>5561.28</v>
      </c>
      <c r="I275" s="9">
        <f t="shared" si="9"/>
        <v>0</v>
      </c>
      <c r="J275" s="3" t="s">
        <v>4603</v>
      </c>
    </row>
    <row r="276" spans="1:10" ht="25.5">
      <c r="A276" s="3" t="s">
        <v>579</v>
      </c>
      <c r="B276" s="3" t="s">
        <v>580</v>
      </c>
      <c r="C276" s="4">
        <v>218</v>
      </c>
      <c r="D276" s="3" t="s">
        <v>155</v>
      </c>
      <c r="E276" s="3" t="s">
        <v>13</v>
      </c>
      <c r="F276" s="5">
        <v>31164.75</v>
      </c>
      <c r="G276" s="5">
        <v>35780.46</v>
      </c>
      <c r="H276" s="5">
        <f t="shared" si="8"/>
        <v>4615.7099999999991</v>
      </c>
      <c r="I276" s="9">
        <f t="shared" si="9"/>
        <v>0.14810675522826267</v>
      </c>
      <c r="J276" s="3" t="s">
        <v>4603</v>
      </c>
    </row>
    <row r="277" spans="1:10">
      <c r="A277" s="3" t="s">
        <v>581</v>
      </c>
      <c r="B277" s="3" t="s">
        <v>582</v>
      </c>
      <c r="C277" s="4">
        <v>315</v>
      </c>
      <c r="D277" s="3" t="s">
        <v>79</v>
      </c>
      <c r="E277" s="3" t="s">
        <v>8</v>
      </c>
      <c r="F277" s="5">
        <v>6119.04</v>
      </c>
      <c r="G277" s="5">
        <v>9789.7260000000006</v>
      </c>
      <c r="H277" s="5">
        <f t="shared" si="8"/>
        <v>3670.6860000000006</v>
      </c>
      <c r="I277" s="9">
        <f t="shared" si="9"/>
        <v>0.59987939284593672</v>
      </c>
      <c r="J277" s="3" t="s">
        <v>4603</v>
      </c>
    </row>
    <row r="278" spans="1:10">
      <c r="A278" s="3" t="s">
        <v>583</v>
      </c>
      <c r="B278" s="3" t="s">
        <v>584</v>
      </c>
      <c r="C278" s="4">
        <v>334</v>
      </c>
      <c r="D278" s="3" t="s">
        <v>585</v>
      </c>
      <c r="E278" s="3" t="s">
        <v>8</v>
      </c>
      <c r="F278" s="5">
        <v>0</v>
      </c>
      <c r="G278" s="5">
        <v>11457.371999999999</v>
      </c>
      <c r="H278" s="5">
        <f t="shared" si="8"/>
        <v>11457.371999999999</v>
      </c>
      <c r="I278" s="9">
        <f t="shared" si="9"/>
        <v>0</v>
      </c>
      <c r="J278" s="3" t="s">
        <v>4603</v>
      </c>
    </row>
    <row r="279" spans="1:10" ht="38.25">
      <c r="A279" s="3" t="s">
        <v>586</v>
      </c>
      <c r="B279" s="3" t="s">
        <v>587</v>
      </c>
      <c r="C279" s="4">
        <v>11</v>
      </c>
      <c r="D279" s="3" t="s">
        <v>55</v>
      </c>
      <c r="E279" s="3" t="s">
        <v>18</v>
      </c>
      <c r="F279" s="5">
        <v>0</v>
      </c>
      <c r="G279" s="5">
        <v>105938.63400000001</v>
      </c>
      <c r="H279" s="5">
        <f t="shared" si="8"/>
        <v>105938.63400000001</v>
      </c>
      <c r="I279" s="9">
        <f t="shared" si="9"/>
        <v>0</v>
      </c>
      <c r="J279" s="3" t="s">
        <v>4604</v>
      </c>
    </row>
    <row r="280" spans="1:10">
      <c r="A280" s="3" t="s">
        <v>588</v>
      </c>
      <c r="B280" s="3" t="s">
        <v>589</v>
      </c>
      <c r="C280" s="4">
        <v>15</v>
      </c>
      <c r="D280" s="3" t="s">
        <v>33</v>
      </c>
      <c r="E280" s="3" t="s">
        <v>13</v>
      </c>
      <c r="F280" s="5">
        <v>60200.46</v>
      </c>
      <c r="G280" s="5">
        <v>0</v>
      </c>
      <c r="H280" s="5">
        <f t="shared" si="8"/>
        <v>-60200.46</v>
      </c>
      <c r="I280" s="9">
        <f t="shared" si="9"/>
        <v>-1</v>
      </c>
      <c r="J280" s="3" t="s">
        <v>4604</v>
      </c>
    </row>
    <row r="281" spans="1:10" ht="25.5">
      <c r="A281" s="3" t="s">
        <v>590</v>
      </c>
      <c r="B281" s="3" t="s">
        <v>591</v>
      </c>
      <c r="C281" s="4">
        <v>217</v>
      </c>
      <c r="D281" s="3" t="s">
        <v>253</v>
      </c>
      <c r="E281" s="3" t="s">
        <v>13</v>
      </c>
      <c r="F281" s="5">
        <v>5758.8</v>
      </c>
      <c r="G281" s="5">
        <v>13635.72</v>
      </c>
      <c r="H281" s="5">
        <f t="shared" si="8"/>
        <v>7876.9199999999992</v>
      </c>
      <c r="I281" s="9">
        <f t="shared" si="9"/>
        <v>1.367805792873515</v>
      </c>
      <c r="J281" s="3" t="s">
        <v>4603</v>
      </c>
    </row>
    <row r="282" spans="1:10">
      <c r="A282" s="3" t="s">
        <v>592</v>
      </c>
      <c r="B282" s="3" t="s">
        <v>593</v>
      </c>
      <c r="C282" s="4">
        <v>217</v>
      </c>
      <c r="D282" s="3" t="s">
        <v>253</v>
      </c>
      <c r="E282" s="3" t="s">
        <v>13</v>
      </c>
      <c r="F282" s="5">
        <v>3953.28</v>
      </c>
      <c r="G282" s="5">
        <v>0</v>
      </c>
      <c r="H282" s="5">
        <f t="shared" si="8"/>
        <v>-3953.28</v>
      </c>
      <c r="I282" s="9">
        <f t="shared" si="9"/>
        <v>-1</v>
      </c>
      <c r="J282" s="3" t="s">
        <v>4603</v>
      </c>
    </row>
    <row r="283" spans="1:10" ht="25.5">
      <c r="A283" s="3" t="s">
        <v>594</v>
      </c>
      <c r="B283" s="3" t="s">
        <v>595</v>
      </c>
      <c r="C283" s="4">
        <v>19</v>
      </c>
      <c r="D283" s="3" t="s">
        <v>53</v>
      </c>
      <c r="E283" s="3" t="s">
        <v>22</v>
      </c>
      <c r="F283" s="5">
        <v>0</v>
      </c>
      <c r="G283" s="5">
        <v>35827.26</v>
      </c>
      <c r="H283" s="5">
        <f t="shared" si="8"/>
        <v>35827.26</v>
      </c>
      <c r="I283" s="9">
        <f t="shared" si="9"/>
        <v>0</v>
      </c>
      <c r="J283" s="3" t="s">
        <v>4603</v>
      </c>
    </row>
    <row r="284" spans="1:10">
      <c r="A284" s="3" t="s">
        <v>596</v>
      </c>
      <c r="B284" s="3" t="s">
        <v>597</v>
      </c>
      <c r="C284" s="4">
        <v>240</v>
      </c>
      <c r="D284" s="3" t="s">
        <v>152</v>
      </c>
      <c r="E284" s="3" t="s">
        <v>13</v>
      </c>
      <c r="F284" s="5">
        <v>3169.56</v>
      </c>
      <c r="G284" s="5">
        <v>4332.3599999999997</v>
      </c>
      <c r="H284" s="5">
        <f t="shared" si="8"/>
        <v>1162.7999999999997</v>
      </c>
      <c r="I284" s="9">
        <f t="shared" si="9"/>
        <v>0.36686480142354139</v>
      </c>
      <c r="J284" s="3" t="s">
        <v>4603</v>
      </c>
    </row>
    <row r="285" spans="1:10" ht="38.25">
      <c r="A285" s="3" t="s">
        <v>598</v>
      </c>
      <c r="B285" s="3" t="s">
        <v>599</v>
      </c>
      <c r="C285" s="4">
        <v>371</v>
      </c>
      <c r="D285" s="3" t="s">
        <v>29</v>
      </c>
      <c r="E285" s="3" t="s">
        <v>30</v>
      </c>
      <c r="F285" s="5">
        <v>2111.52</v>
      </c>
      <c r="G285" s="5">
        <v>1757.88</v>
      </c>
      <c r="H285" s="5">
        <f t="shared" si="8"/>
        <v>-353.63999999999987</v>
      </c>
      <c r="I285" s="9">
        <f t="shared" si="9"/>
        <v>-0.16748124573766754</v>
      </c>
      <c r="J285" s="3" t="s">
        <v>4603</v>
      </c>
    </row>
    <row r="286" spans="1:10" ht="25.5">
      <c r="A286" s="3" t="s">
        <v>600</v>
      </c>
      <c r="B286" s="3" t="s">
        <v>601</v>
      </c>
      <c r="C286" s="4">
        <v>218</v>
      </c>
      <c r="D286" s="3" t="s">
        <v>155</v>
      </c>
      <c r="E286" s="3" t="s">
        <v>13</v>
      </c>
      <c r="F286" s="5">
        <v>3695.16</v>
      </c>
      <c r="G286" s="5">
        <v>0</v>
      </c>
      <c r="H286" s="5">
        <f t="shared" si="8"/>
        <v>-3695.16</v>
      </c>
      <c r="I286" s="9">
        <f t="shared" si="9"/>
        <v>-1</v>
      </c>
      <c r="J286" s="3" t="s">
        <v>4604</v>
      </c>
    </row>
    <row r="287" spans="1:10" ht="25.5">
      <c r="A287" s="3" t="s">
        <v>602</v>
      </c>
      <c r="B287" s="3" t="s">
        <v>603</v>
      </c>
      <c r="C287" s="4">
        <v>23</v>
      </c>
      <c r="D287" s="3" t="s">
        <v>71</v>
      </c>
      <c r="E287" s="3" t="s">
        <v>8</v>
      </c>
      <c r="F287" s="5">
        <v>12274.02</v>
      </c>
      <c r="G287" s="5">
        <v>0</v>
      </c>
      <c r="H287" s="5">
        <f t="shared" si="8"/>
        <v>-12274.02</v>
      </c>
      <c r="I287" s="9">
        <f t="shared" si="9"/>
        <v>-1</v>
      </c>
      <c r="J287" s="3" t="s">
        <v>4603</v>
      </c>
    </row>
    <row r="288" spans="1:10" ht="25.5">
      <c r="A288" s="3" t="s">
        <v>604</v>
      </c>
      <c r="B288" s="3" t="s">
        <v>178</v>
      </c>
      <c r="C288" s="4">
        <v>194</v>
      </c>
      <c r="D288" s="3" t="s">
        <v>179</v>
      </c>
      <c r="E288" s="3" t="s">
        <v>13</v>
      </c>
      <c r="F288" s="5">
        <v>28779.9</v>
      </c>
      <c r="G288" s="5">
        <v>27003.93</v>
      </c>
      <c r="H288" s="5">
        <f t="shared" si="8"/>
        <v>-1775.9700000000012</v>
      </c>
      <c r="I288" s="9">
        <f t="shared" si="9"/>
        <v>-6.1708692524991449E-2</v>
      </c>
      <c r="J288" s="3" t="s">
        <v>4604</v>
      </c>
    </row>
    <row r="289" spans="1:10" ht="25.5">
      <c r="A289" s="3" t="s">
        <v>604</v>
      </c>
      <c r="B289" s="3" t="s">
        <v>178</v>
      </c>
      <c r="C289" s="4">
        <v>31</v>
      </c>
      <c r="D289" s="3" t="s">
        <v>172</v>
      </c>
      <c r="E289" s="3" t="s">
        <v>13</v>
      </c>
      <c r="F289" s="5">
        <v>28779.9</v>
      </c>
      <c r="G289" s="5">
        <v>27003.93</v>
      </c>
      <c r="H289" s="5">
        <f t="shared" si="8"/>
        <v>-1775.9700000000012</v>
      </c>
      <c r="I289" s="9">
        <f t="shared" si="9"/>
        <v>-6.1708692524991449E-2</v>
      </c>
      <c r="J289" s="3" t="s">
        <v>4604</v>
      </c>
    </row>
    <row r="290" spans="1:10">
      <c r="A290" s="3" t="s">
        <v>605</v>
      </c>
      <c r="B290" s="3" t="s">
        <v>606</v>
      </c>
      <c r="C290" s="4">
        <v>240</v>
      </c>
      <c r="D290" s="3" t="s">
        <v>152</v>
      </c>
      <c r="E290" s="3" t="s">
        <v>13</v>
      </c>
      <c r="F290" s="5">
        <v>10359.33</v>
      </c>
      <c r="G290" s="5">
        <v>0</v>
      </c>
      <c r="H290" s="5">
        <f t="shared" si="8"/>
        <v>-10359.33</v>
      </c>
      <c r="I290" s="9">
        <f t="shared" si="9"/>
        <v>-1</v>
      </c>
      <c r="J290" s="3" t="s">
        <v>4603</v>
      </c>
    </row>
    <row r="291" spans="1:10">
      <c r="A291" s="3" t="s">
        <v>607</v>
      </c>
      <c r="B291" s="3" t="s">
        <v>608</v>
      </c>
      <c r="C291" s="4">
        <v>231</v>
      </c>
      <c r="D291" s="3" t="s">
        <v>89</v>
      </c>
      <c r="E291" s="3" t="s">
        <v>8</v>
      </c>
      <c r="F291" s="5">
        <v>10330.44</v>
      </c>
      <c r="G291" s="5">
        <v>25276.44</v>
      </c>
      <c r="H291" s="5">
        <f t="shared" si="8"/>
        <v>14945.999999999998</v>
      </c>
      <c r="I291" s="9">
        <f t="shared" si="9"/>
        <v>1.4467921985897982</v>
      </c>
      <c r="J291" s="3" t="s">
        <v>4603</v>
      </c>
    </row>
    <row r="292" spans="1:10">
      <c r="A292" s="3" t="s">
        <v>609</v>
      </c>
      <c r="B292" s="3" t="s">
        <v>610</v>
      </c>
      <c r="C292" s="4">
        <v>240</v>
      </c>
      <c r="D292" s="3" t="s">
        <v>152</v>
      </c>
      <c r="E292" s="3" t="s">
        <v>13</v>
      </c>
      <c r="F292" s="5">
        <v>39858.51</v>
      </c>
      <c r="G292" s="5">
        <v>0</v>
      </c>
      <c r="H292" s="5">
        <f t="shared" si="8"/>
        <v>-39858.51</v>
      </c>
      <c r="I292" s="9">
        <f t="shared" si="9"/>
        <v>-1</v>
      </c>
      <c r="J292" s="3" t="s">
        <v>4603</v>
      </c>
    </row>
    <row r="293" spans="1:10" ht="38.25">
      <c r="A293" s="3" t="s">
        <v>611</v>
      </c>
      <c r="B293" s="3" t="s">
        <v>612</v>
      </c>
      <c r="C293" s="4">
        <v>371</v>
      </c>
      <c r="D293" s="3" t="s">
        <v>29</v>
      </c>
      <c r="E293" s="3" t="s">
        <v>30</v>
      </c>
      <c r="F293" s="5">
        <v>0</v>
      </c>
      <c r="G293" s="5">
        <v>6663</v>
      </c>
      <c r="H293" s="5">
        <f t="shared" si="8"/>
        <v>6663</v>
      </c>
      <c r="I293" s="9">
        <f t="shared" si="9"/>
        <v>0</v>
      </c>
      <c r="J293" s="3" t="s">
        <v>4603</v>
      </c>
    </row>
    <row r="294" spans="1:10">
      <c r="A294" s="3" t="s">
        <v>613</v>
      </c>
      <c r="B294" s="3" t="s">
        <v>614</v>
      </c>
      <c r="C294" s="4">
        <v>217</v>
      </c>
      <c r="D294" s="3" t="s">
        <v>253</v>
      </c>
      <c r="E294" s="3" t="s">
        <v>13</v>
      </c>
      <c r="F294" s="5">
        <v>38142.42</v>
      </c>
      <c r="G294" s="5">
        <v>31274.28</v>
      </c>
      <c r="H294" s="5">
        <f t="shared" si="8"/>
        <v>-6868.1399999999994</v>
      </c>
      <c r="I294" s="9">
        <f t="shared" si="9"/>
        <v>-0.18006565917946471</v>
      </c>
      <c r="J294" s="3" t="s">
        <v>4603</v>
      </c>
    </row>
    <row r="295" spans="1:10">
      <c r="A295" s="3" t="s">
        <v>615</v>
      </c>
      <c r="B295" s="3" t="s">
        <v>616</v>
      </c>
      <c r="C295" s="4">
        <v>240</v>
      </c>
      <c r="D295" s="3" t="s">
        <v>152</v>
      </c>
      <c r="E295" s="3" t="s">
        <v>13</v>
      </c>
      <c r="F295" s="5">
        <v>10386.959999999999</v>
      </c>
      <c r="G295" s="5">
        <v>0</v>
      </c>
      <c r="H295" s="5">
        <f t="shared" si="8"/>
        <v>-10386.959999999999</v>
      </c>
      <c r="I295" s="9">
        <f t="shared" si="9"/>
        <v>-1</v>
      </c>
      <c r="J295" s="3" t="s">
        <v>4603</v>
      </c>
    </row>
    <row r="296" spans="1:10" ht="38.25">
      <c r="A296" s="3" t="s">
        <v>617</v>
      </c>
      <c r="B296" s="3" t="s">
        <v>618</v>
      </c>
      <c r="C296" s="4">
        <v>292</v>
      </c>
      <c r="D296" s="3" t="s">
        <v>619</v>
      </c>
      <c r="E296" s="3" t="s">
        <v>30</v>
      </c>
      <c r="F296" s="5">
        <v>12372.78</v>
      </c>
      <c r="G296" s="5">
        <v>0</v>
      </c>
      <c r="H296" s="5">
        <f t="shared" si="8"/>
        <v>-12372.78</v>
      </c>
      <c r="I296" s="9">
        <f t="shared" si="9"/>
        <v>-1</v>
      </c>
      <c r="J296" s="3" t="s">
        <v>4603</v>
      </c>
    </row>
    <row r="297" spans="1:10">
      <c r="A297" s="3" t="s">
        <v>620</v>
      </c>
      <c r="B297" s="3" t="s">
        <v>621</v>
      </c>
      <c r="C297" s="4">
        <v>167</v>
      </c>
      <c r="D297" s="3" t="s">
        <v>335</v>
      </c>
      <c r="E297" s="3" t="s">
        <v>30</v>
      </c>
      <c r="F297" s="5">
        <v>2748.36</v>
      </c>
      <c r="G297" s="5">
        <v>0</v>
      </c>
      <c r="H297" s="5">
        <f t="shared" si="8"/>
        <v>-2748.36</v>
      </c>
      <c r="I297" s="9">
        <f t="shared" si="9"/>
        <v>-1</v>
      </c>
      <c r="J297" s="3" t="s">
        <v>4603</v>
      </c>
    </row>
    <row r="298" spans="1:10" ht="38.25">
      <c r="A298" s="3" t="s">
        <v>622</v>
      </c>
      <c r="B298" s="3" t="s">
        <v>623</v>
      </c>
      <c r="C298" s="4">
        <v>143</v>
      </c>
      <c r="D298" s="3" t="s">
        <v>21</v>
      </c>
      <c r="E298" s="3" t="s">
        <v>22</v>
      </c>
      <c r="F298" s="5">
        <v>43869</v>
      </c>
      <c r="G298" s="5">
        <v>0</v>
      </c>
      <c r="H298" s="5">
        <f t="shared" si="8"/>
        <v>-43869</v>
      </c>
      <c r="I298" s="9">
        <f t="shared" si="9"/>
        <v>-1</v>
      </c>
      <c r="J298" s="3" t="s">
        <v>4603</v>
      </c>
    </row>
    <row r="299" spans="1:10" ht="25.5">
      <c r="A299" s="3" t="s">
        <v>624</v>
      </c>
      <c r="B299" s="3" t="s">
        <v>625</v>
      </c>
      <c r="C299" s="4">
        <v>266</v>
      </c>
      <c r="D299" s="3" t="s">
        <v>111</v>
      </c>
      <c r="E299" s="3" t="s">
        <v>18</v>
      </c>
      <c r="F299" s="5">
        <v>0</v>
      </c>
      <c r="G299" s="5">
        <v>44701.864000000001</v>
      </c>
      <c r="H299" s="5">
        <f t="shared" si="8"/>
        <v>44701.864000000001</v>
      </c>
      <c r="I299" s="9">
        <f t="shared" si="9"/>
        <v>0</v>
      </c>
      <c r="J299" s="3" t="s">
        <v>4603</v>
      </c>
    </row>
    <row r="300" spans="1:10">
      <c r="A300" s="3" t="s">
        <v>626</v>
      </c>
      <c r="B300" s="3" t="s">
        <v>627</v>
      </c>
      <c r="C300" s="4">
        <v>240</v>
      </c>
      <c r="D300" s="3" t="s">
        <v>152</v>
      </c>
      <c r="E300" s="3" t="s">
        <v>13</v>
      </c>
      <c r="F300" s="5">
        <v>4304.6099999999997</v>
      </c>
      <c r="G300" s="5">
        <v>0</v>
      </c>
      <c r="H300" s="5">
        <f t="shared" si="8"/>
        <v>-4304.6099999999997</v>
      </c>
      <c r="I300" s="9">
        <f t="shared" si="9"/>
        <v>-1</v>
      </c>
      <c r="J300" s="3" t="s">
        <v>4603</v>
      </c>
    </row>
    <row r="301" spans="1:10" ht="25.5">
      <c r="A301" s="3" t="s">
        <v>628</v>
      </c>
      <c r="B301" s="3" t="s">
        <v>629</v>
      </c>
      <c r="C301" s="4">
        <v>317</v>
      </c>
      <c r="D301" s="3" t="s">
        <v>54</v>
      </c>
      <c r="E301" s="3" t="s">
        <v>18</v>
      </c>
      <c r="F301" s="5">
        <v>34515.39</v>
      </c>
      <c r="G301" s="5">
        <v>5077.1400000000003</v>
      </c>
      <c r="H301" s="5">
        <f t="shared" si="8"/>
        <v>-29438.25</v>
      </c>
      <c r="I301" s="9">
        <f t="shared" si="9"/>
        <v>-0.85290214017573029</v>
      </c>
      <c r="J301" s="3" t="s">
        <v>4603</v>
      </c>
    </row>
    <row r="302" spans="1:10">
      <c r="A302" s="3" t="s">
        <v>630</v>
      </c>
      <c r="B302" s="3" t="s">
        <v>631</v>
      </c>
      <c r="C302" s="4">
        <v>264</v>
      </c>
      <c r="D302" s="3" t="s">
        <v>632</v>
      </c>
      <c r="E302" s="3" t="s">
        <v>22</v>
      </c>
      <c r="F302" s="5">
        <v>0</v>
      </c>
      <c r="G302" s="5">
        <v>22000</v>
      </c>
      <c r="H302" s="5">
        <f t="shared" si="8"/>
        <v>22000</v>
      </c>
      <c r="I302" s="9">
        <f t="shared" si="9"/>
        <v>0</v>
      </c>
      <c r="J302" s="3" t="s">
        <v>4603</v>
      </c>
    </row>
    <row r="303" spans="1:10" ht="25.5">
      <c r="A303" s="3" t="s">
        <v>633</v>
      </c>
      <c r="B303" s="3" t="s">
        <v>634</v>
      </c>
      <c r="C303" s="4">
        <v>267</v>
      </c>
      <c r="D303" s="3" t="s">
        <v>417</v>
      </c>
      <c r="E303" s="3" t="s">
        <v>13</v>
      </c>
      <c r="F303" s="5">
        <v>7739.76</v>
      </c>
      <c r="G303" s="5">
        <v>0</v>
      </c>
      <c r="H303" s="5">
        <f t="shared" si="8"/>
        <v>-7739.76</v>
      </c>
      <c r="I303" s="9">
        <f t="shared" si="9"/>
        <v>-1</v>
      </c>
      <c r="J303" s="3" t="s">
        <v>4603</v>
      </c>
    </row>
    <row r="304" spans="1:10" ht="38.25">
      <c r="A304" s="3" t="s">
        <v>635</v>
      </c>
      <c r="B304" s="3" t="s">
        <v>636</v>
      </c>
      <c r="C304" s="4">
        <v>301</v>
      </c>
      <c r="D304" s="3" t="s">
        <v>12</v>
      </c>
      <c r="E304" s="3" t="s">
        <v>13</v>
      </c>
      <c r="F304" s="5">
        <v>156222.6</v>
      </c>
      <c r="G304" s="5">
        <v>170242.95</v>
      </c>
      <c r="H304" s="5">
        <f t="shared" si="8"/>
        <v>14020.350000000006</v>
      </c>
      <c r="I304" s="9">
        <f t="shared" si="9"/>
        <v>8.9745977854676529E-2</v>
      </c>
      <c r="J304" s="3" t="s">
        <v>4603</v>
      </c>
    </row>
    <row r="305" spans="1:10">
      <c r="A305" s="3" t="s">
        <v>637</v>
      </c>
      <c r="B305" s="3" t="s">
        <v>638</v>
      </c>
      <c r="C305" s="4">
        <v>217</v>
      </c>
      <c r="D305" s="3" t="s">
        <v>253</v>
      </c>
      <c r="E305" s="3" t="s">
        <v>13</v>
      </c>
      <c r="F305" s="5">
        <v>7745.88</v>
      </c>
      <c r="G305" s="5">
        <v>38052.15</v>
      </c>
      <c r="H305" s="5">
        <f t="shared" si="8"/>
        <v>30306.27</v>
      </c>
      <c r="I305" s="9">
        <f t="shared" si="9"/>
        <v>3.9125664224077834</v>
      </c>
      <c r="J305" s="3" t="s">
        <v>4603</v>
      </c>
    </row>
    <row r="306" spans="1:10">
      <c r="A306" s="3" t="s">
        <v>639</v>
      </c>
      <c r="B306" s="3" t="s">
        <v>640</v>
      </c>
      <c r="C306" s="4">
        <v>15</v>
      </c>
      <c r="D306" s="3" t="s">
        <v>33</v>
      </c>
      <c r="E306" s="3" t="s">
        <v>13</v>
      </c>
      <c r="F306" s="5">
        <v>0</v>
      </c>
      <c r="G306" s="5">
        <v>60632.52</v>
      </c>
      <c r="H306" s="5">
        <f t="shared" si="8"/>
        <v>60632.52</v>
      </c>
      <c r="I306" s="9">
        <f t="shared" si="9"/>
        <v>0</v>
      </c>
      <c r="J306" s="3" t="s">
        <v>4604</v>
      </c>
    </row>
    <row r="307" spans="1:10">
      <c r="A307" s="3" t="s">
        <v>641</v>
      </c>
      <c r="B307" s="3" t="s">
        <v>642</v>
      </c>
      <c r="C307" s="4">
        <v>231</v>
      </c>
      <c r="D307" s="3" t="s">
        <v>89</v>
      </c>
      <c r="E307" s="3" t="s">
        <v>8</v>
      </c>
      <c r="F307" s="5">
        <v>19964.759999999998</v>
      </c>
      <c r="G307" s="5">
        <v>12229.32</v>
      </c>
      <c r="H307" s="5">
        <f t="shared" si="8"/>
        <v>-7735.4399999999987</v>
      </c>
      <c r="I307" s="9">
        <f t="shared" si="9"/>
        <v>-0.38745469517289466</v>
      </c>
      <c r="J307" s="3" t="s">
        <v>4603</v>
      </c>
    </row>
    <row r="308" spans="1:10" ht="38.25">
      <c r="A308" s="3" t="s">
        <v>643</v>
      </c>
      <c r="B308" s="3" t="s">
        <v>644</v>
      </c>
      <c r="C308" s="4">
        <v>11</v>
      </c>
      <c r="D308" s="3" t="s">
        <v>55</v>
      </c>
      <c r="E308" s="3" t="s">
        <v>18</v>
      </c>
      <c r="F308" s="5">
        <v>4444.68</v>
      </c>
      <c r="G308" s="5">
        <v>18154.936000000002</v>
      </c>
      <c r="H308" s="5">
        <f t="shared" si="8"/>
        <v>13710.256000000001</v>
      </c>
      <c r="I308" s="9">
        <f t="shared" si="9"/>
        <v>3.0846441138619651</v>
      </c>
      <c r="J308" s="3" t="s">
        <v>4603</v>
      </c>
    </row>
    <row r="309" spans="1:10" ht="25.5">
      <c r="A309" s="3" t="s">
        <v>643</v>
      </c>
      <c r="B309" s="3" t="s">
        <v>644</v>
      </c>
      <c r="C309" s="4">
        <v>317</v>
      </c>
      <c r="D309" s="3" t="s">
        <v>54</v>
      </c>
      <c r="E309" s="3" t="s">
        <v>18</v>
      </c>
      <c r="F309" s="5">
        <v>4444.68</v>
      </c>
      <c r="G309" s="5">
        <v>18154.936000000002</v>
      </c>
      <c r="H309" s="5">
        <f t="shared" si="8"/>
        <v>13710.256000000001</v>
      </c>
      <c r="I309" s="9">
        <f t="shared" si="9"/>
        <v>3.0846441138619651</v>
      </c>
      <c r="J309" s="3" t="s">
        <v>4603</v>
      </c>
    </row>
    <row r="310" spans="1:10" ht="25.5">
      <c r="A310" s="3" t="s">
        <v>643</v>
      </c>
      <c r="B310" s="3" t="s">
        <v>644</v>
      </c>
      <c r="C310" s="4">
        <v>53</v>
      </c>
      <c r="D310" s="3" t="s">
        <v>340</v>
      </c>
      <c r="E310" s="3" t="s">
        <v>13</v>
      </c>
      <c r="F310" s="5">
        <v>4444.68</v>
      </c>
      <c r="G310" s="5">
        <v>18154.936000000002</v>
      </c>
      <c r="H310" s="5">
        <f t="shared" si="8"/>
        <v>13710.256000000001</v>
      </c>
      <c r="I310" s="9">
        <f t="shared" si="9"/>
        <v>3.0846441138619651</v>
      </c>
      <c r="J310" s="3" t="s">
        <v>4603</v>
      </c>
    </row>
    <row r="311" spans="1:10" ht="38.25">
      <c r="A311" s="3" t="s">
        <v>645</v>
      </c>
      <c r="B311" s="3" t="s">
        <v>646</v>
      </c>
      <c r="C311" s="4">
        <v>34</v>
      </c>
      <c r="D311" s="3" t="s">
        <v>136</v>
      </c>
      <c r="E311" s="3" t="s">
        <v>30</v>
      </c>
      <c r="F311" s="5">
        <v>6194.28</v>
      </c>
      <c r="G311" s="5">
        <v>0</v>
      </c>
      <c r="H311" s="5">
        <f t="shared" si="8"/>
        <v>-6194.28</v>
      </c>
      <c r="I311" s="9">
        <f t="shared" si="9"/>
        <v>-1</v>
      </c>
      <c r="J311" s="3" t="s">
        <v>4603</v>
      </c>
    </row>
    <row r="312" spans="1:10" ht="38.25">
      <c r="A312" s="3" t="s">
        <v>647</v>
      </c>
      <c r="B312" s="3" t="s">
        <v>648</v>
      </c>
      <c r="C312" s="4">
        <v>11</v>
      </c>
      <c r="D312" s="3" t="s">
        <v>55</v>
      </c>
      <c r="E312" s="3" t="s">
        <v>18</v>
      </c>
      <c r="F312" s="5">
        <v>0</v>
      </c>
      <c r="G312" s="5">
        <v>40260.160000000003</v>
      </c>
      <c r="H312" s="5">
        <f t="shared" si="8"/>
        <v>40260.160000000003</v>
      </c>
      <c r="I312" s="9">
        <f t="shared" si="9"/>
        <v>0</v>
      </c>
      <c r="J312" s="3" t="s">
        <v>4603</v>
      </c>
    </row>
    <row r="313" spans="1:10" ht="38.25">
      <c r="A313" s="3" t="s">
        <v>649</v>
      </c>
      <c r="B313" s="3" t="s">
        <v>650</v>
      </c>
      <c r="C313" s="4">
        <v>371</v>
      </c>
      <c r="D313" s="3" t="s">
        <v>29</v>
      </c>
      <c r="E313" s="3" t="s">
        <v>30</v>
      </c>
      <c r="F313" s="5">
        <v>0</v>
      </c>
      <c r="G313" s="5">
        <v>3691.692</v>
      </c>
      <c r="H313" s="5">
        <f t="shared" si="8"/>
        <v>3691.692</v>
      </c>
      <c r="I313" s="9">
        <f t="shared" si="9"/>
        <v>0</v>
      </c>
      <c r="J313" s="3" t="s">
        <v>4603</v>
      </c>
    </row>
    <row r="314" spans="1:10" ht="25.5">
      <c r="A314" s="3" t="s">
        <v>651</v>
      </c>
      <c r="B314" s="3" t="s">
        <v>652</v>
      </c>
      <c r="C314" s="4">
        <v>19</v>
      </c>
      <c r="D314" s="3" t="s">
        <v>53</v>
      </c>
      <c r="E314" s="3" t="s">
        <v>22</v>
      </c>
      <c r="F314" s="5">
        <v>22793.08</v>
      </c>
      <c r="G314" s="5">
        <v>0</v>
      </c>
      <c r="H314" s="5">
        <f t="shared" si="8"/>
        <v>-22793.08</v>
      </c>
      <c r="I314" s="9">
        <f t="shared" si="9"/>
        <v>-1</v>
      </c>
      <c r="J314" s="3" t="s">
        <v>4603</v>
      </c>
    </row>
    <row r="315" spans="1:10">
      <c r="A315" s="3" t="s">
        <v>653</v>
      </c>
      <c r="B315" s="3" t="s">
        <v>654</v>
      </c>
      <c r="C315" s="4">
        <v>231</v>
      </c>
      <c r="D315" s="3" t="s">
        <v>89</v>
      </c>
      <c r="E315" s="3" t="s">
        <v>8</v>
      </c>
      <c r="F315" s="5">
        <v>3473.46</v>
      </c>
      <c r="G315" s="5">
        <v>0</v>
      </c>
      <c r="H315" s="5">
        <f t="shared" si="8"/>
        <v>-3473.46</v>
      </c>
      <c r="I315" s="9">
        <f t="shared" si="9"/>
        <v>-1</v>
      </c>
      <c r="J315" s="3" t="s">
        <v>4603</v>
      </c>
    </row>
    <row r="316" spans="1:10" ht="25.5">
      <c r="A316" s="3" t="s">
        <v>655</v>
      </c>
      <c r="B316" s="3" t="s">
        <v>656</v>
      </c>
      <c r="C316" s="4">
        <v>208</v>
      </c>
      <c r="D316" s="3" t="s">
        <v>58</v>
      </c>
      <c r="E316" s="3" t="s">
        <v>13</v>
      </c>
      <c r="F316" s="5">
        <v>72551.64</v>
      </c>
      <c r="G316" s="5">
        <v>0</v>
      </c>
      <c r="H316" s="5">
        <f t="shared" si="8"/>
        <v>-72551.64</v>
      </c>
      <c r="I316" s="9">
        <f t="shared" si="9"/>
        <v>-1</v>
      </c>
      <c r="J316" s="3" t="s">
        <v>4603</v>
      </c>
    </row>
    <row r="317" spans="1:10">
      <c r="A317" s="3" t="s">
        <v>657</v>
      </c>
      <c r="B317" s="3" t="s">
        <v>658</v>
      </c>
      <c r="C317" s="4">
        <v>231</v>
      </c>
      <c r="D317" s="3" t="s">
        <v>89</v>
      </c>
      <c r="E317" s="3" t="s">
        <v>8</v>
      </c>
      <c r="F317" s="5">
        <v>3548.88</v>
      </c>
      <c r="G317" s="5">
        <v>0</v>
      </c>
      <c r="H317" s="5">
        <f t="shared" si="8"/>
        <v>-3548.88</v>
      </c>
      <c r="I317" s="9">
        <f t="shared" si="9"/>
        <v>-1</v>
      </c>
      <c r="J317" s="3" t="s">
        <v>4603</v>
      </c>
    </row>
    <row r="318" spans="1:10" ht="38.25">
      <c r="A318" s="3" t="s">
        <v>659</v>
      </c>
      <c r="B318" s="3" t="s">
        <v>660</v>
      </c>
      <c r="C318" s="4">
        <v>371</v>
      </c>
      <c r="D318" s="3" t="s">
        <v>29</v>
      </c>
      <c r="E318" s="3" t="s">
        <v>30</v>
      </c>
      <c r="F318" s="5">
        <v>5938.65</v>
      </c>
      <c r="G318" s="5">
        <v>0</v>
      </c>
      <c r="H318" s="5">
        <f t="shared" si="8"/>
        <v>-5938.65</v>
      </c>
      <c r="I318" s="9">
        <f t="shared" si="9"/>
        <v>-1</v>
      </c>
      <c r="J318" s="3" t="s">
        <v>4603</v>
      </c>
    </row>
    <row r="319" spans="1:10" ht="25.5">
      <c r="A319" s="3" t="s">
        <v>661</v>
      </c>
      <c r="B319" s="3" t="s">
        <v>662</v>
      </c>
      <c r="C319" s="4">
        <v>297</v>
      </c>
      <c r="D319" s="3" t="s">
        <v>209</v>
      </c>
      <c r="E319" s="3" t="s">
        <v>22</v>
      </c>
      <c r="F319" s="5">
        <v>26033.86</v>
      </c>
      <c r="G319" s="5">
        <v>39031.572</v>
      </c>
      <c r="H319" s="5">
        <f t="shared" si="8"/>
        <v>12997.712</v>
      </c>
      <c r="I319" s="9">
        <f t="shared" si="9"/>
        <v>0.4992618075076074</v>
      </c>
      <c r="J319" s="3" t="s">
        <v>4603</v>
      </c>
    </row>
    <row r="320" spans="1:10">
      <c r="A320" s="3" t="s">
        <v>663</v>
      </c>
      <c r="B320" s="3" t="s">
        <v>664</v>
      </c>
      <c r="C320" s="4">
        <v>231</v>
      </c>
      <c r="D320" s="3" t="s">
        <v>89</v>
      </c>
      <c r="E320" s="3" t="s">
        <v>8</v>
      </c>
      <c r="F320" s="5">
        <v>16701.599999999999</v>
      </c>
      <c r="G320" s="5">
        <v>0</v>
      </c>
      <c r="H320" s="5">
        <f t="shared" si="8"/>
        <v>-16701.599999999999</v>
      </c>
      <c r="I320" s="9">
        <f t="shared" si="9"/>
        <v>-1</v>
      </c>
      <c r="J320" s="3" t="s">
        <v>4603</v>
      </c>
    </row>
    <row r="321" spans="1:10" ht="25.5">
      <c r="A321" s="3" t="s">
        <v>665</v>
      </c>
      <c r="B321" s="3" t="s">
        <v>666</v>
      </c>
      <c r="C321" s="4">
        <v>218</v>
      </c>
      <c r="D321" s="3" t="s">
        <v>155</v>
      </c>
      <c r="E321" s="3" t="s">
        <v>13</v>
      </c>
      <c r="F321" s="5">
        <v>0</v>
      </c>
      <c r="G321" s="5">
        <v>4154.3999999999996</v>
      </c>
      <c r="H321" s="5">
        <f t="shared" si="8"/>
        <v>4154.3999999999996</v>
      </c>
      <c r="I321" s="9">
        <f t="shared" si="9"/>
        <v>0</v>
      </c>
      <c r="J321" s="3" t="s">
        <v>4603</v>
      </c>
    </row>
    <row r="322" spans="1:10" ht="25.5">
      <c r="A322" s="3" t="s">
        <v>667</v>
      </c>
      <c r="B322" s="3" t="s">
        <v>668</v>
      </c>
      <c r="C322" s="4">
        <v>61</v>
      </c>
      <c r="D322" s="3" t="s">
        <v>114</v>
      </c>
      <c r="E322" s="3" t="s">
        <v>30</v>
      </c>
      <c r="F322" s="5">
        <v>0</v>
      </c>
      <c r="G322" s="5">
        <v>34664.76</v>
      </c>
      <c r="H322" s="5">
        <f t="shared" si="8"/>
        <v>34664.76</v>
      </c>
      <c r="I322" s="9">
        <f t="shared" si="9"/>
        <v>0</v>
      </c>
      <c r="J322" s="3" t="s">
        <v>4603</v>
      </c>
    </row>
    <row r="323" spans="1:10">
      <c r="A323" s="3" t="s">
        <v>669</v>
      </c>
      <c r="B323" s="3" t="s">
        <v>670</v>
      </c>
      <c r="C323" s="4">
        <v>231</v>
      </c>
      <c r="D323" s="3" t="s">
        <v>89</v>
      </c>
      <c r="E323" s="3" t="s">
        <v>8</v>
      </c>
      <c r="F323" s="5">
        <v>36566.22</v>
      </c>
      <c r="G323" s="5">
        <v>0</v>
      </c>
      <c r="H323" s="5">
        <f t="shared" ref="H323:H386" si="10">G323-F323</f>
        <v>-36566.22</v>
      </c>
      <c r="I323" s="9">
        <f t="shared" ref="I323:I386" si="11">IFERROR(G323/F323-1,0)</f>
        <v>-1</v>
      </c>
      <c r="J323" s="3" t="s">
        <v>4604</v>
      </c>
    </row>
    <row r="324" spans="1:10" ht="25.5">
      <c r="A324" s="3" t="s">
        <v>671</v>
      </c>
      <c r="B324" s="3" t="s">
        <v>672</v>
      </c>
      <c r="C324" s="4">
        <v>327</v>
      </c>
      <c r="D324" s="3" t="s">
        <v>76</v>
      </c>
      <c r="E324" s="3" t="s">
        <v>8</v>
      </c>
      <c r="F324" s="5">
        <v>0</v>
      </c>
      <c r="G324" s="5">
        <v>73226.024999999994</v>
      </c>
      <c r="H324" s="5">
        <f t="shared" si="10"/>
        <v>73226.024999999994</v>
      </c>
      <c r="I324" s="9">
        <f t="shared" si="11"/>
        <v>0</v>
      </c>
      <c r="J324" s="3" t="s">
        <v>4603</v>
      </c>
    </row>
    <row r="325" spans="1:10">
      <c r="A325" s="3" t="s">
        <v>673</v>
      </c>
      <c r="B325" s="3" t="s">
        <v>674</v>
      </c>
      <c r="C325" s="4">
        <v>231</v>
      </c>
      <c r="D325" s="3" t="s">
        <v>89</v>
      </c>
      <c r="E325" s="3" t="s">
        <v>8</v>
      </c>
      <c r="F325" s="5">
        <v>3744.84</v>
      </c>
      <c r="G325" s="5">
        <v>19831.14</v>
      </c>
      <c r="H325" s="5">
        <f t="shared" si="10"/>
        <v>16086.3</v>
      </c>
      <c r="I325" s="9">
        <f t="shared" si="11"/>
        <v>4.2955907328483987</v>
      </c>
      <c r="J325" s="3" t="s">
        <v>4603</v>
      </c>
    </row>
    <row r="326" spans="1:10">
      <c r="A326" s="3" t="s">
        <v>675</v>
      </c>
      <c r="B326" s="3" t="s">
        <v>676</v>
      </c>
      <c r="C326" s="4">
        <v>231</v>
      </c>
      <c r="D326" s="3" t="s">
        <v>89</v>
      </c>
      <c r="E326" s="3" t="s">
        <v>8</v>
      </c>
      <c r="F326" s="5">
        <v>100657.89</v>
      </c>
      <c r="G326" s="5">
        <v>12643.08</v>
      </c>
      <c r="H326" s="5">
        <f t="shared" si="10"/>
        <v>-88014.81</v>
      </c>
      <c r="I326" s="9">
        <f t="shared" si="11"/>
        <v>-0.87439553918724111</v>
      </c>
      <c r="J326" s="3" t="s">
        <v>4604</v>
      </c>
    </row>
    <row r="327" spans="1:10">
      <c r="A327" s="3" t="s">
        <v>677</v>
      </c>
      <c r="B327" s="3" t="s">
        <v>678</v>
      </c>
      <c r="C327" s="4">
        <v>15</v>
      </c>
      <c r="D327" s="3" t="s">
        <v>33</v>
      </c>
      <c r="E327" s="3" t="s">
        <v>13</v>
      </c>
      <c r="F327" s="5">
        <v>24892.23</v>
      </c>
      <c r="G327" s="5">
        <v>0</v>
      </c>
      <c r="H327" s="5">
        <f t="shared" si="10"/>
        <v>-24892.23</v>
      </c>
      <c r="I327" s="9">
        <f t="shared" si="11"/>
        <v>-1</v>
      </c>
      <c r="J327" s="3" t="s">
        <v>4604</v>
      </c>
    </row>
    <row r="328" spans="1:10" ht="38.25">
      <c r="A328" s="3" t="s">
        <v>679</v>
      </c>
      <c r="B328" s="3" t="s">
        <v>680</v>
      </c>
      <c r="C328" s="4">
        <v>45</v>
      </c>
      <c r="D328" s="3" t="s">
        <v>16</v>
      </c>
      <c r="E328" s="3" t="s">
        <v>8</v>
      </c>
      <c r="F328" s="5">
        <v>79153.919999999998</v>
      </c>
      <c r="G328" s="5">
        <v>100040.64</v>
      </c>
      <c r="H328" s="5">
        <f t="shared" si="10"/>
        <v>20886.72</v>
      </c>
      <c r="I328" s="9">
        <f t="shared" si="11"/>
        <v>0.26387473924222582</v>
      </c>
      <c r="J328" s="3" t="s">
        <v>4603</v>
      </c>
    </row>
    <row r="329" spans="1:10" ht="25.5">
      <c r="A329" s="3" t="s">
        <v>681</v>
      </c>
      <c r="B329" s="3" t="s">
        <v>682</v>
      </c>
      <c r="C329" s="4">
        <v>266</v>
      </c>
      <c r="D329" s="3" t="s">
        <v>111</v>
      </c>
      <c r="E329" s="3" t="s">
        <v>18</v>
      </c>
      <c r="F329" s="5">
        <v>18757.02</v>
      </c>
      <c r="G329" s="5">
        <v>0</v>
      </c>
      <c r="H329" s="5">
        <f t="shared" si="10"/>
        <v>-18757.02</v>
      </c>
      <c r="I329" s="9">
        <f t="shared" si="11"/>
        <v>-1</v>
      </c>
      <c r="J329" s="3" t="s">
        <v>4603</v>
      </c>
    </row>
    <row r="330" spans="1:10">
      <c r="A330" s="3" t="s">
        <v>683</v>
      </c>
      <c r="B330" s="3" t="s">
        <v>684</v>
      </c>
      <c r="C330" s="4">
        <v>15</v>
      </c>
      <c r="D330" s="3" t="s">
        <v>33</v>
      </c>
      <c r="E330" s="3" t="s">
        <v>13</v>
      </c>
      <c r="F330" s="5">
        <v>12415.2</v>
      </c>
      <c r="G330" s="5">
        <v>0</v>
      </c>
      <c r="H330" s="5">
        <f t="shared" si="10"/>
        <v>-12415.2</v>
      </c>
      <c r="I330" s="9">
        <f t="shared" si="11"/>
        <v>-1</v>
      </c>
      <c r="J330" s="3" t="s">
        <v>4604</v>
      </c>
    </row>
    <row r="331" spans="1:10">
      <c r="A331" s="3" t="s">
        <v>685</v>
      </c>
      <c r="B331" s="3" t="s">
        <v>686</v>
      </c>
      <c r="C331" s="4">
        <v>217</v>
      </c>
      <c r="D331" s="3" t="s">
        <v>253</v>
      </c>
      <c r="E331" s="3" t="s">
        <v>13</v>
      </c>
      <c r="F331" s="5">
        <v>0</v>
      </c>
      <c r="G331" s="5">
        <v>8229.33</v>
      </c>
      <c r="H331" s="5">
        <f t="shared" si="10"/>
        <v>8229.33</v>
      </c>
      <c r="I331" s="9">
        <f t="shared" si="11"/>
        <v>0</v>
      </c>
      <c r="J331" s="3" t="s">
        <v>4603</v>
      </c>
    </row>
    <row r="332" spans="1:10" ht="25.5">
      <c r="A332" s="3" t="s">
        <v>687</v>
      </c>
      <c r="B332" s="3" t="s">
        <v>688</v>
      </c>
      <c r="C332" s="4">
        <v>53</v>
      </c>
      <c r="D332" s="3" t="s">
        <v>340</v>
      </c>
      <c r="E332" s="3" t="s">
        <v>13</v>
      </c>
      <c r="F332" s="5">
        <v>0</v>
      </c>
      <c r="G332" s="5">
        <v>25320.6</v>
      </c>
      <c r="H332" s="5">
        <f t="shared" si="10"/>
        <v>25320.6</v>
      </c>
      <c r="I332" s="9">
        <f t="shared" si="11"/>
        <v>0</v>
      </c>
      <c r="J332" s="3" t="s">
        <v>4603</v>
      </c>
    </row>
    <row r="333" spans="1:10" ht="25.5">
      <c r="A333" s="3" t="s">
        <v>689</v>
      </c>
      <c r="B333" s="3" t="s">
        <v>690</v>
      </c>
      <c r="C333" s="4">
        <v>194</v>
      </c>
      <c r="D333" s="3" t="s">
        <v>179</v>
      </c>
      <c r="E333" s="3" t="s">
        <v>13</v>
      </c>
      <c r="F333" s="5">
        <v>0</v>
      </c>
      <c r="G333" s="5">
        <v>6254.28</v>
      </c>
      <c r="H333" s="5">
        <f t="shared" si="10"/>
        <v>6254.28</v>
      </c>
      <c r="I333" s="9">
        <f t="shared" si="11"/>
        <v>0</v>
      </c>
      <c r="J333" s="3" t="s">
        <v>4603</v>
      </c>
    </row>
    <row r="334" spans="1:10" ht="25.5">
      <c r="A334" s="3" t="s">
        <v>689</v>
      </c>
      <c r="B334" s="3" t="s">
        <v>690</v>
      </c>
      <c r="C334" s="4">
        <v>317</v>
      </c>
      <c r="D334" s="3" t="s">
        <v>54</v>
      </c>
      <c r="E334" s="3" t="s">
        <v>18</v>
      </c>
      <c r="F334" s="5">
        <v>0</v>
      </c>
      <c r="G334" s="5">
        <v>6254.28</v>
      </c>
      <c r="H334" s="5">
        <f t="shared" si="10"/>
        <v>6254.28</v>
      </c>
      <c r="I334" s="9">
        <f t="shared" si="11"/>
        <v>0</v>
      </c>
      <c r="J334" s="3" t="s">
        <v>4603</v>
      </c>
    </row>
    <row r="335" spans="1:10" ht="25.5">
      <c r="A335" s="3" t="s">
        <v>691</v>
      </c>
      <c r="B335" s="3" t="s">
        <v>692</v>
      </c>
      <c r="C335" s="4">
        <v>267</v>
      </c>
      <c r="D335" s="3" t="s">
        <v>417</v>
      </c>
      <c r="E335" s="3" t="s">
        <v>13</v>
      </c>
      <c r="F335" s="5">
        <v>0</v>
      </c>
      <c r="G335" s="5">
        <v>30422.01</v>
      </c>
      <c r="H335" s="5">
        <f t="shared" si="10"/>
        <v>30422.01</v>
      </c>
      <c r="I335" s="9">
        <f t="shared" si="11"/>
        <v>0</v>
      </c>
      <c r="J335" s="3" t="s">
        <v>4603</v>
      </c>
    </row>
    <row r="336" spans="1:10">
      <c r="A336" s="3" t="s">
        <v>693</v>
      </c>
      <c r="B336" s="3" t="s">
        <v>694</v>
      </c>
      <c r="C336" s="4">
        <v>315</v>
      </c>
      <c r="D336" s="3" t="s">
        <v>79</v>
      </c>
      <c r="E336" s="3" t="s">
        <v>8</v>
      </c>
      <c r="F336" s="5">
        <v>6660.87</v>
      </c>
      <c r="G336" s="5">
        <v>0</v>
      </c>
      <c r="H336" s="5">
        <f t="shared" si="10"/>
        <v>-6660.87</v>
      </c>
      <c r="I336" s="9">
        <f t="shared" si="11"/>
        <v>-1</v>
      </c>
      <c r="J336" s="3" t="s">
        <v>4603</v>
      </c>
    </row>
    <row r="337" spans="1:10" ht="25.5">
      <c r="A337" s="3" t="s">
        <v>695</v>
      </c>
      <c r="B337" s="3" t="s">
        <v>696</v>
      </c>
      <c r="C337" s="4">
        <v>317</v>
      </c>
      <c r="D337" s="3" t="s">
        <v>54</v>
      </c>
      <c r="E337" s="3" t="s">
        <v>18</v>
      </c>
      <c r="F337" s="5">
        <v>0</v>
      </c>
      <c r="G337" s="5">
        <v>21845.4</v>
      </c>
      <c r="H337" s="5">
        <f t="shared" si="10"/>
        <v>21845.4</v>
      </c>
      <c r="I337" s="9">
        <f t="shared" si="11"/>
        <v>0</v>
      </c>
      <c r="J337" s="3" t="s">
        <v>4603</v>
      </c>
    </row>
    <row r="338" spans="1:10" ht="25.5">
      <c r="A338" s="3" t="s">
        <v>697</v>
      </c>
      <c r="B338" s="3" t="s">
        <v>698</v>
      </c>
      <c r="C338" s="4">
        <v>327</v>
      </c>
      <c r="D338" s="3" t="s">
        <v>76</v>
      </c>
      <c r="E338" s="3" t="s">
        <v>8</v>
      </c>
      <c r="F338" s="5">
        <v>0</v>
      </c>
      <c r="G338" s="5">
        <v>6299.88</v>
      </c>
      <c r="H338" s="5">
        <f t="shared" si="10"/>
        <v>6299.88</v>
      </c>
      <c r="I338" s="9">
        <f t="shared" si="11"/>
        <v>0</v>
      </c>
      <c r="J338" s="3" t="s">
        <v>4603</v>
      </c>
    </row>
    <row r="339" spans="1:10" ht="25.5">
      <c r="A339" s="3" t="s">
        <v>697</v>
      </c>
      <c r="B339" s="3" t="s">
        <v>698</v>
      </c>
      <c r="C339" s="4">
        <v>74</v>
      </c>
      <c r="D339" s="3" t="s">
        <v>86</v>
      </c>
      <c r="E339" s="3" t="s">
        <v>8</v>
      </c>
      <c r="F339" s="5">
        <v>0</v>
      </c>
      <c r="G339" s="5">
        <v>6299.88</v>
      </c>
      <c r="H339" s="5">
        <f t="shared" si="10"/>
        <v>6299.88</v>
      </c>
      <c r="I339" s="9">
        <f t="shared" si="11"/>
        <v>0</v>
      </c>
      <c r="J339" s="3" t="s">
        <v>4603</v>
      </c>
    </row>
    <row r="340" spans="1:10" ht="25.5">
      <c r="A340" s="3" t="s">
        <v>699</v>
      </c>
      <c r="B340" s="3" t="s">
        <v>700</v>
      </c>
      <c r="C340" s="4">
        <v>321</v>
      </c>
      <c r="D340" s="3" t="s">
        <v>125</v>
      </c>
      <c r="E340" s="3" t="s">
        <v>22</v>
      </c>
      <c r="F340" s="5">
        <v>0</v>
      </c>
      <c r="G340" s="5">
        <v>14254.28</v>
      </c>
      <c r="H340" s="5">
        <f t="shared" si="10"/>
        <v>14254.28</v>
      </c>
      <c r="I340" s="9">
        <f t="shared" si="11"/>
        <v>0</v>
      </c>
      <c r="J340" s="3" t="s">
        <v>4603</v>
      </c>
    </row>
    <row r="341" spans="1:10" ht="38.25">
      <c r="A341" s="3" t="s">
        <v>701</v>
      </c>
      <c r="B341" s="3" t="s">
        <v>702</v>
      </c>
      <c r="C341" s="4">
        <v>34</v>
      </c>
      <c r="D341" s="3" t="s">
        <v>136</v>
      </c>
      <c r="E341" s="3" t="s">
        <v>30</v>
      </c>
      <c r="F341" s="5">
        <v>7443.91</v>
      </c>
      <c r="G341" s="5">
        <v>0</v>
      </c>
      <c r="H341" s="5">
        <f t="shared" si="10"/>
        <v>-7443.91</v>
      </c>
      <c r="I341" s="9">
        <f t="shared" si="11"/>
        <v>-1</v>
      </c>
      <c r="J341" s="3" t="s">
        <v>4603</v>
      </c>
    </row>
    <row r="342" spans="1:10" ht="25.5">
      <c r="A342" s="3" t="s">
        <v>703</v>
      </c>
      <c r="B342" s="3" t="s">
        <v>704</v>
      </c>
      <c r="C342" s="4">
        <v>93</v>
      </c>
      <c r="D342" s="3" t="s">
        <v>42</v>
      </c>
      <c r="E342" s="3" t="s">
        <v>8</v>
      </c>
      <c r="F342" s="5">
        <v>33333.120000000003</v>
      </c>
      <c r="G342" s="5">
        <v>0</v>
      </c>
      <c r="H342" s="5">
        <f t="shared" si="10"/>
        <v>-33333.120000000003</v>
      </c>
      <c r="I342" s="9">
        <f t="shared" si="11"/>
        <v>-1</v>
      </c>
      <c r="J342" s="3" t="s">
        <v>4603</v>
      </c>
    </row>
    <row r="343" spans="1:10">
      <c r="A343" s="3" t="s">
        <v>705</v>
      </c>
      <c r="B343" s="3" t="s">
        <v>706</v>
      </c>
      <c r="C343" s="4">
        <v>231</v>
      </c>
      <c r="D343" s="3" t="s">
        <v>89</v>
      </c>
      <c r="E343" s="3" t="s">
        <v>8</v>
      </c>
      <c r="F343" s="5">
        <v>6378.96</v>
      </c>
      <c r="G343" s="5">
        <v>0</v>
      </c>
      <c r="H343" s="5">
        <f t="shared" si="10"/>
        <v>-6378.96</v>
      </c>
      <c r="I343" s="9">
        <f t="shared" si="11"/>
        <v>-1</v>
      </c>
      <c r="J343" s="3" t="s">
        <v>4603</v>
      </c>
    </row>
    <row r="344" spans="1:10" ht="25.5">
      <c r="A344" s="3" t="s">
        <v>707</v>
      </c>
      <c r="B344" s="3" t="s">
        <v>708</v>
      </c>
      <c r="C344" s="4">
        <v>194</v>
      </c>
      <c r="D344" s="3" t="s">
        <v>179</v>
      </c>
      <c r="E344" s="3" t="s">
        <v>13</v>
      </c>
      <c r="F344" s="5">
        <v>7601.4</v>
      </c>
      <c r="G344" s="5">
        <v>31577.13</v>
      </c>
      <c r="H344" s="5">
        <f t="shared" si="10"/>
        <v>23975.730000000003</v>
      </c>
      <c r="I344" s="9">
        <f t="shared" si="11"/>
        <v>3.1541202936301209</v>
      </c>
      <c r="J344" s="3" t="s">
        <v>4603</v>
      </c>
    </row>
    <row r="345" spans="1:10" ht="25.5">
      <c r="A345" s="3" t="s">
        <v>709</v>
      </c>
      <c r="B345" s="3" t="s">
        <v>710</v>
      </c>
      <c r="C345" s="4">
        <v>197</v>
      </c>
      <c r="D345" s="3" t="s">
        <v>23</v>
      </c>
      <c r="E345" s="3" t="s">
        <v>22</v>
      </c>
      <c r="F345" s="5">
        <v>15601.81</v>
      </c>
      <c r="G345" s="5">
        <v>19287.03</v>
      </c>
      <c r="H345" s="5">
        <f t="shared" si="10"/>
        <v>3685.2199999999993</v>
      </c>
      <c r="I345" s="9">
        <f t="shared" si="11"/>
        <v>0.23620464548664533</v>
      </c>
      <c r="J345" s="3" t="s">
        <v>4603</v>
      </c>
    </row>
    <row r="346" spans="1:10" ht="25.5">
      <c r="A346" s="3" t="s">
        <v>711</v>
      </c>
      <c r="B346" s="3" t="s">
        <v>712</v>
      </c>
      <c r="C346" s="4">
        <v>328</v>
      </c>
      <c r="D346" s="3" t="s">
        <v>158</v>
      </c>
      <c r="E346" s="3" t="s">
        <v>22</v>
      </c>
      <c r="F346" s="5">
        <v>0</v>
      </c>
      <c r="G346" s="5">
        <v>7203.4120000000003</v>
      </c>
      <c r="H346" s="5">
        <f t="shared" si="10"/>
        <v>7203.4120000000003</v>
      </c>
      <c r="I346" s="9">
        <f t="shared" si="11"/>
        <v>0</v>
      </c>
      <c r="J346" s="3" t="s">
        <v>4604</v>
      </c>
    </row>
    <row r="347" spans="1:10" ht="38.25">
      <c r="A347" s="3" t="s">
        <v>713</v>
      </c>
      <c r="B347" s="3" t="s">
        <v>714</v>
      </c>
      <c r="C347" s="4">
        <v>34</v>
      </c>
      <c r="D347" s="3" t="s">
        <v>136</v>
      </c>
      <c r="E347" s="3" t="s">
        <v>30</v>
      </c>
      <c r="F347" s="5">
        <v>11725.41</v>
      </c>
      <c r="G347" s="5">
        <v>41669.699999999997</v>
      </c>
      <c r="H347" s="5">
        <f t="shared" si="10"/>
        <v>29944.289999999997</v>
      </c>
      <c r="I347" s="9">
        <f t="shared" si="11"/>
        <v>2.5537947073918947</v>
      </c>
      <c r="J347" s="3" t="s">
        <v>4603</v>
      </c>
    </row>
    <row r="348" spans="1:10" ht="25.5">
      <c r="A348" s="3" t="s">
        <v>715</v>
      </c>
      <c r="B348" s="3" t="s">
        <v>716</v>
      </c>
      <c r="C348" s="4">
        <v>321</v>
      </c>
      <c r="D348" s="3" t="s">
        <v>125</v>
      </c>
      <c r="E348" s="3" t="s">
        <v>22</v>
      </c>
      <c r="F348" s="5">
        <v>5302.37</v>
      </c>
      <c r="G348" s="5">
        <v>25455.108</v>
      </c>
      <c r="H348" s="5">
        <f t="shared" si="10"/>
        <v>20152.738000000001</v>
      </c>
      <c r="I348" s="9">
        <f t="shared" si="11"/>
        <v>3.8007038362090917</v>
      </c>
      <c r="J348" s="3" t="s">
        <v>4603</v>
      </c>
    </row>
    <row r="349" spans="1:10" ht="25.5">
      <c r="A349" s="3" t="s">
        <v>717</v>
      </c>
      <c r="B349" s="3" t="s">
        <v>718</v>
      </c>
      <c r="C349" s="4">
        <v>218</v>
      </c>
      <c r="D349" s="3" t="s">
        <v>155</v>
      </c>
      <c r="E349" s="3" t="s">
        <v>13</v>
      </c>
      <c r="F349" s="5">
        <v>9381.9599999999991</v>
      </c>
      <c r="G349" s="5">
        <v>0</v>
      </c>
      <c r="H349" s="5">
        <f t="shared" si="10"/>
        <v>-9381.9599999999991</v>
      </c>
      <c r="I349" s="9">
        <f t="shared" si="11"/>
        <v>-1</v>
      </c>
      <c r="J349" s="3" t="s">
        <v>4603</v>
      </c>
    </row>
    <row r="350" spans="1:10" ht="25.5">
      <c r="A350" s="3" t="s">
        <v>719</v>
      </c>
      <c r="B350" s="3" t="s">
        <v>720</v>
      </c>
      <c r="C350" s="4">
        <v>93</v>
      </c>
      <c r="D350" s="3" t="s">
        <v>42</v>
      </c>
      <c r="E350" s="3" t="s">
        <v>8</v>
      </c>
      <c r="F350" s="5">
        <v>4487.28</v>
      </c>
      <c r="G350" s="5">
        <v>0</v>
      </c>
      <c r="H350" s="5">
        <f t="shared" si="10"/>
        <v>-4487.28</v>
      </c>
      <c r="I350" s="9">
        <f t="shared" si="11"/>
        <v>-1</v>
      </c>
      <c r="J350" s="3" t="s">
        <v>4603</v>
      </c>
    </row>
    <row r="351" spans="1:10" ht="25.5">
      <c r="A351" s="3" t="s">
        <v>721</v>
      </c>
      <c r="B351" s="3" t="s">
        <v>722</v>
      </c>
      <c r="C351" s="4">
        <v>266</v>
      </c>
      <c r="D351" s="3" t="s">
        <v>111</v>
      </c>
      <c r="E351" s="3" t="s">
        <v>18</v>
      </c>
      <c r="F351" s="5">
        <v>18491.79</v>
      </c>
      <c r="G351" s="5">
        <v>0</v>
      </c>
      <c r="H351" s="5">
        <f t="shared" si="10"/>
        <v>-18491.79</v>
      </c>
      <c r="I351" s="9">
        <f t="shared" si="11"/>
        <v>-1</v>
      </c>
      <c r="J351" s="3" t="s">
        <v>4603</v>
      </c>
    </row>
    <row r="352" spans="1:10">
      <c r="A352" s="3" t="s">
        <v>723</v>
      </c>
      <c r="B352" s="3" t="s">
        <v>724</v>
      </c>
      <c r="C352" s="4">
        <v>240</v>
      </c>
      <c r="D352" s="3" t="s">
        <v>152</v>
      </c>
      <c r="E352" s="3" t="s">
        <v>13</v>
      </c>
      <c r="F352" s="5">
        <v>4699.4399999999996</v>
      </c>
      <c r="G352" s="5">
        <v>0</v>
      </c>
      <c r="H352" s="5">
        <f t="shared" si="10"/>
        <v>-4699.4399999999996</v>
      </c>
      <c r="I352" s="9">
        <f t="shared" si="11"/>
        <v>-1</v>
      </c>
      <c r="J352" s="3" t="s">
        <v>4603</v>
      </c>
    </row>
    <row r="353" spans="1:10" ht="25.5">
      <c r="A353" s="3" t="s">
        <v>725</v>
      </c>
      <c r="B353" s="3" t="s">
        <v>726</v>
      </c>
      <c r="C353" s="4">
        <v>187</v>
      </c>
      <c r="D353" s="3" t="s">
        <v>460</v>
      </c>
      <c r="E353" s="3" t="s">
        <v>8</v>
      </c>
      <c r="F353" s="5">
        <v>32973.96</v>
      </c>
      <c r="G353" s="5">
        <v>12211.26</v>
      </c>
      <c r="H353" s="5">
        <f t="shared" si="10"/>
        <v>-20762.699999999997</v>
      </c>
      <c r="I353" s="9">
        <f t="shared" si="11"/>
        <v>-0.62966959382494547</v>
      </c>
      <c r="J353" s="3" t="s">
        <v>4603</v>
      </c>
    </row>
    <row r="354" spans="1:10" ht="25.5">
      <c r="A354" s="3" t="s">
        <v>727</v>
      </c>
      <c r="B354" s="3" t="s">
        <v>728</v>
      </c>
      <c r="C354" s="4">
        <v>218</v>
      </c>
      <c r="D354" s="3" t="s">
        <v>155</v>
      </c>
      <c r="E354" s="3" t="s">
        <v>13</v>
      </c>
      <c r="F354" s="5">
        <v>11313.84</v>
      </c>
      <c r="G354" s="5">
        <v>15154.62</v>
      </c>
      <c r="H354" s="5">
        <f t="shared" si="10"/>
        <v>3840.7800000000007</v>
      </c>
      <c r="I354" s="9">
        <f t="shared" si="11"/>
        <v>0.33947625209477961</v>
      </c>
      <c r="J354" s="3" t="s">
        <v>4603</v>
      </c>
    </row>
    <row r="355" spans="1:10" ht="25.5">
      <c r="A355" s="3" t="s">
        <v>729</v>
      </c>
      <c r="B355" s="3" t="s">
        <v>730</v>
      </c>
      <c r="C355" s="4">
        <v>93</v>
      </c>
      <c r="D355" s="3" t="s">
        <v>42</v>
      </c>
      <c r="E355" s="3" t="s">
        <v>8</v>
      </c>
      <c r="F355" s="5">
        <v>0</v>
      </c>
      <c r="G355" s="5">
        <v>18777.240000000002</v>
      </c>
      <c r="H355" s="5">
        <f t="shared" si="10"/>
        <v>18777.240000000002</v>
      </c>
      <c r="I355" s="9">
        <f t="shared" si="11"/>
        <v>0</v>
      </c>
      <c r="J355" s="3" t="s">
        <v>4603</v>
      </c>
    </row>
    <row r="356" spans="1:10" ht="25.5">
      <c r="A356" s="3" t="s">
        <v>731</v>
      </c>
      <c r="B356" s="3" t="s">
        <v>732</v>
      </c>
      <c r="C356" s="4">
        <v>93</v>
      </c>
      <c r="D356" s="3" t="s">
        <v>42</v>
      </c>
      <c r="E356" s="3" t="s">
        <v>8</v>
      </c>
      <c r="F356" s="5">
        <v>0</v>
      </c>
      <c r="G356" s="5">
        <v>4965.03</v>
      </c>
      <c r="H356" s="5">
        <f t="shared" si="10"/>
        <v>4965.03</v>
      </c>
      <c r="I356" s="9">
        <f t="shared" si="11"/>
        <v>0</v>
      </c>
      <c r="J356" s="3" t="s">
        <v>4603</v>
      </c>
    </row>
    <row r="357" spans="1:10" ht="25.5">
      <c r="A357" s="3" t="s">
        <v>733</v>
      </c>
      <c r="B357" s="3" t="s">
        <v>734</v>
      </c>
      <c r="C357" s="4">
        <v>266</v>
      </c>
      <c r="D357" s="3" t="s">
        <v>111</v>
      </c>
      <c r="E357" s="3" t="s">
        <v>18</v>
      </c>
      <c r="F357" s="5">
        <v>17644.38</v>
      </c>
      <c r="G357" s="5">
        <v>0</v>
      </c>
      <c r="H357" s="5">
        <f t="shared" si="10"/>
        <v>-17644.38</v>
      </c>
      <c r="I357" s="9">
        <f t="shared" si="11"/>
        <v>-1</v>
      </c>
      <c r="J357" s="3" t="s">
        <v>4603</v>
      </c>
    </row>
    <row r="358" spans="1:10" ht="25.5">
      <c r="A358" s="3" t="s">
        <v>735</v>
      </c>
      <c r="B358" s="3" t="s">
        <v>736</v>
      </c>
      <c r="C358" s="4">
        <v>197</v>
      </c>
      <c r="D358" s="3" t="s">
        <v>23</v>
      </c>
      <c r="E358" s="3" t="s">
        <v>22</v>
      </c>
      <c r="F358" s="5">
        <v>5531.04</v>
      </c>
      <c r="G358" s="5">
        <v>8897.0400000000009</v>
      </c>
      <c r="H358" s="5">
        <f t="shared" si="10"/>
        <v>3366.0000000000009</v>
      </c>
      <c r="I358" s="9">
        <f t="shared" si="11"/>
        <v>0.60856547774017189</v>
      </c>
      <c r="J358" s="3" t="s">
        <v>4603</v>
      </c>
    </row>
    <row r="359" spans="1:10" ht="38.25">
      <c r="A359" s="3" t="s">
        <v>737</v>
      </c>
      <c r="B359" s="3" t="s">
        <v>738</v>
      </c>
      <c r="C359" s="4">
        <v>38</v>
      </c>
      <c r="D359" s="3" t="s">
        <v>229</v>
      </c>
      <c r="E359" s="3" t="s">
        <v>30</v>
      </c>
      <c r="F359" s="5">
        <v>0</v>
      </c>
      <c r="G359" s="5">
        <v>22357.71</v>
      </c>
      <c r="H359" s="5">
        <f t="shared" si="10"/>
        <v>22357.71</v>
      </c>
      <c r="I359" s="9">
        <f t="shared" si="11"/>
        <v>0</v>
      </c>
      <c r="J359" s="3" t="s">
        <v>4603</v>
      </c>
    </row>
    <row r="360" spans="1:10" ht="25.5">
      <c r="A360" s="3" t="s">
        <v>739</v>
      </c>
      <c r="B360" s="3" t="s">
        <v>740</v>
      </c>
      <c r="C360" s="4">
        <v>194</v>
      </c>
      <c r="D360" s="3" t="s">
        <v>179</v>
      </c>
      <c r="E360" s="3" t="s">
        <v>13</v>
      </c>
      <c r="F360" s="5">
        <v>14133.24</v>
      </c>
      <c r="G360" s="5">
        <v>0</v>
      </c>
      <c r="H360" s="5">
        <f t="shared" si="10"/>
        <v>-14133.24</v>
      </c>
      <c r="I360" s="9">
        <f t="shared" si="11"/>
        <v>-1</v>
      </c>
      <c r="J360" s="3" t="s">
        <v>4603</v>
      </c>
    </row>
    <row r="361" spans="1:10" ht="25.5">
      <c r="A361" s="3" t="s">
        <v>741</v>
      </c>
      <c r="B361" s="3" t="s">
        <v>742</v>
      </c>
      <c r="C361" s="4">
        <v>194</v>
      </c>
      <c r="D361" s="3" t="s">
        <v>179</v>
      </c>
      <c r="E361" s="3" t="s">
        <v>13</v>
      </c>
      <c r="F361" s="5">
        <v>0</v>
      </c>
      <c r="G361" s="5">
        <v>12924.36</v>
      </c>
      <c r="H361" s="5">
        <f t="shared" si="10"/>
        <v>12924.36</v>
      </c>
      <c r="I361" s="9">
        <f t="shared" si="11"/>
        <v>0</v>
      </c>
      <c r="J361" s="3" t="s">
        <v>4603</v>
      </c>
    </row>
    <row r="362" spans="1:10">
      <c r="A362" s="3" t="s">
        <v>743</v>
      </c>
      <c r="B362" s="3" t="s">
        <v>744</v>
      </c>
      <c r="C362" s="4">
        <v>217</v>
      </c>
      <c r="D362" s="3" t="s">
        <v>253</v>
      </c>
      <c r="E362" s="3" t="s">
        <v>13</v>
      </c>
      <c r="F362" s="5">
        <v>3756.6</v>
      </c>
      <c r="G362" s="5">
        <v>0</v>
      </c>
      <c r="H362" s="5">
        <f t="shared" si="10"/>
        <v>-3756.6</v>
      </c>
      <c r="I362" s="9">
        <f t="shared" si="11"/>
        <v>-1</v>
      </c>
      <c r="J362" s="3" t="s">
        <v>4603</v>
      </c>
    </row>
    <row r="363" spans="1:10">
      <c r="A363" s="3" t="s">
        <v>745</v>
      </c>
      <c r="B363" s="3" t="s">
        <v>746</v>
      </c>
      <c r="C363" s="4">
        <v>217</v>
      </c>
      <c r="D363" s="3" t="s">
        <v>253</v>
      </c>
      <c r="E363" s="3" t="s">
        <v>13</v>
      </c>
      <c r="F363" s="5">
        <v>3695.28</v>
      </c>
      <c r="G363" s="5">
        <v>3762.48</v>
      </c>
      <c r="H363" s="5">
        <f t="shared" si="10"/>
        <v>67.199999999999818</v>
      </c>
      <c r="I363" s="9">
        <f t="shared" si="11"/>
        <v>1.8185360784568338E-2</v>
      </c>
      <c r="J363" s="3" t="s">
        <v>4603</v>
      </c>
    </row>
    <row r="364" spans="1:10">
      <c r="A364" s="3" t="s">
        <v>747</v>
      </c>
      <c r="B364" s="3" t="s">
        <v>748</v>
      </c>
      <c r="C364" s="4">
        <v>217</v>
      </c>
      <c r="D364" s="3" t="s">
        <v>253</v>
      </c>
      <c r="E364" s="3" t="s">
        <v>13</v>
      </c>
      <c r="F364" s="5">
        <v>2888.05</v>
      </c>
      <c r="G364" s="5">
        <v>0</v>
      </c>
      <c r="H364" s="5">
        <f t="shared" si="10"/>
        <v>-2888.05</v>
      </c>
      <c r="I364" s="9">
        <f t="shared" si="11"/>
        <v>-1</v>
      </c>
      <c r="J364" s="3" t="s">
        <v>4603</v>
      </c>
    </row>
    <row r="365" spans="1:10">
      <c r="A365" s="3" t="s">
        <v>749</v>
      </c>
      <c r="B365" s="3" t="s">
        <v>750</v>
      </c>
      <c r="C365" s="4">
        <v>217</v>
      </c>
      <c r="D365" s="3" t="s">
        <v>253</v>
      </c>
      <c r="E365" s="3" t="s">
        <v>13</v>
      </c>
      <c r="F365" s="5">
        <v>0</v>
      </c>
      <c r="G365" s="5">
        <v>17473.919999999998</v>
      </c>
      <c r="H365" s="5">
        <f t="shared" si="10"/>
        <v>17473.919999999998</v>
      </c>
      <c r="I365" s="9">
        <f t="shared" si="11"/>
        <v>0</v>
      </c>
      <c r="J365" s="3" t="s">
        <v>4603</v>
      </c>
    </row>
    <row r="366" spans="1:10">
      <c r="A366" s="3" t="s">
        <v>751</v>
      </c>
      <c r="B366" s="3" t="s">
        <v>752</v>
      </c>
      <c r="C366" s="4">
        <v>217</v>
      </c>
      <c r="D366" s="3" t="s">
        <v>253</v>
      </c>
      <c r="E366" s="3" t="s">
        <v>13</v>
      </c>
      <c r="F366" s="5">
        <v>7207.86</v>
      </c>
      <c r="G366" s="5">
        <v>25381.86</v>
      </c>
      <c r="H366" s="5">
        <f t="shared" si="10"/>
        <v>18174</v>
      </c>
      <c r="I366" s="9">
        <f t="shared" si="11"/>
        <v>2.5214141229158171</v>
      </c>
      <c r="J366" s="3" t="s">
        <v>4603</v>
      </c>
    </row>
    <row r="367" spans="1:10">
      <c r="A367" s="3" t="s">
        <v>753</v>
      </c>
      <c r="B367" s="3" t="s">
        <v>754</v>
      </c>
      <c r="C367" s="4">
        <v>240</v>
      </c>
      <c r="D367" s="3" t="s">
        <v>152</v>
      </c>
      <c r="E367" s="3" t="s">
        <v>13</v>
      </c>
      <c r="F367" s="5">
        <v>16423.2</v>
      </c>
      <c r="G367" s="5">
        <v>18952.439999999999</v>
      </c>
      <c r="H367" s="5">
        <f t="shared" si="10"/>
        <v>2529.239999999998</v>
      </c>
      <c r="I367" s="9">
        <f t="shared" si="11"/>
        <v>0.1540040917726142</v>
      </c>
      <c r="J367" s="3" t="s">
        <v>4603</v>
      </c>
    </row>
    <row r="368" spans="1:10">
      <c r="A368" s="3" t="s">
        <v>755</v>
      </c>
      <c r="B368" s="3" t="s">
        <v>756</v>
      </c>
      <c r="C368" s="4">
        <v>217</v>
      </c>
      <c r="D368" s="3" t="s">
        <v>253</v>
      </c>
      <c r="E368" s="3" t="s">
        <v>13</v>
      </c>
      <c r="F368" s="5">
        <v>0</v>
      </c>
      <c r="G368" s="5">
        <v>2822.88</v>
      </c>
      <c r="H368" s="5">
        <f t="shared" si="10"/>
        <v>2822.88</v>
      </c>
      <c r="I368" s="9">
        <f t="shared" si="11"/>
        <v>0</v>
      </c>
      <c r="J368" s="3" t="s">
        <v>4603</v>
      </c>
    </row>
    <row r="369" spans="1:10">
      <c r="A369" s="3" t="s">
        <v>757</v>
      </c>
      <c r="B369" s="3" t="s">
        <v>758</v>
      </c>
      <c r="C369" s="4">
        <v>217</v>
      </c>
      <c r="D369" s="3" t="s">
        <v>253</v>
      </c>
      <c r="E369" s="3" t="s">
        <v>13</v>
      </c>
      <c r="F369" s="5">
        <v>27066.959999999999</v>
      </c>
      <c r="G369" s="5">
        <v>0</v>
      </c>
      <c r="H369" s="5">
        <f t="shared" si="10"/>
        <v>-27066.959999999999</v>
      </c>
      <c r="I369" s="9">
        <f t="shared" si="11"/>
        <v>-1</v>
      </c>
      <c r="J369" s="3" t="s">
        <v>4603</v>
      </c>
    </row>
    <row r="370" spans="1:10" ht="25.5">
      <c r="A370" s="3" t="s">
        <v>759</v>
      </c>
      <c r="B370" s="3" t="s">
        <v>760</v>
      </c>
      <c r="C370" s="4">
        <v>270</v>
      </c>
      <c r="D370" s="3" t="s">
        <v>312</v>
      </c>
      <c r="E370" s="3" t="s">
        <v>30</v>
      </c>
      <c r="F370" s="5">
        <v>0</v>
      </c>
      <c r="G370" s="5">
        <v>8737.41</v>
      </c>
      <c r="H370" s="5">
        <f t="shared" si="10"/>
        <v>8737.41</v>
      </c>
      <c r="I370" s="9">
        <f t="shared" si="11"/>
        <v>0</v>
      </c>
      <c r="J370" s="3" t="s">
        <v>4603</v>
      </c>
    </row>
    <row r="371" spans="1:10" ht="25.5">
      <c r="A371" s="3" t="s">
        <v>761</v>
      </c>
      <c r="B371" s="3" t="s">
        <v>762</v>
      </c>
      <c r="C371" s="4">
        <v>218</v>
      </c>
      <c r="D371" s="3" t="s">
        <v>155</v>
      </c>
      <c r="E371" s="3" t="s">
        <v>13</v>
      </c>
      <c r="F371" s="5">
        <v>0</v>
      </c>
      <c r="G371" s="5">
        <v>9587.64</v>
      </c>
      <c r="H371" s="5">
        <f t="shared" si="10"/>
        <v>9587.64</v>
      </c>
      <c r="I371" s="9">
        <f t="shared" si="11"/>
        <v>0</v>
      </c>
      <c r="J371" s="3" t="s">
        <v>4603</v>
      </c>
    </row>
    <row r="372" spans="1:10" ht="25.5">
      <c r="A372" s="3" t="s">
        <v>763</v>
      </c>
      <c r="B372" s="3" t="s">
        <v>764</v>
      </c>
      <c r="C372" s="4">
        <v>218</v>
      </c>
      <c r="D372" s="3" t="s">
        <v>155</v>
      </c>
      <c r="E372" s="3" t="s">
        <v>13</v>
      </c>
      <c r="F372" s="5">
        <v>6334.56</v>
      </c>
      <c r="G372" s="5">
        <v>7563.12</v>
      </c>
      <c r="H372" s="5">
        <f t="shared" si="10"/>
        <v>1228.5599999999995</v>
      </c>
      <c r="I372" s="9">
        <f t="shared" si="11"/>
        <v>0.19394559369553677</v>
      </c>
      <c r="J372" s="3" t="s">
        <v>4603</v>
      </c>
    </row>
    <row r="373" spans="1:10" ht="25.5">
      <c r="A373" s="3" t="s">
        <v>765</v>
      </c>
      <c r="B373" s="3" t="s">
        <v>766</v>
      </c>
      <c r="C373" s="4">
        <v>321</v>
      </c>
      <c r="D373" s="3" t="s">
        <v>125</v>
      </c>
      <c r="E373" s="3" t="s">
        <v>22</v>
      </c>
      <c r="F373" s="5">
        <v>13305.84</v>
      </c>
      <c r="G373" s="5">
        <v>0</v>
      </c>
      <c r="H373" s="5">
        <f t="shared" si="10"/>
        <v>-13305.84</v>
      </c>
      <c r="I373" s="9">
        <f t="shared" si="11"/>
        <v>-1</v>
      </c>
      <c r="J373" s="3" t="s">
        <v>4603</v>
      </c>
    </row>
    <row r="374" spans="1:10">
      <c r="A374" s="3" t="s">
        <v>767</v>
      </c>
      <c r="B374" s="3" t="s">
        <v>768</v>
      </c>
      <c r="C374" s="4">
        <v>232</v>
      </c>
      <c r="D374" s="3" t="s">
        <v>95</v>
      </c>
      <c r="E374" s="3" t="s">
        <v>13</v>
      </c>
      <c r="F374" s="5">
        <v>6492.24</v>
      </c>
      <c r="G374" s="5">
        <v>0</v>
      </c>
      <c r="H374" s="5">
        <f t="shared" si="10"/>
        <v>-6492.24</v>
      </c>
      <c r="I374" s="9">
        <f t="shared" si="11"/>
        <v>-1</v>
      </c>
      <c r="J374" s="3" t="s">
        <v>4603</v>
      </c>
    </row>
    <row r="375" spans="1:10" ht="25.5">
      <c r="A375" s="3" t="s">
        <v>769</v>
      </c>
      <c r="B375" s="3" t="s">
        <v>770</v>
      </c>
      <c r="C375" s="4">
        <v>273</v>
      </c>
      <c r="D375" s="3" t="s">
        <v>771</v>
      </c>
      <c r="E375" s="3" t="s">
        <v>13</v>
      </c>
      <c r="F375" s="5">
        <v>11447.37</v>
      </c>
      <c r="G375" s="5">
        <v>0</v>
      </c>
      <c r="H375" s="5">
        <f t="shared" si="10"/>
        <v>-11447.37</v>
      </c>
      <c r="I375" s="9">
        <f t="shared" si="11"/>
        <v>-1</v>
      </c>
      <c r="J375" s="3" t="s">
        <v>4603</v>
      </c>
    </row>
    <row r="376" spans="1:10">
      <c r="A376" s="3" t="s">
        <v>772</v>
      </c>
      <c r="B376" s="3" t="s">
        <v>773</v>
      </c>
      <c r="C376" s="4">
        <v>15</v>
      </c>
      <c r="D376" s="3" t="s">
        <v>33</v>
      </c>
      <c r="E376" s="3" t="s">
        <v>13</v>
      </c>
      <c r="F376" s="5">
        <v>355278.12</v>
      </c>
      <c r="G376" s="5">
        <v>0</v>
      </c>
      <c r="H376" s="5">
        <f t="shared" si="10"/>
        <v>-355278.12</v>
      </c>
      <c r="I376" s="9">
        <f t="shared" si="11"/>
        <v>-1</v>
      </c>
      <c r="J376" s="3" t="s">
        <v>4604</v>
      </c>
    </row>
    <row r="377" spans="1:10">
      <c r="A377" s="3" t="s">
        <v>774</v>
      </c>
      <c r="B377" s="3" t="s">
        <v>775</v>
      </c>
      <c r="C377" s="4">
        <v>232</v>
      </c>
      <c r="D377" s="3" t="s">
        <v>95</v>
      </c>
      <c r="E377" s="3" t="s">
        <v>13</v>
      </c>
      <c r="F377" s="5">
        <v>9851.43</v>
      </c>
      <c r="G377" s="5">
        <v>0</v>
      </c>
      <c r="H377" s="5">
        <f t="shared" si="10"/>
        <v>-9851.43</v>
      </c>
      <c r="I377" s="9">
        <f t="shared" si="11"/>
        <v>-1</v>
      </c>
      <c r="J377" s="3" t="s">
        <v>4603</v>
      </c>
    </row>
    <row r="378" spans="1:10" ht="25.5">
      <c r="A378" s="3" t="s">
        <v>776</v>
      </c>
      <c r="B378" s="3" t="s">
        <v>777</v>
      </c>
      <c r="C378" s="4">
        <v>273</v>
      </c>
      <c r="D378" s="3" t="s">
        <v>771</v>
      </c>
      <c r="E378" s="3" t="s">
        <v>13</v>
      </c>
      <c r="F378" s="5">
        <v>3336.36</v>
      </c>
      <c r="G378" s="5">
        <v>0</v>
      </c>
      <c r="H378" s="5">
        <f t="shared" si="10"/>
        <v>-3336.36</v>
      </c>
      <c r="I378" s="9">
        <f t="shared" si="11"/>
        <v>-1</v>
      </c>
      <c r="J378" s="3" t="s">
        <v>4603</v>
      </c>
    </row>
    <row r="379" spans="1:10">
      <c r="A379" s="3" t="s">
        <v>778</v>
      </c>
      <c r="B379" s="3" t="s">
        <v>779</v>
      </c>
      <c r="C379" s="4">
        <v>334</v>
      </c>
      <c r="D379" s="3" t="s">
        <v>585</v>
      </c>
      <c r="E379" s="3" t="s">
        <v>8</v>
      </c>
      <c r="F379" s="5">
        <v>8460</v>
      </c>
      <c r="G379" s="5">
        <v>0</v>
      </c>
      <c r="H379" s="5">
        <f t="shared" si="10"/>
        <v>-8460</v>
      </c>
      <c r="I379" s="9">
        <f t="shared" si="11"/>
        <v>-1</v>
      </c>
      <c r="J379" s="3" t="s">
        <v>4603</v>
      </c>
    </row>
    <row r="380" spans="1:10">
      <c r="A380" s="3" t="s">
        <v>780</v>
      </c>
      <c r="B380" s="3" t="s">
        <v>781</v>
      </c>
      <c r="C380" s="4">
        <v>15</v>
      </c>
      <c r="D380" s="3" t="s">
        <v>33</v>
      </c>
      <c r="E380" s="3" t="s">
        <v>13</v>
      </c>
      <c r="F380" s="5">
        <v>53711.49</v>
      </c>
      <c r="G380" s="5">
        <v>0</v>
      </c>
      <c r="H380" s="5">
        <f t="shared" si="10"/>
        <v>-53711.49</v>
      </c>
      <c r="I380" s="9">
        <f t="shared" si="11"/>
        <v>-1</v>
      </c>
      <c r="J380" s="3" t="s">
        <v>4603</v>
      </c>
    </row>
    <row r="381" spans="1:10">
      <c r="A381" s="3" t="s">
        <v>782</v>
      </c>
      <c r="B381" s="3" t="s">
        <v>783</v>
      </c>
      <c r="C381" s="4">
        <v>231</v>
      </c>
      <c r="D381" s="3" t="s">
        <v>89</v>
      </c>
      <c r="E381" s="3" t="s">
        <v>8</v>
      </c>
      <c r="F381" s="5">
        <v>5039.04</v>
      </c>
      <c r="G381" s="5">
        <v>0</v>
      </c>
      <c r="H381" s="5">
        <f t="shared" si="10"/>
        <v>-5039.04</v>
      </c>
      <c r="I381" s="9">
        <f t="shared" si="11"/>
        <v>-1</v>
      </c>
      <c r="J381" s="3" t="s">
        <v>4604</v>
      </c>
    </row>
    <row r="382" spans="1:10" ht="51">
      <c r="A382" s="3" t="s">
        <v>784</v>
      </c>
      <c r="B382" s="3" t="s">
        <v>785</v>
      </c>
      <c r="C382" s="4">
        <v>282</v>
      </c>
      <c r="D382" s="3" t="s">
        <v>298</v>
      </c>
      <c r="E382" s="3" t="s">
        <v>9</v>
      </c>
      <c r="F382" s="5">
        <v>18019.439999999999</v>
      </c>
      <c r="G382" s="5">
        <v>0</v>
      </c>
      <c r="H382" s="5">
        <f t="shared" si="10"/>
        <v>-18019.439999999999</v>
      </c>
      <c r="I382" s="9">
        <f t="shared" si="11"/>
        <v>-1</v>
      </c>
      <c r="J382" s="3" t="s">
        <v>4603</v>
      </c>
    </row>
    <row r="383" spans="1:10" ht="25.5">
      <c r="A383" s="3" t="s">
        <v>786</v>
      </c>
      <c r="B383" s="3" t="s">
        <v>787</v>
      </c>
      <c r="C383" s="4">
        <v>316</v>
      </c>
      <c r="D383" s="3" t="s">
        <v>167</v>
      </c>
      <c r="E383" s="3" t="s">
        <v>18</v>
      </c>
      <c r="F383" s="5">
        <v>12428.28</v>
      </c>
      <c r="G383" s="5">
        <v>4767.03</v>
      </c>
      <c r="H383" s="5">
        <f t="shared" si="10"/>
        <v>-7661.2500000000009</v>
      </c>
      <c r="I383" s="9">
        <f t="shared" si="11"/>
        <v>-0.61643686817484</v>
      </c>
      <c r="J383" s="3" t="s">
        <v>4603</v>
      </c>
    </row>
    <row r="384" spans="1:10" ht="25.5">
      <c r="A384" s="3" t="s">
        <v>788</v>
      </c>
      <c r="B384" s="3" t="s">
        <v>789</v>
      </c>
      <c r="C384" s="4">
        <v>93</v>
      </c>
      <c r="D384" s="3" t="s">
        <v>42</v>
      </c>
      <c r="E384" s="3" t="s">
        <v>8</v>
      </c>
      <c r="F384" s="5">
        <v>22984.44</v>
      </c>
      <c r="G384" s="5">
        <v>35929.71</v>
      </c>
      <c r="H384" s="5">
        <f t="shared" si="10"/>
        <v>12945.27</v>
      </c>
      <c r="I384" s="9">
        <f t="shared" si="11"/>
        <v>0.56321885588685228</v>
      </c>
      <c r="J384" s="3" t="s">
        <v>4603</v>
      </c>
    </row>
    <row r="385" spans="1:10" ht="38.25">
      <c r="A385" s="3" t="s">
        <v>790</v>
      </c>
      <c r="B385" s="3" t="s">
        <v>791</v>
      </c>
      <c r="C385" s="4">
        <v>301</v>
      </c>
      <c r="D385" s="3" t="s">
        <v>12</v>
      </c>
      <c r="E385" s="3" t="s">
        <v>13</v>
      </c>
      <c r="F385" s="5">
        <v>0</v>
      </c>
      <c r="G385" s="5">
        <v>19557.87</v>
      </c>
      <c r="H385" s="5">
        <f t="shared" si="10"/>
        <v>19557.87</v>
      </c>
      <c r="I385" s="9">
        <f t="shared" si="11"/>
        <v>0</v>
      </c>
      <c r="J385" s="3" t="s">
        <v>4603</v>
      </c>
    </row>
    <row r="386" spans="1:10" ht="25.5">
      <c r="A386" s="3" t="s">
        <v>792</v>
      </c>
      <c r="B386" s="3" t="s">
        <v>793</v>
      </c>
      <c r="C386" s="4">
        <v>321</v>
      </c>
      <c r="D386" s="3" t="s">
        <v>125</v>
      </c>
      <c r="E386" s="3" t="s">
        <v>22</v>
      </c>
      <c r="F386" s="5">
        <v>0</v>
      </c>
      <c r="G386" s="5">
        <v>187.38</v>
      </c>
      <c r="H386" s="5">
        <f t="shared" si="10"/>
        <v>187.38</v>
      </c>
      <c r="I386" s="9">
        <f t="shared" si="11"/>
        <v>0</v>
      </c>
      <c r="J386" s="3" t="s">
        <v>4603</v>
      </c>
    </row>
    <row r="387" spans="1:10" ht="25.5">
      <c r="A387" s="3" t="s">
        <v>794</v>
      </c>
      <c r="B387" s="3" t="s">
        <v>795</v>
      </c>
      <c r="C387" s="4">
        <v>39</v>
      </c>
      <c r="D387" s="3" t="s">
        <v>26</v>
      </c>
      <c r="E387" s="3" t="s">
        <v>9</v>
      </c>
      <c r="F387" s="5">
        <v>9913.44</v>
      </c>
      <c r="G387" s="5">
        <v>0</v>
      </c>
      <c r="H387" s="5">
        <f t="shared" ref="H387:H450" si="12">G387-F387</f>
        <v>-9913.44</v>
      </c>
      <c r="I387" s="9">
        <f t="shared" ref="I387:I450" si="13">IFERROR(G387/F387-1,0)</f>
        <v>-1</v>
      </c>
      <c r="J387" s="3" t="s">
        <v>4603</v>
      </c>
    </row>
    <row r="388" spans="1:10" ht="25.5">
      <c r="A388" s="3" t="s">
        <v>796</v>
      </c>
      <c r="B388" s="3" t="s">
        <v>797</v>
      </c>
      <c r="C388" s="4">
        <v>194</v>
      </c>
      <c r="D388" s="3" t="s">
        <v>179</v>
      </c>
      <c r="E388" s="3" t="s">
        <v>13</v>
      </c>
      <c r="F388" s="5">
        <v>40049.29</v>
      </c>
      <c r="G388" s="5">
        <v>0</v>
      </c>
      <c r="H388" s="5">
        <f t="shared" si="12"/>
        <v>-40049.29</v>
      </c>
      <c r="I388" s="9">
        <f t="shared" si="13"/>
        <v>-1</v>
      </c>
      <c r="J388" s="3" t="s">
        <v>4603</v>
      </c>
    </row>
    <row r="389" spans="1:10" ht="25.5">
      <c r="A389" s="3" t="s">
        <v>798</v>
      </c>
      <c r="B389" s="3" t="s">
        <v>799</v>
      </c>
      <c r="C389" s="4">
        <v>31</v>
      </c>
      <c r="D389" s="3" t="s">
        <v>172</v>
      </c>
      <c r="E389" s="3" t="s">
        <v>13</v>
      </c>
      <c r="F389" s="5">
        <v>12427.92</v>
      </c>
      <c r="G389" s="5">
        <v>0</v>
      </c>
      <c r="H389" s="5">
        <f t="shared" si="12"/>
        <v>-12427.92</v>
      </c>
      <c r="I389" s="9">
        <f t="shared" si="13"/>
        <v>-1</v>
      </c>
      <c r="J389" s="3" t="s">
        <v>4604</v>
      </c>
    </row>
    <row r="390" spans="1:10" ht="25.5">
      <c r="A390" s="3" t="s">
        <v>800</v>
      </c>
      <c r="B390" s="3" t="s">
        <v>801</v>
      </c>
      <c r="C390" s="4">
        <v>335</v>
      </c>
      <c r="D390" s="3" t="s">
        <v>7</v>
      </c>
      <c r="E390" s="3" t="s">
        <v>8</v>
      </c>
      <c r="F390" s="5">
        <v>16481.52</v>
      </c>
      <c r="G390" s="5">
        <v>222.9</v>
      </c>
      <c r="H390" s="5">
        <f t="shared" si="12"/>
        <v>-16258.62</v>
      </c>
      <c r="I390" s="9">
        <f t="shared" si="13"/>
        <v>-0.98647576194428666</v>
      </c>
      <c r="J390" s="3" t="s">
        <v>4603</v>
      </c>
    </row>
    <row r="391" spans="1:10" ht="25.5">
      <c r="A391" s="3" t="s">
        <v>802</v>
      </c>
      <c r="B391" s="3" t="s">
        <v>803</v>
      </c>
      <c r="C391" s="4">
        <v>197</v>
      </c>
      <c r="D391" s="3" t="s">
        <v>23</v>
      </c>
      <c r="E391" s="3" t="s">
        <v>22</v>
      </c>
      <c r="F391" s="5">
        <v>0</v>
      </c>
      <c r="G391" s="5">
        <v>12127.12</v>
      </c>
      <c r="H391" s="5">
        <f t="shared" si="12"/>
        <v>12127.12</v>
      </c>
      <c r="I391" s="9">
        <f t="shared" si="13"/>
        <v>0</v>
      </c>
      <c r="J391" s="3" t="s">
        <v>4604</v>
      </c>
    </row>
    <row r="392" spans="1:10">
      <c r="A392" s="3" t="s">
        <v>804</v>
      </c>
      <c r="B392" s="3" t="s">
        <v>805</v>
      </c>
      <c r="C392" s="4">
        <v>232</v>
      </c>
      <c r="D392" s="3" t="s">
        <v>95</v>
      </c>
      <c r="E392" s="3" t="s">
        <v>13</v>
      </c>
      <c r="F392" s="5">
        <v>0</v>
      </c>
      <c r="G392" s="5">
        <v>3586.32</v>
      </c>
      <c r="H392" s="5">
        <f t="shared" si="12"/>
        <v>3586.32</v>
      </c>
      <c r="I392" s="9">
        <f t="shared" si="13"/>
        <v>0</v>
      </c>
      <c r="J392" s="3" t="s">
        <v>4603</v>
      </c>
    </row>
    <row r="393" spans="1:10" ht="38.25">
      <c r="A393" s="3" t="s">
        <v>806</v>
      </c>
      <c r="B393" s="3" t="s">
        <v>807</v>
      </c>
      <c r="C393" s="4">
        <v>371</v>
      </c>
      <c r="D393" s="3" t="s">
        <v>29</v>
      </c>
      <c r="E393" s="3" t="s">
        <v>30</v>
      </c>
      <c r="F393" s="5">
        <v>31476.63</v>
      </c>
      <c r="G393" s="5">
        <v>27943.445</v>
      </c>
      <c r="H393" s="5">
        <f t="shared" si="12"/>
        <v>-3533.1850000000013</v>
      </c>
      <c r="I393" s="9">
        <f t="shared" si="13"/>
        <v>-0.11224788041159428</v>
      </c>
      <c r="J393" s="3" t="s">
        <v>4603</v>
      </c>
    </row>
    <row r="394" spans="1:10" ht="25.5">
      <c r="A394" s="3" t="s">
        <v>808</v>
      </c>
      <c r="B394" s="3" t="s">
        <v>809</v>
      </c>
      <c r="C394" s="4">
        <v>337</v>
      </c>
      <c r="D394" s="3" t="s">
        <v>218</v>
      </c>
      <c r="E394" s="3" t="s">
        <v>13</v>
      </c>
      <c r="F394" s="5">
        <v>15701.16</v>
      </c>
      <c r="G394" s="5">
        <v>0</v>
      </c>
      <c r="H394" s="5">
        <f t="shared" si="12"/>
        <v>-15701.16</v>
      </c>
      <c r="I394" s="9">
        <f t="shared" si="13"/>
        <v>-1</v>
      </c>
      <c r="J394" s="3" t="s">
        <v>4603</v>
      </c>
    </row>
    <row r="395" spans="1:10" ht="25.5">
      <c r="A395" s="3" t="s">
        <v>810</v>
      </c>
      <c r="B395" s="3" t="s">
        <v>811</v>
      </c>
      <c r="C395" s="4">
        <v>335</v>
      </c>
      <c r="D395" s="3" t="s">
        <v>7</v>
      </c>
      <c r="E395" s="3" t="s">
        <v>8</v>
      </c>
      <c r="F395" s="5">
        <v>11388.6</v>
      </c>
      <c r="G395" s="5">
        <v>0</v>
      </c>
      <c r="H395" s="5">
        <f t="shared" si="12"/>
        <v>-11388.6</v>
      </c>
      <c r="I395" s="9">
        <f t="shared" si="13"/>
        <v>-1</v>
      </c>
      <c r="J395" s="3" t="s">
        <v>4603</v>
      </c>
    </row>
    <row r="396" spans="1:10" ht="25.5">
      <c r="A396" s="3" t="s">
        <v>812</v>
      </c>
      <c r="B396" s="3" t="s">
        <v>813</v>
      </c>
      <c r="C396" s="4">
        <v>266</v>
      </c>
      <c r="D396" s="3" t="s">
        <v>111</v>
      </c>
      <c r="E396" s="3" t="s">
        <v>18</v>
      </c>
      <c r="F396" s="5">
        <v>14832.24</v>
      </c>
      <c r="G396" s="5">
        <v>0</v>
      </c>
      <c r="H396" s="5">
        <f t="shared" si="12"/>
        <v>-14832.24</v>
      </c>
      <c r="I396" s="9">
        <f t="shared" si="13"/>
        <v>-1</v>
      </c>
      <c r="J396" s="3" t="s">
        <v>4604</v>
      </c>
    </row>
    <row r="397" spans="1:10" ht="25.5">
      <c r="A397" s="3" t="s">
        <v>814</v>
      </c>
      <c r="B397" s="3" t="s">
        <v>815</v>
      </c>
      <c r="C397" s="4">
        <v>23</v>
      </c>
      <c r="D397" s="3" t="s">
        <v>71</v>
      </c>
      <c r="E397" s="3" t="s">
        <v>8</v>
      </c>
      <c r="F397" s="5">
        <v>0</v>
      </c>
      <c r="G397" s="5">
        <v>6418.35</v>
      </c>
      <c r="H397" s="5">
        <f t="shared" si="12"/>
        <v>6418.35</v>
      </c>
      <c r="I397" s="9">
        <f t="shared" si="13"/>
        <v>0</v>
      </c>
      <c r="J397" s="3" t="s">
        <v>4603</v>
      </c>
    </row>
    <row r="398" spans="1:10" ht="25.5">
      <c r="A398" s="3" t="s">
        <v>816</v>
      </c>
      <c r="B398" s="3" t="s">
        <v>817</v>
      </c>
      <c r="C398" s="4">
        <v>310</v>
      </c>
      <c r="D398" s="3" t="s">
        <v>818</v>
      </c>
      <c r="E398" s="3" t="s">
        <v>18</v>
      </c>
      <c r="F398" s="5">
        <v>2000</v>
      </c>
      <c r="G398" s="5">
        <v>0</v>
      </c>
      <c r="H398" s="5">
        <f t="shared" si="12"/>
        <v>-2000</v>
      </c>
      <c r="I398" s="9">
        <f t="shared" si="13"/>
        <v>-1</v>
      </c>
      <c r="J398" s="3" t="s">
        <v>4604</v>
      </c>
    </row>
    <row r="399" spans="1:10" ht="25.5">
      <c r="A399" s="3" t="s">
        <v>816</v>
      </c>
      <c r="B399" s="3" t="s">
        <v>817</v>
      </c>
      <c r="C399" s="4">
        <v>310</v>
      </c>
      <c r="D399" s="3" t="s">
        <v>818</v>
      </c>
      <c r="E399" s="3" t="s">
        <v>9</v>
      </c>
      <c r="F399" s="5">
        <v>2000</v>
      </c>
      <c r="G399" s="5">
        <v>0</v>
      </c>
      <c r="H399" s="5">
        <f t="shared" si="12"/>
        <v>-2000</v>
      </c>
      <c r="I399" s="9">
        <f t="shared" si="13"/>
        <v>-1</v>
      </c>
      <c r="J399" s="3" t="s">
        <v>4604</v>
      </c>
    </row>
    <row r="400" spans="1:10" ht="25.5">
      <c r="A400" s="3" t="s">
        <v>819</v>
      </c>
      <c r="B400" s="3" t="s">
        <v>820</v>
      </c>
      <c r="C400" s="4">
        <v>335</v>
      </c>
      <c r="D400" s="3" t="s">
        <v>7</v>
      </c>
      <c r="E400" s="3" t="s">
        <v>8</v>
      </c>
      <c r="F400" s="5">
        <v>106645.98</v>
      </c>
      <c r="G400" s="5">
        <v>191310.12</v>
      </c>
      <c r="H400" s="5">
        <f t="shared" si="12"/>
        <v>84664.14</v>
      </c>
      <c r="I400" s="9">
        <f t="shared" si="13"/>
        <v>0.79388027565595998</v>
      </c>
      <c r="J400" s="3" t="s">
        <v>4603</v>
      </c>
    </row>
    <row r="401" spans="1:10" ht="25.5">
      <c r="A401" s="3" t="s">
        <v>822</v>
      </c>
      <c r="B401" s="3" t="s">
        <v>823</v>
      </c>
      <c r="C401" s="4">
        <v>335</v>
      </c>
      <c r="D401" s="3" t="s">
        <v>7</v>
      </c>
      <c r="E401" s="3" t="s">
        <v>8</v>
      </c>
      <c r="F401" s="5">
        <v>17607.63</v>
      </c>
      <c r="G401" s="5">
        <v>0</v>
      </c>
      <c r="H401" s="5">
        <f t="shared" si="12"/>
        <v>-17607.63</v>
      </c>
      <c r="I401" s="9">
        <f t="shared" si="13"/>
        <v>-1</v>
      </c>
      <c r="J401" s="3" t="s">
        <v>4603</v>
      </c>
    </row>
    <row r="402" spans="1:10" ht="51">
      <c r="A402" s="3" t="s">
        <v>824</v>
      </c>
      <c r="B402" s="3" t="s">
        <v>825</v>
      </c>
      <c r="C402" s="4">
        <v>282</v>
      </c>
      <c r="D402" s="3" t="s">
        <v>298</v>
      </c>
      <c r="E402" s="3" t="s">
        <v>9</v>
      </c>
      <c r="F402" s="5">
        <v>12148.72</v>
      </c>
      <c r="G402" s="5">
        <v>29224.454000000002</v>
      </c>
      <c r="H402" s="5">
        <f t="shared" si="12"/>
        <v>17075.734000000004</v>
      </c>
      <c r="I402" s="9">
        <f t="shared" si="13"/>
        <v>1.4055582810370146</v>
      </c>
      <c r="J402" s="3" t="s">
        <v>4603</v>
      </c>
    </row>
    <row r="403" spans="1:10" ht="25.5">
      <c r="A403" s="3" t="s">
        <v>826</v>
      </c>
      <c r="B403" s="3" t="s">
        <v>827</v>
      </c>
      <c r="C403" s="4">
        <v>337</v>
      </c>
      <c r="D403" s="3" t="s">
        <v>218</v>
      </c>
      <c r="E403" s="3" t="s">
        <v>13</v>
      </c>
      <c r="F403" s="5">
        <v>3230.64</v>
      </c>
      <c r="G403" s="5">
        <v>40775.279999999999</v>
      </c>
      <c r="H403" s="5">
        <f t="shared" si="12"/>
        <v>37544.639999999999</v>
      </c>
      <c r="I403" s="9">
        <f t="shared" si="13"/>
        <v>11.621424856994279</v>
      </c>
      <c r="J403" s="3" t="s">
        <v>4603</v>
      </c>
    </row>
    <row r="404" spans="1:10" ht="25.5">
      <c r="A404" s="3" t="s">
        <v>828</v>
      </c>
      <c r="B404" s="3" t="s">
        <v>829</v>
      </c>
      <c r="C404" s="4">
        <v>31</v>
      </c>
      <c r="D404" s="3" t="s">
        <v>172</v>
      </c>
      <c r="E404" s="3" t="s">
        <v>13</v>
      </c>
      <c r="F404" s="5">
        <v>0</v>
      </c>
      <c r="G404" s="5">
        <v>12850.56</v>
      </c>
      <c r="H404" s="5">
        <f t="shared" si="12"/>
        <v>12850.56</v>
      </c>
      <c r="I404" s="9">
        <f t="shared" si="13"/>
        <v>0</v>
      </c>
      <c r="J404" s="3" t="s">
        <v>4603</v>
      </c>
    </row>
    <row r="405" spans="1:10" ht="38.25">
      <c r="A405" s="3" t="s">
        <v>830</v>
      </c>
      <c r="B405" s="3" t="s">
        <v>831</v>
      </c>
      <c r="C405" s="4">
        <v>292</v>
      </c>
      <c r="D405" s="3" t="s">
        <v>619</v>
      </c>
      <c r="E405" s="3" t="s">
        <v>30</v>
      </c>
      <c r="F405" s="5">
        <v>0</v>
      </c>
      <c r="G405" s="5">
        <v>19342.95</v>
      </c>
      <c r="H405" s="5">
        <f t="shared" si="12"/>
        <v>19342.95</v>
      </c>
      <c r="I405" s="9">
        <f t="shared" si="13"/>
        <v>0</v>
      </c>
      <c r="J405" s="3" t="s">
        <v>4603</v>
      </c>
    </row>
    <row r="406" spans="1:10">
      <c r="A406" s="3" t="s">
        <v>832</v>
      </c>
      <c r="B406" s="3" t="s">
        <v>833</v>
      </c>
      <c r="C406" s="4">
        <v>232</v>
      </c>
      <c r="D406" s="3" t="s">
        <v>95</v>
      </c>
      <c r="E406" s="3" t="s">
        <v>13</v>
      </c>
      <c r="F406" s="5">
        <v>3230.64</v>
      </c>
      <c r="G406" s="5">
        <v>3314.04</v>
      </c>
      <c r="H406" s="5">
        <f t="shared" si="12"/>
        <v>83.400000000000091</v>
      </c>
      <c r="I406" s="9">
        <f t="shared" si="13"/>
        <v>2.5815318327018888E-2</v>
      </c>
      <c r="J406" s="3" t="s">
        <v>4603</v>
      </c>
    </row>
    <row r="407" spans="1:10" ht="25.5">
      <c r="A407" s="3" t="s">
        <v>834</v>
      </c>
      <c r="B407" s="3" t="s">
        <v>835</v>
      </c>
      <c r="C407" s="4">
        <v>317</v>
      </c>
      <c r="D407" s="3" t="s">
        <v>54</v>
      </c>
      <c r="E407" s="3" t="s">
        <v>18</v>
      </c>
      <c r="F407" s="5">
        <v>50210.46</v>
      </c>
      <c r="G407" s="5">
        <v>3760.92</v>
      </c>
      <c r="H407" s="5">
        <f t="shared" si="12"/>
        <v>-46449.54</v>
      </c>
      <c r="I407" s="9">
        <f t="shared" si="13"/>
        <v>-0.92509688220342934</v>
      </c>
      <c r="J407" s="3" t="s">
        <v>4603</v>
      </c>
    </row>
    <row r="408" spans="1:10" ht="25.5">
      <c r="A408" s="3" t="s">
        <v>836</v>
      </c>
      <c r="B408" s="3" t="s">
        <v>837</v>
      </c>
      <c r="C408" s="4">
        <v>317</v>
      </c>
      <c r="D408" s="3" t="s">
        <v>54</v>
      </c>
      <c r="E408" s="3" t="s">
        <v>18</v>
      </c>
      <c r="F408" s="5">
        <v>178968.69</v>
      </c>
      <c r="G408" s="5">
        <v>81056.203999999998</v>
      </c>
      <c r="H408" s="5">
        <f t="shared" si="12"/>
        <v>-97912.486000000004</v>
      </c>
      <c r="I408" s="9">
        <f t="shared" si="13"/>
        <v>-0.54709282389003344</v>
      </c>
      <c r="J408" s="3" t="s">
        <v>4603</v>
      </c>
    </row>
    <row r="409" spans="1:10" ht="38.25">
      <c r="A409" s="3" t="s">
        <v>838</v>
      </c>
      <c r="B409" s="3" t="s">
        <v>839</v>
      </c>
      <c r="C409" s="4">
        <v>38</v>
      </c>
      <c r="D409" s="3" t="s">
        <v>229</v>
      </c>
      <c r="E409" s="3" t="s">
        <v>30</v>
      </c>
      <c r="F409" s="5">
        <v>5216.3999999999996</v>
      </c>
      <c r="G409" s="5">
        <v>0</v>
      </c>
      <c r="H409" s="5">
        <f t="shared" si="12"/>
        <v>-5216.3999999999996</v>
      </c>
      <c r="I409" s="9">
        <f t="shared" si="13"/>
        <v>-1</v>
      </c>
      <c r="J409" s="3" t="s">
        <v>4603</v>
      </c>
    </row>
    <row r="410" spans="1:10">
      <c r="A410" s="3" t="s">
        <v>840</v>
      </c>
      <c r="B410" s="3" t="s">
        <v>841</v>
      </c>
      <c r="C410" s="4">
        <v>231</v>
      </c>
      <c r="D410" s="3" t="s">
        <v>89</v>
      </c>
      <c r="E410" s="3" t="s">
        <v>8</v>
      </c>
      <c r="F410" s="5">
        <v>18601.919999999998</v>
      </c>
      <c r="G410" s="5">
        <v>0</v>
      </c>
      <c r="H410" s="5">
        <f t="shared" si="12"/>
        <v>-18601.919999999998</v>
      </c>
      <c r="I410" s="9">
        <f t="shared" si="13"/>
        <v>-1</v>
      </c>
      <c r="J410" s="3" t="s">
        <v>4603</v>
      </c>
    </row>
    <row r="411" spans="1:10">
      <c r="A411" s="3" t="s">
        <v>842</v>
      </c>
      <c r="B411" s="3" t="s">
        <v>843</v>
      </c>
      <c r="C411" s="4">
        <v>15</v>
      </c>
      <c r="D411" s="3" t="s">
        <v>33</v>
      </c>
      <c r="E411" s="3" t="s">
        <v>13</v>
      </c>
      <c r="F411" s="5">
        <v>0</v>
      </c>
      <c r="G411" s="5">
        <v>101033.04</v>
      </c>
      <c r="H411" s="5">
        <f t="shared" si="12"/>
        <v>101033.04</v>
      </c>
      <c r="I411" s="9">
        <f t="shared" si="13"/>
        <v>0</v>
      </c>
      <c r="J411" s="3" t="s">
        <v>4603</v>
      </c>
    </row>
    <row r="412" spans="1:10" ht="38.25">
      <c r="A412" s="3" t="s">
        <v>844</v>
      </c>
      <c r="B412" s="3" t="s">
        <v>845</v>
      </c>
      <c r="C412" s="4">
        <v>143</v>
      </c>
      <c r="D412" s="3" t="s">
        <v>21</v>
      </c>
      <c r="E412" s="3" t="s">
        <v>22</v>
      </c>
      <c r="F412" s="5">
        <v>71579.399999999994</v>
      </c>
      <c r="G412" s="5">
        <v>10064.196</v>
      </c>
      <c r="H412" s="5">
        <f t="shared" si="12"/>
        <v>-61515.203999999998</v>
      </c>
      <c r="I412" s="9">
        <f t="shared" si="13"/>
        <v>-0.85939815086463422</v>
      </c>
      <c r="J412" s="3" t="s">
        <v>4603</v>
      </c>
    </row>
    <row r="413" spans="1:10" ht="25.5">
      <c r="A413" s="3" t="s">
        <v>846</v>
      </c>
      <c r="B413" s="3" t="s">
        <v>847</v>
      </c>
      <c r="C413" s="4">
        <v>316</v>
      </c>
      <c r="D413" s="3" t="s">
        <v>167</v>
      </c>
      <c r="E413" s="3" t="s">
        <v>18</v>
      </c>
      <c r="F413" s="5">
        <v>76925.14</v>
      </c>
      <c r="G413" s="5">
        <v>6238.8</v>
      </c>
      <c r="H413" s="5">
        <f t="shared" si="12"/>
        <v>-70686.34</v>
      </c>
      <c r="I413" s="9">
        <f t="shared" si="13"/>
        <v>-0.91889777516167015</v>
      </c>
      <c r="J413" s="3" t="s">
        <v>4604</v>
      </c>
    </row>
    <row r="414" spans="1:10" ht="25.5">
      <c r="A414" s="3" t="s">
        <v>848</v>
      </c>
      <c r="B414" s="3" t="s">
        <v>849</v>
      </c>
      <c r="C414" s="4">
        <v>19</v>
      </c>
      <c r="D414" s="3" t="s">
        <v>53</v>
      </c>
      <c r="E414" s="3" t="s">
        <v>22</v>
      </c>
      <c r="F414" s="5">
        <v>48629.01</v>
      </c>
      <c r="G414" s="5">
        <v>57218.423999999999</v>
      </c>
      <c r="H414" s="5">
        <f t="shared" si="12"/>
        <v>8589.413999999997</v>
      </c>
      <c r="I414" s="9">
        <f t="shared" si="13"/>
        <v>0.17663147985122452</v>
      </c>
      <c r="J414" s="3" t="s">
        <v>4603</v>
      </c>
    </row>
    <row r="415" spans="1:10" ht="25.5">
      <c r="A415" s="3" t="s">
        <v>850</v>
      </c>
      <c r="B415" s="3" t="s">
        <v>851</v>
      </c>
      <c r="C415" s="4">
        <v>39</v>
      </c>
      <c r="D415" s="3" t="s">
        <v>26</v>
      </c>
      <c r="E415" s="3" t="s">
        <v>9</v>
      </c>
      <c r="F415" s="5">
        <v>0</v>
      </c>
      <c r="G415" s="5">
        <v>6334.64</v>
      </c>
      <c r="H415" s="5">
        <f t="shared" si="12"/>
        <v>6334.64</v>
      </c>
      <c r="I415" s="9">
        <f t="shared" si="13"/>
        <v>0</v>
      </c>
      <c r="J415" s="3" t="s">
        <v>4603</v>
      </c>
    </row>
    <row r="416" spans="1:10" ht="25.5">
      <c r="A416" s="3" t="s">
        <v>852</v>
      </c>
      <c r="B416" s="3" t="s">
        <v>853</v>
      </c>
      <c r="C416" s="4">
        <v>327</v>
      </c>
      <c r="D416" s="3" t="s">
        <v>76</v>
      </c>
      <c r="E416" s="3" t="s">
        <v>8</v>
      </c>
      <c r="F416" s="5">
        <v>3569.4</v>
      </c>
      <c r="G416" s="5">
        <v>8286.84</v>
      </c>
      <c r="H416" s="5">
        <f t="shared" si="12"/>
        <v>4717.4400000000005</v>
      </c>
      <c r="I416" s="9">
        <f t="shared" si="13"/>
        <v>1.3216338880484115</v>
      </c>
      <c r="J416" s="3" t="s">
        <v>4603</v>
      </c>
    </row>
    <row r="417" spans="1:10" ht="25.5">
      <c r="A417" s="3" t="s">
        <v>854</v>
      </c>
      <c r="B417" s="3" t="s">
        <v>855</v>
      </c>
      <c r="C417" s="4">
        <v>335</v>
      </c>
      <c r="D417" s="3" t="s">
        <v>7</v>
      </c>
      <c r="E417" s="3" t="s">
        <v>8</v>
      </c>
      <c r="F417" s="5">
        <v>172817.82</v>
      </c>
      <c r="G417" s="5">
        <v>97280.217000000004</v>
      </c>
      <c r="H417" s="5">
        <f t="shared" si="12"/>
        <v>-75537.603000000003</v>
      </c>
      <c r="I417" s="9">
        <f t="shared" si="13"/>
        <v>-0.43709383094868337</v>
      </c>
      <c r="J417" s="3" t="s">
        <v>4603</v>
      </c>
    </row>
    <row r="418" spans="1:10" ht="25.5">
      <c r="A418" s="3" t="s">
        <v>856</v>
      </c>
      <c r="B418" s="3" t="s">
        <v>857</v>
      </c>
      <c r="C418" s="4">
        <v>41</v>
      </c>
      <c r="D418" s="3" t="s">
        <v>106</v>
      </c>
      <c r="E418" s="3" t="s">
        <v>22</v>
      </c>
      <c r="F418" s="5">
        <v>10750.2</v>
      </c>
      <c r="G418" s="5">
        <v>0</v>
      </c>
      <c r="H418" s="5">
        <f t="shared" si="12"/>
        <v>-10750.2</v>
      </c>
      <c r="I418" s="9">
        <f t="shared" si="13"/>
        <v>-1</v>
      </c>
      <c r="J418" s="3" t="s">
        <v>4603</v>
      </c>
    </row>
    <row r="419" spans="1:10" ht="25.5">
      <c r="A419" s="3" t="s">
        <v>858</v>
      </c>
      <c r="B419" s="3" t="s">
        <v>859</v>
      </c>
      <c r="C419" s="4">
        <v>273</v>
      </c>
      <c r="D419" s="3" t="s">
        <v>771</v>
      </c>
      <c r="E419" s="3" t="s">
        <v>13</v>
      </c>
      <c r="F419" s="5">
        <v>3755.28</v>
      </c>
      <c r="G419" s="5">
        <v>869.28</v>
      </c>
      <c r="H419" s="5">
        <f t="shared" si="12"/>
        <v>-2886</v>
      </c>
      <c r="I419" s="9">
        <f t="shared" si="13"/>
        <v>-0.76851792675912312</v>
      </c>
      <c r="J419" s="3" t="s">
        <v>4603</v>
      </c>
    </row>
    <row r="420" spans="1:10" ht="25.5">
      <c r="A420" s="3" t="s">
        <v>860</v>
      </c>
      <c r="B420" s="3" t="s">
        <v>861</v>
      </c>
      <c r="C420" s="4">
        <v>337</v>
      </c>
      <c r="D420" s="3" t="s">
        <v>218</v>
      </c>
      <c r="E420" s="3" t="s">
        <v>13</v>
      </c>
      <c r="F420" s="5">
        <v>0</v>
      </c>
      <c r="G420" s="5">
        <v>3429.36</v>
      </c>
      <c r="H420" s="5">
        <f t="shared" si="12"/>
        <v>3429.36</v>
      </c>
      <c r="I420" s="9">
        <f t="shared" si="13"/>
        <v>0</v>
      </c>
      <c r="J420" s="3" t="s">
        <v>4603</v>
      </c>
    </row>
    <row r="421" spans="1:10" ht="25.5">
      <c r="A421" s="3" t="s">
        <v>862</v>
      </c>
      <c r="B421" s="3" t="s">
        <v>863</v>
      </c>
      <c r="C421" s="4">
        <v>93</v>
      </c>
      <c r="D421" s="3" t="s">
        <v>42</v>
      </c>
      <c r="E421" s="3" t="s">
        <v>8</v>
      </c>
      <c r="F421" s="5">
        <v>5179.2</v>
      </c>
      <c r="G421" s="5">
        <v>2590.1999999999998</v>
      </c>
      <c r="H421" s="5">
        <f t="shared" si="12"/>
        <v>-2589</v>
      </c>
      <c r="I421" s="9">
        <f t="shared" si="13"/>
        <v>-0.49988415199258573</v>
      </c>
      <c r="J421" s="3" t="s">
        <v>4603</v>
      </c>
    </row>
    <row r="422" spans="1:10" ht="25.5">
      <c r="A422" s="3" t="s">
        <v>864</v>
      </c>
      <c r="B422" s="3" t="s">
        <v>865</v>
      </c>
      <c r="C422" s="4">
        <v>335</v>
      </c>
      <c r="D422" s="3" t="s">
        <v>7</v>
      </c>
      <c r="E422" s="3" t="s">
        <v>8</v>
      </c>
      <c r="F422" s="5">
        <v>0</v>
      </c>
      <c r="G422" s="5">
        <v>52608.09</v>
      </c>
      <c r="H422" s="5">
        <f t="shared" si="12"/>
        <v>52608.09</v>
      </c>
      <c r="I422" s="9">
        <f t="shared" si="13"/>
        <v>0</v>
      </c>
      <c r="J422" s="3" t="s">
        <v>4603</v>
      </c>
    </row>
    <row r="423" spans="1:10" ht="25.5">
      <c r="A423" s="3" t="s">
        <v>866</v>
      </c>
      <c r="B423" s="3" t="s">
        <v>867</v>
      </c>
      <c r="C423" s="4">
        <v>218</v>
      </c>
      <c r="D423" s="3" t="s">
        <v>155</v>
      </c>
      <c r="E423" s="3" t="s">
        <v>13</v>
      </c>
      <c r="F423" s="5">
        <v>5543.04</v>
      </c>
      <c r="G423" s="5">
        <v>3834.72</v>
      </c>
      <c r="H423" s="5">
        <f t="shared" si="12"/>
        <v>-1708.3200000000002</v>
      </c>
      <c r="I423" s="9">
        <f t="shared" si="13"/>
        <v>-0.308191894700381</v>
      </c>
      <c r="J423" s="3" t="s">
        <v>4603</v>
      </c>
    </row>
    <row r="424" spans="1:10">
      <c r="A424" s="3" t="s">
        <v>868</v>
      </c>
      <c r="B424" s="3" t="s">
        <v>869</v>
      </c>
      <c r="C424" s="4">
        <v>217</v>
      </c>
      <c r="D424" s="3" t="s">
        <v>253</v>
      </c>
      <c r="E424" s="3" t="s">
        <v>13</v>
      </c>
      <c r="F424" s="5">
        <v>7563.42</v>
      </c>
      <c r="G424" s="5">
        <v>0</v>
      </c>
      <c r="H424" s="5">
        <f t="shared" si="12"/>
        <v>-7563.42</v>
      </c>
      <c r="I424" s="9">
        <f t="shared" si="13"/>
        <v>-1</v>
      </c>
      <c r="J424" s="3" t="s">
        <v>4603</v>
      </c>
    </row>
    <row r="425" spans="1:10" ht="25.5">
      <c r="A425" s="3" t="s">
        <v>870</v>
      </c>
      <c r="B425" s="3" t="s">
        <v>871</v>
      </c>
      <c r="C425" s="4">
        <v>208</v>
      </c>
      <c r="D425" s="3" t="s">
        <v>58</v>
      </c>
      <c r="E425" s="3" t="s">
        <v>13</v>
      </c>
      <c r="F425" s="5">
        <v>0</v>
      </c>
      <c r="G425" s="5">
        <v>36185.160000000003</v>
      </c>
      <c r="H425" s="5">
        <f t="shared" si="12"/>
        <v>36185.160000000003</v>
      </c>
      <c r="I425" s="9">
        <f t="shared" si="13"/>
        <v>0</v>
      </c>
      <c r="J425" s="3" t="s">
        <v>4603</v>
      </c>
    </row>
    <row r="426" spans="1:10" ht="38.25">
      <c r="A426" s="3" t="s">
        <v>872</v>
      </c>
      <c r="B426" s="3" t="s">
        <v>873</v>
      </c>
      <c r="C426" s="4">
        <v>34</v>
      </c>
      <c r="D426" s="3" t="s">
        <v>136</v>
      </c>
      <c r="E426" s="3" t="s">
        <v>30</v>
      </c>
      <c r="F426" s="5">
        <v>121971.39</v>
      </c>
      <c r="G426" s="5">
        <v>83737.850000000006</v>
      </c>
      <c r="H426" s="5">
        <f t="shared" si="12"/>
        <v>-38233.539999999994</v>
      </c>
      <c r="I426" s="9">
        <f t="shared" si="13"/>
        <v>-0.31346318181665389</v>
      </c>
      <c r="J426" s="3" t="s">
        <v>4604</v>
      </c>
    </row>
    <row r="427" spans="1:10">
      <c r="A427" s="3" t="s">
        <v>874</v>
      </c>
      <c r="B427" s="3" t="s">
        <v>875</v>
      </c>
      <c r="C427" s="4">
        <v>15</v>
      </c>
      <c r="D427" s="3" t="s">
        <v>33</v>
      </c>
      <c r="E427" s="3" t="s">
        <v>13</v>
      </c>
      <c r="F427" s="5">
        <v>25627.08</v>
      </c>
      <c r="G427" s="5">
        <v>19797.12</v>
      </c>
      <c r="H427" s="5">
        <f t="shared" si="12"/>
        <v>-5829.9600000000028</v>
      </c>
      <c r="I427" s="9">
        <f t="shared" si="13"/>
        <v>-0.22749216844057152</v>
      </c>
      <c r="J427" s="3" t="s">
        <v>4603</v>
      </c>
    </row>
    <row r="428" spans="1:10" ht="25.5">
      <c r="A428" s="3" t="s">
        <v>876</v>
      </c>
      <c r="B428" s="3" t="s">
        <v>877</v>
      </c>
      <c r="C428" s="4">
        <v>335</v>
      </c>
      <c r="D428" s="3" t="s">
        <v>7</v>
      </c>
      <c r="E428" s="3" t="s">
        <v>8</v>
      </c>
      <c r="F428" s="5">
        <v>15542.46</v>
      </c>
      <c r="G428" s="5">
        <v>0</v>
      </c>
      <c r="H428" s="5">
        <f t="shared" si="12"/>
        <v>-15542.46</v>
      </c>
      <c r="I428" s="9">
        <f t="shared" si="13"/>
        <v>-1</v>
      </c>
      <c r="J428" s="3" t="s">
        <v>4603</v>
      </c>
    </row>
    <row r="429" spans="1:10" ht="25.5">
      <c r="A429" s="3" t="s">
        <v>878</v>
      </c>
      <c r="B429" s="3" t="s">
        <v>879</v>
      </c>
      <c r="C429" s="4">
        <v>178</v>
      </c>
      <c r="D429" s="3" t="s">
        <v>92</v>
      </c>
      <c r="E429" s="3" t="s">
        <v>8</v>
      </c>
      <c r="F429" s="5">
        <v>0</v>
      </c>
      <c r="G429" s="5">
        <v>4228.4399999999996</v>
      </c>
      <c r="H429" s="5">
        <f t="shared" si="12"/>
        <v>4228.4399999999996</v>
      </c>
      <c r="I429" s="9">
        <f t="shared" si="13"/>
        <v>0</v>
      </c>
      <c r="J429" s="3" t="s">
        <v>4603</v>
      </c>
    </row>
    <row r="430" spans="1:10" ht="38.25">
      <c r="A430" s="3" t="s">
        <v>880</v>
      </c>
      <c r="B430" s="3" t="s">
        <v>881</v>
      </c>
      <c r="C430" s="4">
        <v>301</v>
      </c>
      <c r="D430" s="3" t="s">
        <v>12</v>
      </c>
      <c r="E430" s="3" t="s">
        <v>13</v>
      </c>
      <c r="F430" s="5">
        <v>15034.44</v>
      </c>
      <c r="G430" s="5">
        <v>49273.29</v>
      </c>
      <c r="H430" s="5">
        <f t="shared" si="12"/>
        <v>34238.85</v>
      </c>
      <c r="I430" s="9">
        <f t="shared" si="13"/>
        <v>2.2773611787336274</v>
      </c>
      <c r="J430" s="3" t="s">
        <v>4604</v>
      </c>
    </row>
    <row r="431" spans="1:10" ht="25.5">
      <c r="A431" s="3" t="s">
        <v>882</v>
      </c>
      <c r="B431" s="3" t="s">
        <v>883</v>
      </c>
      <c r="C431" s="4">
        <v>23</v>
      </c>
      <c r="D431" s="3" t="s">
        <v>71</v>
      </c>
      <c r="E431" s="3" t="s">
        <v>8</v>
      </c>
      <c r="F431" s="5">
        <v>51749.94</v>
      </c>
      <c r="G431" s="5">
        <v>50617.881000000001</v>
      </c>
      <c r="H431" s="5">
        <f t="shared" si="12"/>
        <v>-1132.0590000000011</v>
      </c>
      <c r="I431" s="9">
        <f t="shared" si="13"/>
        <v>-2.1875561594854043E-2</v>
      </c>
      <c r="J431" s="3" t="s">
        <v>4603</v>
      </c>
    </row>
    <row r="432" spans="1:10" ht="25.5">
      <c r="A432" s="3" t="s">
        <v>884</v>
      </c>
      <c r="B432" s="3" t="s">
        <v>885</v>
      </c>
      <c r="C432" s="4">
        <v>335</v>
      </c>
      <c r="D432" s="3" t="s">
        <v>7</v>
      </c>
      <c r="E432" s="3" t="s">
        <v>8</v>
      </c>
      <c r="F432" s="5">
        <v>7243.68</v>
      </c>
      <c r="G432" s="5">
        <v>16188.353999999999</v>
      </c>
      <c r="H432" s="5">
        <f t="shared" si="12"/>
        <v>8944.6739999999991</v>
      </c>
      <c r="I432" s="9">
        <f t="shared" si="13"/>
        <v>1.2348245643098532</v>
      </c>
      <c r="J432" s="3" t="s">
        <v>4603</v>
      </c>
    </row>
    <row r="433" spans="1:10" ht="25.5">
      <c r="A433" s="3" t="s">
        <v>886</v>
      </c>
      <c r="B433" s="3" t="s">
        <v>887</v>
      </c>
      <c r="C433" s="4">
        <v>335</v>
      </c>
      <c r="D433" s="3" t="s">
        <v>7</v>
      </c>
      <c r="E433" s="3" t="s">
        <v>8</v>
      </c>
      <c r="F433" s="5">
        <v>10947.9</v>
      </c>
      <c r="G433" s="5">
        <v>0</v>
      </c>
      <c r="H433" s="5">
        <f t="shared" si="12"/>
        <v>-10947.9</v>
      </c>
      <c r="I433" s="9">
        <f t="shared" si="13"/>
        <v>-1</v>
      </c>
      <c r="J433" s="3" t="s">
        <v>4604</v>
      </c>
    </row>
    <row r="434" spans="1:10" ht="25.5">
      <c r="A434" s="3" t="s">
        <v>888</v>
      </c>
      <c r="B434" s="3" t="s">
        <v>889</v>
      </c>
      <c r="C434" s="4">
        <v>335</v>
      </c>
      <c r="D434" s="3" t="s">
        <v>7</v>
      </c>
      <c r="E434" s="3" t="s">
        <v>8</v>
      </c>
      <c r="F434" s="5">
        <v>32271.96</v>
      </c>
      <c r="G434" s="5">
        <v>0</v>
      </c>
      <c r="H434" s="5">
        <f t="shared" si="12"/>
        <v>-32271.96</v>
      </c>
      <c r="I434" s="9">
        <f t="shared" si="13"/>
        <v>-1</v>
      </c>
      <c r="J434" s="3" t="s">
        <v>4603</v>
      </c>
    </row>
    <row r="435" spans="1:10" ht="25.5">
      <c r="A435" s="3" t="s">
        <v>890</v>
      </c>
      <c r="B435" s="3" t="s">
        <v>891</v>
      </c>
      <c r="C435" s="4">
        <v>335</v>
      </c>
      <c r="D435" s="3" t="s">
        <v>7</v>
      </c>
      <c r="E435" s="3" t="s">
        <v>8</v>
      </c>
      <c r="F435" s="5">
        <v>18224.009999999998</v>
      </c>
      <c r="G435" s="5">
        <v>20603.22</v>
      </c>
      <c r="H435" s="5">
        <f t="shared" si="12"/>
        <v>2379.2100000000028</v>
      </c>
      <c r="I435" s="9">
        <f t="shared" si="13"/>
        <v>0.13055359385777354</v>
      </c>
      <c r="J435" s="3" t="s">
        <v>4603</v>
      </c>
    </row>
    <row r="436" spans="1:10" ht="25.5">
      <c r="A436" s="3" t="s">
        <v>892</v>
      </c>
      <c r="B436" s="3" t="s">
        <v>893</v>
      </c>
      <c r="C436" s="4">
        <v>273</v>
      </c>
      <c r="D436" s="3" t="s">
        <v>771</v>
      </c>
      <c r="E436" s="3" t="s">
        <v>13</v>
      </c>
      <c r="F436" s="5">
        <v>0</v>
      </c>
      <c r="G436" s="5">
        <v>10099.14</v>
      </c>
      <c r="H436" s="5">
        <f t="shared" si="12"/>
        <v>10099.14</v>
      </c>
      <c r="I436" s="9">
        <f t="shared" si="13"/>
        <v>0</v>
      </c>
      <c r="J436" s="3" t="s">
        <v>4603</v>
      </c>
    </row>
    <row r="437" spans="1:10" ht="38.25">
      <c r="A437" s="3" t="s">
        <v>894</v>
      </c>
      <c r="B437" s="3" t="s">
        <v>895</v>
      </c>
      <c r="C437" s="4">
        <v>45</v>
      </c>
      <c r="D437" s="3" t="s">
        <v>16</v>
      </c>
      <c r="E437" s="3" t="s">
        <v>8</v>
      </c>
      <c r="F437" s="5">
        <v>26821.8</v>
      </c>
      <c r="G437" s="5">
        <v>0</v>
      </c>
      <c r="H437" s="5">
        <f t="shared" si="12"/>
        <v>-26821.8</v>
      </c>
      <c r="I437" s="9">
        <f t="shared" si="13"/>
        <v>-1</v>
      </c>
      <c r="J437" s="3" t="s">
        <v>4603</v>
      </c>
    </row>
    <row r="438" spans="1:10" ht="25.5">
      <c r="A438" s="3" t="s">
        <v>896</v>
      </c>
      <c r="B438" s="3" t="s">
        <v>897</v>
      </c>
      <c r="C438" s="4">
        <v>93</v>
      </c>
      <c r="D438" s="3" t="s">
        <v>42</v>
      </c>
      <c r="E438" s="3" t="s">
        <v>8</v>
      </c>
      <c r="F438" s="5">
        <v>6514.8</v>
      </c>
      <c r="G438" s="5">
        <v>0</v>
      </c>
      <c r="H438" s="5">
        <f t="shared" si="12"/>
        <v>-6514.8</v>
      </c>
      <c r="I438" s="9">
        <f t="shared" si="13"/>
        <v>-1</v>
      </c>
      <c r="J438" s="3" t="s">
        <v>4603</v>
      </c>
    </row>
    <row r="439" spans="1:10" ht="25.5">
      <c r="A439" s="3" t="s">
        <v>898</v>
      </c>
      <c r="B439" s="3" t="s">
        <v>899</v>
      </c>
      <c r="C439" s="4">
        <v>297</v>
      </c>
      <c r="D439" s="3" t="s">
        <v>209</v>
      </c>
      <c r="E439" s="3" t="s">
        <v>22</v>
      </c>
      <c r="F439" s="5">
        <v>4906.1099999999997</v>
      </c>
      <c r="G439" s="5">
        <v>2790.8919999999998</v>
      </c>
      <c r="H439" s="5">
        <f t="shared" si="12"/>
        <v>-2115.2179999999998</v>
      </c>
      <c r="I439" s="9">
        <f t="shared" si="13"/>
        <v>-0.43113953824924434</v>
      </c>
      <c r="J439" s="3" t="s">
        <v>4604</v>
      </c>
    </row>
    <row r="440" spans="1:10" ht="25.5">
      <c r="A440" s="3" t="s">
        <v>900</v>
      </c>
      <c r="B440" s="3" t="s">
        <v>901</v>
      </c>
      <c r="C440" s="4">
        <v>297</v>
      </c>
      <c r="D440" s="3" t="s">
        <v>209</v>
      </c>
      <c r="E440" s="3" t="s">
        <v>22</v>
      </c>
      <c r="F440" s="5">
        <v>7925.51</v>
      </c>
      <c r="G440" s="5">
        <v>16272.29</v>
      </c>
      <c r="H440" s="5">
        <f t="shared" si="12"/>
        <v>8346.7800000000007</v>
      </c>
      <c r="I440" s="9">
        <f t="shared" si="13"/>
        <v>1.0531536771766108</v>
      </c>
      <c r="J440" s="3" t="s">
        <v>4603</v>
      </c>
    </row>
    <row r="441" spans="1:10">
      <c r="A441" s="3" t="s">
        <v>902</v>
      </c>
      <c r="B441" s="3" t="s">
        <v>903</v>
      </c>
      <c r="C441" s="4">
        <v>231</v>
      </c>
      <c r="D441" s="3" t="s">
        <v>89</v>
      </c>
      <c r="E441" s="3" t="s">
        <v>8</v>
      </c>
      <c r="F441" s="5">
        <v>6946.92</v>
      </c>
      <c r="G441" s="5">
        <v>0</v>
      </c>
      <c r="H441" s="5">
        <f t="shared" si="12"/>
        <v>-6946.92</v>
      </c>
      <c r="I441" s="9">
        <f t="shared" si="13"/>
        <v>-1</v>
      </c>
      <c r="J441" s="3" t="s">
        <v>4603</v>
      </c>
    </row>
    <row r="442" spans="1:10" ht="25.5">
      <c r="A442" s="3" t="s">
        <v>904</v>
      </c>
      <c r="B442" s="3" t="s">
        <v>905</v>
      </c>
      <c r="C442" s="4">
        <v>208</v>
      </c>
      <c r="D442" s="3" t="s">
        <v>58</v>
      </c>
      <c r="E442" s="3" t="s">
        <v>13</v>
      </c>
      <c r="F442" s="5">
        <v>0</v>
      </c>
      <c r="G442" s="5">
        <v>6518.64</v>
      </c>
      <c r="H442" s="5">
        <f t="shared" si="12"/>
        <v>6518.64</v>
      </c>
      <c r="I442" s="9">
        <f t="shared" si="13"/>
        <v>0</v>
      </c>
      <c r="J442" s="3" t="s">
        <v>4603</v>
      </c>
    </row>
    <row r="443" spans="1:10" ht="38.25">
      <c r="A443" s="3" t="s">
        <v>906</v>
      </c>
      <c r="B443" s="3" t="s">
        <v>907</v>
      </c>
      <c r="C443" s="4">
        <v>34</v>
      </c>
      <c r="D443" s="3" t="s">
        <v>136</v>
      </c>
      <c r="E443" s="3" t="s">
        <v>30</v>
      </c>
      <c r="F443" s="5">
        <v>0</v>
      </c>
      <c r="G443" s="5">
        <v>17675.939999999999</v>
      </c>
      <c r="H443" s="5">
        <f t="shared" si="12"/>
        <v>17675.939999999999</v>
      </c>
      <c r="I443" s="9">
        <f t="shared" si="13"/>
        <v>0</v>
      </c>
      <c r="J443" s="3" t="s">
        <v>4603</v>
      </c>
    </row>
    <row r="444" spans="1:10" ht="25.5">
      <c r="A444" s="3" t="s">
        <v>908</v>
      </c>
      <c r="B444" s="3" t="s">
        <v>909</v>
      </c>
      <c r="C444" s="4">
        <v>187</v>
      </c>
      <c r="D444" s="3" t="s">
        <v>460</v>
      </c>
      <c r="E444" s="3" t="s">
        <v>8</v>
      </c>
      <c r="F444" s="5">
        <v>6709.74</v>
      </c>
      <c r="G444" s="5">
        <v>0</v>
      </c>
      <c r="H444" s="5">
        <f t="shared" si="12"/>
        <v>-6709.74</v>
      </c>
      <c r="I444" s="9">
        <f t="shared" si="13"/>
        <v>-1</v>
      </c>
      <c r="J444" s="3" t="s">
        <v>4603</v>
      </c>
    </row>
    <row r="445" spans="1:10" ht="25.5">
      <c r="A445" s="3" t="s">
        <v>910</v>
      </c>
      <c r="B445" s="3" t="s">
        <v>911</v>
      </c>
      <c r="C445" s="4">
        <v>240</v>
      </c>
      <c r="D445" s="3" t="s">
        <v>152</v>
      </c>
      <c r="E445" s="3" t="s">
        <v>13</v>
      </c>
      <c r="F445" s="5">
        <v>7146.78</v>
      </c>
      <c r="G445" s="5">
        <v>11150.91</v>
      </c>
      <c r="H445" s="5">
        <f t="shared" si="12"/>
        <v>4004.13</v>
      </c>
      <c r="I445" s="9">
        <f t="shared" si="13"/>
        <v>0.5602704994417067</v>
      </c>
      <c r="J445" s="3" t="s">
        <v>4603</v>
      </c>
    </row>
    <row r="446" spans="1:10" ht="25.5">
      <c r="A446" s="3" t="s">
        <v>912</v>
      </c>
      <c r="B446" s="3" t="s">
        <v>913</v>
      </c>
      <c r="C446" s="4">
        <v>41</v>
      </c>
      <c r="D446" s="3" t="s">
        <v>106</v>
      </c>
      <c r="E446" s="3" t="s">
        <v>22</v>
      </c>
      <c r="F446" s="5">
        <v>0</v>
      </c>
      <c r="G446" s="5">
        <v>2609.88</v>
      </c>
      <c r="H446" s="5">
        <f t="shared" si="12"/>
        <v>2609.88</v>
      </c>
      <c r="I446" s="9">
        <f t="shared" si="13"/>
        <v>0</v>
      </c>
      <c r="J446" s="3" t="s">
        <v>4603</v>
      </c>
    </row>
    <row r="447" spans="1:10">
      <c r="A447" s="3" t="s">
        <v>914</v>
      </c>
      <c r="B447" s="3" t="s">
        <v>915</v>
      </c>
      <c r="C447" s="4">
        <v>231</v>
      </c>
      <c r="D447" s="3" t="s">
        <v>89</v>
      </c>
      <c r="E447" s="3" t="s">
        <v>8</v>
      </c>
      <c r="F447" s="5">
        <v>2615.52</v>
      </c>
      <c r="G447" s="5">
        <v>10480.200000000001</v>
      </c>
      <c r="H447" s="5">
        <f t="shared" si="12"/>
        <v>7864.68</v>
      </c>
      <c r="I447" s="9">
        <f t="shared" si="13"/>
        <v>3.0069278766746192</v>
      </c>
      <c r="J447" s="3" t="s">
        <v>4603</v>
      </c>
    </row>
    <row r="448" spans="1:10" ht="38.25">
      <c r="A448" s="3" t="s">
        <v>916</v>
      </c>
      <c r="B448" s="3" t="s">
        <v>917</v>
      </c>
      <c r="C448" s="4">
        <v>371</v>
      </c>
      <c r="D448" s="3" t="s">
        <v>29</v>
      </c>
      <c r="E448" s="3" t="s">
        <v>30</v>
      </c>
      <c r="F448" s="5">
        <v>4011.84</v>
      </c>
      <c r="G448" s="5">
        <v>0</v>
      </c>
      <c r="H448" s="5">
        <f t="shared" si="12"/>
        <v>-4011.84</v>
      </c>
      <c r="I448" s="9">
        <f t="shared" si="13"/>
        <v>-1</v>
      </c>
      <c r="J448" s="3" t="s">
        <v>4603</v>
      </c>
    </row>
    <row r="449" spans="1:10" ht="25.5">
      <c r="A449" s="3" t="s">
        <v>918</v>
      </c>
      <c r="B449" s="3" t="s">
        <v>919</v>
      </c>
      <c r="C449" s="4">
        <v>273</v>
      </c>
      <c r="D449" s="3" t="s">
        <v>771</v>
      </c>
      <c r="E449" s="3" t="s">
        <v>13</v>
      </c>
      <c r="F449" s="5">
        <v>2999.16</v>
      </c>
      <c r="G449" s="5">
        <v>0</v>
      </c>
      <c r="H449" s="5">
        <f t="shared" si="12"/>
        <v>-2999.16</v>
      </c>
      <c r="I449" s="9">
        <f t="shared" si="13"/>
        <v>-1</v>
      </c>
      <c r="J449" s="3" t="s">
        <v>4603</v>
      </c>
    </row>
    <row r="450" spans="1:10" ht="25.5">
      <c r="A450" s="3" t="s">
        <v>920</v>
      </c>
      <c r="B450" s="3" t="s">
        <v>921</v>
      </c>
      <c r="C450" s="4">
        <v>335</v>
      </c>
      <c r="D450" s="3" t="s">
        <v>7</v>
      </c>
      <c r="E450" s="3" t="s">
        <v>8</v>
      </c>
      <c r="F450" s="5">
        <v>8998.5300000000007</v>
      </c>
      <c r="G450" s="5">
        <v>20344.2</v>
      </c>
      <c r="H450" s="5">
        <f t="shared" si="12"/>
        <v>11345.67</v>
      </c>
      <c r="I450" s="9">
        <f t="shared" si="13"/>
        <v>1.2608359365363007</v>
      </c>
      <c r="J450" s="3" t="s">
        <v>4603</v>
      </c>
    </row>
    <row r="451" spans="1:10" ht="38.25">
      <c r="A451" s="3" t="s">
        <v>922</v>
      </c>
      <c r="B451" s="3" t="s">
        <v>923</v>
      </c>
      <c r="C451" s="4">
        <v>34</v>
      </c>
      <c r="D451" s="3" t="s">
        <v>136</v>
      </c>
      <c r="E451" s="3" t="s">
        <v>30</v>
      </c>
      <c r="F451" s="5">
        <v>12322.11</v>
      </c>
      <c r="G451" s="5">
        <v>0</v>
      </c>
      <c r="H451" s="5">
        <f t="shared" ref="H451:H514" si="14">G451-F451</f>
        <v>-12322.11</v>
      </c>
      <c r="I451" s="9">
        <f t="shared" ref="I451:I514" si="15">IFERROR(G451/F451-1,0)</f>
        <v>-1</v>
      </c>
      <c r="J451" s="3" t="s">
        <v>4603</v>
      </c>
    </row>
    <row r="452" spans="1:10" ht="25.5">
      <c r="A452" s="3" t="s">
        <v>924</v>
      </c>
      <c r="B452" s="3" t="s">
        <v>925</v>
      </c>
      <c r="C452" s="4">
        <v>15</v>
      </c>
      <c r="D452" s="3" t="s">
        <v>33</v>
      </c>
      <c r="E452" s="3" t="s">
        <v>13</v>
      </c>
      <c r="F452" s="5">
        <v>115480.32000000001</v>
      </c>
      <c r="G452" s="5">
        <v>0</v>
      </c>
      <c r="H452" s="5">
        <f t="shared" si="14"/>
        <v>-115480.32000000001</v>
      </c>
      <c r="I452" s="9">
        <f t="shared" si="15"/>
        <v>-1</v>
      </c>
      <c r="J452" s="3" t="s">
        <v>4604</v>
      </c>
    </row>
    <row r="453" spans="1:10" ht="25.5">
      <c r="A453" s="3" t="s">
        <v>926</v>
      </c>
      <c r="B453" s="3" t="s">
        <v>927</v>
      </c>
      <c r="C453" s="4">
        <v>267</v>
      </c>
      <c r="D453" s="3" t="s">
        <v>417</v>
      </c>
      <c r="E453" s="3" t="s">
        <v>13</v>
      </c>
      <c r="F453" s="5">
        <v>23493.84</v>
      </c>
      <c r="G453" s="5">
        <v>19797.36</v>
      </c>
      <c r="H453" s="5">
        <f t="shared" si="14"/>
        <v>-3696.4799999999996</v>
      </c>
      <c r="I453" s="9">
        <f t="shared" si="15"/>
        <v>-0.15733826398749629</v>
      </c>
      <c r="J453" s="3" t="s">
        <v>4603</v>
      </c>
    </row>
    <row r="454" spans="1:10">
      <c r="A454" s="3" t="s">
        <v>928</v>
      </c>
      <c r="B454" s="3" t="s">
        <v>929</v>
      </c>
      <c r="C454" s="4">
        <v>167</v>
      </c>
      <c r="D454" s="3" t="s">
        <v>335</v>
      </c>
      <c r="E454" s="3" t="s">
        <v>30</v>
      </c>
      <c r="F454" s="5">
        <v>0</v>
      </c>
      <c r="G454" s="5">
        <v>29262.66</v>
      </c>
      <c r="H454" s="5">
        <f t="shared" si="14"/>
        <v>29262.66</v>
      </c>
      <c r="I454" s="9">
        <f t="shared" si="15"/>
        <v>0</v>
      </c>
      <c r="J454" s="3" t="s">
        <v>4603</v>
      </c>
    </row>
    <row r="455" spans="1:10" ht="25.5">
      <c r="A455" s="3" t="s">
        <v>930</v>
      </c>
      <c r="B455" s="3" t="s">
        <v>931</v>
      </c>
      <c r="C455" s="4">
        <v>266</v>
      </c>
      <c r="D455" s="3" t="s">
        <v>111</v>
      </c>
      <c r="E455" s="3" t="s">
        <v>18</v>
      </c>
      <c r="F455" s="5">
        <v>20783.16</v>
      </c>
      <c r="G455" s="5">
        <v>29059.22</v>
      </c>
      <c r="H455" s="5">
        <f t="shared" si="14"/>
        <v>8276.0600000000013</v>
      </c>
      <c r="I455" s="9">
        <f t="shared" si="15"/>
        <v>0.39820989685880304</v>
      </c>
      <c r="J455" s="3" t="s">
        <v>4603</v>
      </c>
    </row>
    <row r="456" spans="1:10" ht="25.5">
      <c r="A456" s="3" t="s">
        <v>932</v>
      </c>
      <c r="B456" s="3" t="s">
        <v>933</v>
      </c>
      <c r="C456" s="4">
        <v>335</v>
      </c>
      <c r="D456" s="3" t="s">
        <v>7</v>
      </c>
      <c r="E456" s="3" t="s">
        <v>8</v>
      </c>
      <c r="F456" s="5">
        <v>3053.04</v>
      </c>
      <c r="G456" s="5">
        <v>0</v>
      </c>
      <c r="H456" s="5">
        <f t="shared" si="14"/>
        <v>-3053.04</v>
      </c>
      <c r="I456" s="9">
        <f t="shared" si="15"/>
        <v>-1</v>
      </c>
      <c r="J456" s="3" t="s">
        <v>4603</v>
      </c>
    </row>
    <row r="457" spans="1:10" ht="25.5">
      <c r="A457" s="3" t="s">
        <v>934</v>
      </c>
      <c r="B457" s="3" t="s">
        <v>935</v>
      </c>
      <c r="C457" s="4">
        <v>273</v>
      </c>
      <c r="D457" s="3" t="s">
        <v>771</v>
      </c>
      <c r="E457" s="3" t="s">
        <v>13</v>
      </c>
      <c r="F457" s="5">
        <v>5911.86</v>
      </c>
      <c r="G457" s="5">
        <v>0</v>
      </c>
      <c r="H457" s="5">
        <f t="shared" si="14"/>
        <v>-5911.86</v>
      </c>
      <c r="I457" s="9">
        <f t="shared" si="15"/>
        <v>-1</v>
      </c>
      <c r="J457" s="3" t="s">
        <v>4604</v>
      </c>
    </row>
    <row r="458" spans="1:10">
      <c r="A458" s="3" t="s">
        <v>936</v>
      </c>
      <c r="B458" s="3" t="s">
        <v>937</v>
      </c>
      <c r="C458" s="4">
        <v>240</v>
      </c>
      <c r="D458" s="3" t="s">
        <v>152</v>
      </c>
      <c r="E458" s="3" t="s">
        <v>13</v>
      </c>
      <c r="F458" s="5">
        <v>17659.650000000001</v>
      </c>
      <c r="G458" s="5">
        <v>0</v>
      </c>
      <c r="H458" s="5">
        <f t="shared" si="14"/>
        <v>-17659.650000000001</v>
      </c>
      <c r="I458" s="9">
        <f t="shared" si="15"/>
        <v>-1</v>
      </c>
      <c r="J458" s="3" t="s">
        <v>4604</v>
      </c>
    </row>
    <row r="459" spans="1:10" ht="38.25">
      <c r="A459" s="3" t="s">
        <v>938</v>
      </c>
      <c r="B459" s="3" t="s">
        <v>939</v>
      </c>
      <c r="C459" s="4">
        <v>34</v>
      </c>
      <c r="D459" s="3" t="s">
        <v>136</v>
      </c>
      <c r="E459" s="3" t="s">
        <v>30</v>
      </c>
      <c r="F459" s="5">
        <v>0</v>
      </c>
      <c r="G459" s="5">
        <v>4740.4799999999996</v>
      </c>
      <c r="H459" s="5">
        <f t="shared" si="14"/>
        <v>4740.4799999999996</v>
      </c>
      <c r="I459" s="9">
        <f t="shared" si="15"/>
        <v>0</v>
      </c>
      <c r="J459" s="3" t="s">
        <v>4603</v>
      </c>
    </row>
    <row r="460" spans="1:10" ht="25.5">
      <c r="A460" s="3" t="s">
        <v>940</v>
      </c>
      <c r="B460" s="3" t="s">
        <v>941</v>
      </c>
      <c r="C460" s="4">
        <v>335</v>
      </c>
      <c r="D460" s="3" t="s">
        <v>7</v>
      </c>
      <c r="E460" s="3" t="s">
        <v>8</v>
      </c>
      <c r="F460" s="5">
        <v>0</v>
      </c>
      <c r="G460" s="5">
        <v>25707</v>
      </c>
      <c r="H460" s="5">
        <f t="shared" si="14"/>
        <v>25707</v>
      </c>
      <c r="I460" s="9">
        <f t="shared" si="15"/>
        <v>0</v>
      </c>
      <c r="J460" s="3" t="s">
        <v>4603</v>
      </c>
    </row>
    <row r="461" spans="1:10">
      <c r="A461" s="3" t="s">
        <v>942</v>
      </c>
      <c r="B461" s="3" t="s">
        <v>943</v>
      </c>
      <c r="C461" s="4">
        <v>240</v>
      </c>
      <c r="D461" s="3" t="s">
        <v>152</v>
      </c>
      <c r="E461" s="3" t="s">
        <v>13</v>
      </c>
      <c r="F461" s="5">
        <v>33793.199999999997</v>
      </c>
      <c r="G461" s="5">
        <v>23608.14</v>
      </c>
      <c r="H461" s="5">
        <f t="shared" si="14"/>
        <v>-10185.059999999998</v>
      </c>
      <c r="I461" s="9">
        <f t="shared" si="15"/>
        <v>-0.30139377152799962</v>
      </c>
      <c r="J461" s="3" t="s">
        <v>4603</v>
      </c>
    </row>
    <row r="462" spans="1:10" ht="25.5">
      <c r="A462" s="3" t="s">
        <v>944</v>
      </c>
      <c r="B462" s="3" t="s">
        <v>164</v>
      </c>
      <c r="C462" s="4">
        <v>335</v>
      </c>
      <c r="D462" s="3" t="s">
        <v>7</v>
      </c>
      <c r="E462" s="3" t="s">
        <v>8</v>
      </c>
      <c r="F462" s="5">
        <v>16675.919999999998</v>
      </c>
      <c r="G462" s="5">
        <v>22354.59</v>
      </c>
      <c r="H462" s="5">
        <f t="shared" si="14"/>
        <v>5678.6700000000019</v>
      </c>
      <c r="I462" s="9">
        <f t="shared" si="15"/>
        <v>0.34053113711267513</v>
      </c>
      <c r="J462" s="3" t="s">
        <v>4603</v>
      </c>
    </row>
    <row r="463" spans="1:10" ht="25.5">
      <c r="A463" s="3" t="s">
        <v>945</v>
      </c>
      <c r="B463" s="3" t="s">
        <v>946</v>
      </c>
      <c r="C463" s="4">
        <v>93</v>
      </c>
      <c r="D463" s="3" t="s">
        <v>42</v>
      </c>
      <c r="E463" s="3" t="s">
        <v>8</v>
      </c>
      <c r="F463" s="5">
        <v>0</v>
      </c>
      <c r="G463" s="5">
        <v>18831.36</v>
      </c>
      <c r="H463" s="5">
        <f t="shared" si="14"/>
        <v>18831.36</v>
      </c>
      <c r="I463" s="9">
        <f t="shared" si="15"/>
        <v>0</v>
      </c>
      <c r="J463" s="3" t="s">
        <v>4603</v>
      </c>
    </row>
    <row r="464" spans="1:10">
      <c r="A464" s="3" t="s">
        <v>947</v>
      </c>
      <c r="B464" s="3" t="s">
        <v>948</v>
      </c>
      <c r="C464" s="4">
        <v>167</v>
      </c>
      <c r="D464" s="3" t="s">
        <v>335</v>
      </c>
      <c r="E464" s="3" t="s">
        <v>30</v>
      </c>
      <c r="F464" s="5">
        <v>5234.16</v>
      </c>
      <c r="G464" s="5">
        <v>14467.44</v>
      </c>
      <c r="H464" s="5">
        <f t="shared" si="14"/>
        <v>9233.2800000000007</v>
      </c>
      <c r="I464" s="9">
        <f t="shared" si="15"/>
        <v>1.7640423678297954</v>
      </c>
      <c r="J464" s="3" t="s">
        <v>4603</v>
      </c>
    </row>
    <row r="465" spans="1:10" ht="25.5">
      <c r="A465" s="3" t="s">
        <v>949</v>
      </c>
      <c r="B465" s="3" t="s">
        <v>950</v>
      </c>
      <c r="C465" s="4">
        <v>296</v>
      </c>
      <c r="D465" s="3" t="s">
        <v>137</v>
      </c>
      <c r="E465" s="3" t="s">
        <v>18</v>
      </c>
      <c r="F465" s="5">
        <v>14124.09</v>
      </c>
      <c r="G465" s="5">
        <v>0</v>
      </c>
      <c r="H465" s="5">
        <f t="shared" si="14"/>
        <v>-14124.09</v>
      </c>
      <c r="I465" s="9">
        <f t="shared" si="15"/>
        <v>-1</v>
      </c>
      <c r="J465" s="3" t="s">
        <v>4603</v>
      </c>
    </row>
    <row r="466" spans="1:10" ht="38.25">
      <c r="A466" s="3" t="s">
        <v>949</v>
      </c>
      <c r="B466" s="3" t="s">
        <v>950</v>
      </c>
      <c r="C466" s="4">
        <v>371</v>
      </c>
      <c r="D466" s="3" t="s">
        <v>29</v>
      </c>
      <c r="E466" s="3" t="s">
        <v>30</v>
      </c>
      <c r="F466" s="5">
        <v>14124.09</v>
      </c>
      <c r="G466" s="5">
        <v>0</v>
      </c>
      <c r="H466" s="5">
        <f t="shared" si="14"/>
        <v>-14124.09</v>
      </c>
      <c r="I466" s="9">
        <f t="shared" si="15"/>
        <v>-1</v>
      </c>
      <c r="J466" s="3" t="s">
        <v>4603</v>
      </c>
    </row>
    <row r="467" spans="1:10" ht="25.5">
      <c r="A467" s="3" t="s">
        <v>951</v>
      </c>
      <c r="B467" s="3" t="s">
        <v>952</v>
      </c>
      <c r="C467" s="4">
        <v>299</v>
      </c>
      <c r="D467" s="3" t="s">
        <v>246</v>
      </c>
      <c r="E467" s="3" t="s">
        <v>30</v>
      </c>
      <c r="F467" s="5">
        <v>7831.59</v>
      </c>
      <c r="G467" s="5">
        <v>16642.080000000002</v>
      </c>
      <c r="H467" s="5">
        <f t="shared" si="14"/>
        <v>8810.4900000000016</v>
      </c>
      <c r="I467" s="9">
        <f t="shared" si="15"/>
        <v>1.124993775210398</v>
      </c>
      <c r="J467" s="3" t="s">
        <v>4603</v>
      </c>
    </row>
    <row r="468" spans="1:10" ht="25.5">
      <c r="A468" s="3" t="s">
        <v>953</v>
      </c>
      <c r="B468" s="3" t="s">
        <v>954</v>
      </c>
      <c r="C468" s="4">
        <v>273</v>
      </c>
      <c r="D468" s="3" t="s">
        <v>771</v>
      </c>
      <c r="E468" s="3" t="s">
        <v>13</v>
      </c>
      <c r="F468" s="5">
        <v>6862.62</v>
      </c>
      <c r="G468" s="5">
        <v>0</v>
      </c>
      <c r="H468" s="5">
        <f t="shared" si="14"/>
        <v>-6862.62</v>
      </c>
      <c r="I468" s="9">
        <f t="shared" si="15"/>
        <v>-1</v>
      </c>
      <c r="J468" s="3" t="s">
        <v>4604</v>
      </c>
    </row>
    <row r="469" spans="1:10">
      <c r="A469" s="3" t="s">
        <v>955</v>
      </c>
      <c r="B469" s="3" t="s">
        <v>956</v>
      </c>
      <c r="C469" s="4">
        <v>15</v>
      </c>
      <c r="D469" s="3" t="s">
        <v>33</v>
      </c>
      <c r="E469" s="3" t="s">
        <v>13</v>
      </c>
      <c r="F469" s="5">
        <v>29750.22</v>
      </c>
      <c r="G469" s="5">
        <v>0</v>
      </c>
      <c r="H469" s="5">
        <f t="shared" si="14"/>
        <v>-29750.22</v>
      </c>
      <c r="I469" s="9">
        <f t="shared" si="15"/>
        <v>-1</v>
      </c>
      <c r="J469" s="3" t="s">
        <v>4603</v>
      </c>
    </row>
    <row r="470" spans="1:10" ht="25.5">
      <c r="A470" s="3" t="s">
        <v>957</v>
      </c>
      <c r="B470" s="3" t="s">
        <v>958</v>
      </c>
      <c r="C470" s="4">
        <v>297</v>
      </c>
      <c r="D470" s="3" t="s">
        <v>209</v>
      </c>
      <c r="E470" s="3" t="s">
        <v>22</v>
      </c>
      <c r="F470" s="5">
        <v>3653.64</v>
      </c>
      <c r="G470" s="5">
        <v>7019.6760000000004</v>
      </c>
      <c r="H470" s="5">
        <f t="shared" si="14"/>
        <v>3366.0360000000005</v>
      </c>
      <c r="I470" s="9">
        <f t="shared" si="15"/>
        <v>0.92128288501330191</v>
      </c>
      <c r="J470" s="3" t="s">
        <v>4603</v>
      </c>
    </row>
    <row r="471" spans="1:10" ht="25.5">
      <c r="A471" s="3" t="s">
        <v>959</v>
      </c>
      <c r="B471" s="3" t="s">
        <v>960</v>
      </c>
      <c r="C471" s="4">
        <v>23</v>
      </c>
      <c r="D471" s="3" t="s">
        <v>71</v>
      </c>
      <c r="E471" s="3" t="s">
        <v>8</v>
      </c>
      <c r="F471" s="5">
        <v>21059.73</v>
      </c>
      <c r="G471" s="5">
        <v>9054</v>
      </c>
      <c r="H471" s="5">
        <f t="shared" si="14"/>
        <v>-12005.73</v>
      </c>
      <c r="I471" s="9">
        <f t="shared" si="15"/>
        <v>-0.57007995829006353</v>
      </c>
      <c r="J471" s="3" t="s">
        <v>4603</v>
      </c>
    </row>
    <row r="472" spans="1:10" ht="38.25">
      <c r="A472" s="3" t="s">
        <v>961</v>
      </c>
      <c r="B472" s="3" t="s">
        <v>962</v>
      </c>
      <c r="C472" s="4">
        <v>11</v>
      </c>
      <c r="D472" s="3" t="s">
        <v>55</v>
      </c>
      <c r="E472" s="3" t="s">
        <v>18</v>
      </c>
      <c r="F472" s="5">
        <v>53293.624000000003</v>
      </c>
      <c r="G472" s="5">
        <v>35718.733999999997</v>
      </c>
      <c r="H472" s="5">
        <f t="shared" si="14"/>
        <v>-17574.890000000007</v>
      </c>
      <c r="I472" s="9">
        <f t="shared" si="15"/>
        <v>-0.32977472126872076</v>
      </c>
      <c r="J472" s="3" t="s">
        <v>4603</v>
      </c>
    </row>
    <row r="473" spans="1:10" ht="25.5">
      <c r="A473" s="3" t="s">
        <v>963</v>
      </c>
      <c r="B473" s="3" t="s">
        <v>964</v>
      </c>
      <c r="C473" s="4">
        <v>317</v>
      </c>
      <c r="D473" s="3" t="s">
        <v>54</v>
      </c>
      <c r="E473" s="3" t="s">
        <v>18</v>
      </c>
      <c r="F473" s="5">
        <v>0</v>
      </c>
      <c r="G473" s="5">
        <v>8108.0219999999999</v>
      </c>
      <c r="H473" s="5">
        <f t="shared" si="14"/>
        <v>8108.0219999999999</v>
      </c>
      <c r="I473" s="9">
        <f t="shared" si="15"/>
        <v>0</v>
      </c>
      <c r="J473" s="3" t="s">
        <v>4603</v>
      </c>
    </row>
    <row r="474" spans="1:10">
      <c r="A474" s="3" t="s">
        <v>965</v>
      </c>
      <c r="B474" s="3" t="s">
        <v>966</v>
      </c>
      <c r="C474" s="4">
        <v>334</v>
      </c>
      <c r="D474" s="3" t="s">
        <v>585</v>
      </c>
      <c r="E474" s="3" t="s">
        <v>8</v>
      </c>
      <c r="F474" s="5">
        <v>0</v>
      </c>
      <c r="G474" s="5">
        <v>7090.44</v>
      </c>
      <c r="H474" s="5">
        <f t="shared" si="14"/>
        <v>7090.44</v>
      </c>
      <c r="I474" s="9">
        <f t="shared" si="15"/>
        <v>0</v>
      </c>
      <c r="J474" s="3" t="s">
        <v>4603</v>
      </c>
    </row>
    <row r="475" spans="1:10" ht="25.5">
      <c r="A475" s="3" t="s">
        <v>967</v>
      </c>
      <c r="B475" s="3" t="s">
        <v>968</v>
      </c>
      <c r="C475" s="4">
        <v>74</v>
      </c>
      <c r="D475" s="3" t="s">
        <v>86</v>
      </c>
      <c r="E475" s="3" t="s">
        <v>8</v>
      </c>
      <c r="F475" s="5">
        <v>5624.16</v>
      </c>
      <c r="G475" s="5">
        <v>0</v>
      </c>
      <c r="H475" s="5">
        <f t="shared" si="14"/>
        <v>-5624.16</v>
      </c>
      <c r="I475" s="9">
        <f t="shared" si="15"/>
        <v>-1</v>
      </c>
      <c r="J475" s="3" t="s">
        <v>4603</v>
      </c>
    </row>
    <row r="476" spans="1:10" ht="38.25">
      <c r="A476" s="3" t="s">
        <v>969</v>
      </c>
      <c r="B476" s="3" t="s">
        <v>970</v>
      </c>
      <c r="C476" s="4">
        <v>11</v>
      </c>
      <c r="D476" s="3" t="s">
        <v>55</v>
      </c>
      <c r="E476" s="3" t="s">
        <v>18</v>
      </c>
      <c r="F476" s="5">
        <v>7905.72</v>
      </c>
      <c r="G476" s="5">
        <v>7989.72</v>
      </c>
      <c r="H476" s="5">
        <f t="shared" si="14"/>
        <v>84</v>
      </c>
      <c r="I476" s="9">
        <f t="shared" si="15"/>
        <v>1.0625218196445019E-2</v>
      </c>
      <c r="J476" s="3" t="s">
        <v>4603</v>
      </c>
    </row>
    <row r="477" spans="1:10" ht="38.25">
      <c r="A477" s="3" t="s">
        <v>969</v>
      </c>
      <c r="B477" s="3" t="s">
        <v>970</v>
      </c>
      <c r="C477" s="4">
        <v>11</v>
      </c>
      <c r="D477" s="3" t="s">
        <v>55</v>
      </c>
      <c r="E477" s="3" t="s">
        <v>13</v>
      </c>
      <c r="F477" s="5">
        <v>7905.72</v>
      </c>
      <c r="G477" s="5">
        <v>7989.72</v>
      </c>
      <c r="H477" s="5">
        <f t="shared" si="14"/>
        <v>84</v>
      </c>
      <c r="I477" s="9">
        <f t="shared" si="15"/>
        <v>1.0625218196445019E-2</v>
      </c>
      <c r="J477" s="3" t="s">
        <v>4603</v>
      </c>
    </row>
    <row r="478" spans="1:10" ht="25.5">
      <c r="A478" s="3" t="s">
        <v>971</v>
      </c>
      <c r="B478" s="3" t="s">
        <v>972</v>
      </c>
      <c r="C478" s="4">
        <v>267</v>
      </c>
      <c r="D478" s="3" t="s">
        <v>417</v>
      </c>
      <c r="E478" s="3" t="s">
        <v>13</v>
      </c>
      <c r="F478" s="5">
        <v>5973.24</v>
      </c>
      <c r="G478" s="5">
        <v>0</v>
      </c>
      <c r="H478" s="5">
        <f t="shared" si="14"/>
        <v>-5973.24</v>
      </c>
      <c r="I478" s="9">
        <f t="shared" si="15"/>
        <v>-1</v>
      </c>
      <c r="J478" s="3" t="s">
        <v>4603</v>
      </c>
    </row>
    <row r="479" spans="1:10" ht="25.5">
      <c r="A479" s="3" t="s">
        <v>973</v>
      </c>
      <c r="B479" s="3" t="s">
        <v>974</v>
      </c>
      <c r="C479" s="4">
        <v>299</v>
      </c>
      <c r="D479" s="3" t="s">
        <v>246</v>
      </c>
      <c r="E479" s="3" t="s">
        <v>30</v>
      </c>
      <c r="F479" s="5">
        <v>2111.52</v>
      </c>
      <c r="G479" s="5">
        <v>0</v>
      </c>
      <c r="H479" s="5">
        <f t="shared" si="14"/>
        <v>-2111.52</v>
      </c>
      <c r="I479" s="9">
        <f t="shared" si="15"/>
        <v>-1</v>
      </c>
      <c r="J479" s="3" t="s">
        <v>4603</v>
      </c>
    </row>
    <row r="480" spans="1:10" ht="25.5">
      <c r="A480" s="3" t="s">
        <v>975</v>
      </c>
      <c r="B480" s="3" t="s">
        <v>976</v>
      </c>
      <c r="C480" s="4">
        <v>299</v>
      </c>
      <c r="D480" s="3" t="s">
        <v>246</v>
      </c>
      <c r="E480" s="3" t="s">
        <v>30</v>
      </c>
      <c r="F480" s="5">
        <v>5062.92</v>
      </c>
      <c r="G480" s="5">
        <v>9490.08</v>
      </c>
      <c r="H480" s="5">
        <f t="shared" si="14"/>
        <v>4427.16</v>
      </c>
      <c r="I480" s="9">
        <f t="shared" si="15"/>
        <v>0.87442819558673657</v>
      </c>
      <c r="J480" s="3" t="s">
        <v>4603</v>
      </c>
    </row>
    <row r="481" spans="1:10" ht="25.5">
      <c r="A481" s="3" t="s">
        <v>977</v>
      </c>
      <c r="B481" s="3" t="s">
        <v>978</v>
      </c>
      <c r="C481" s="4">
        <v>296</v>
      </c>
      <c r="D481" s="3" t="s">
        <v>137</v>
      </c>
      <c r="E481" s="3" t="s">
        <v>18</v>
      </c>
      <c r="F481" s="5">
        <v>4454.34</v>
      </c>
      <c r="G481" s="5">
        <v>0</v>
      </c>
      <c r="H481" s="5">
        <f t="shared" si="14"/>
        <v>-4454.34</v>
      </c>
      <c r="I481" s="9">
        <f t="shared" si="15"/>
        <v>-1</v>
      </c>
      <c r="J481" s="3" t="s">
        <v>4604</v>
      </c>
    </row>
    <row r="482" spans="1:10" ht="25.5">
      <c r="A482" s="3" t="s">
        <v>977</v>
      </c>
      <c r="B482" s="3" t="s">
        <v>978</v>
      </c>
      <c r="C482" s="4">
        <v>296</v>
      </c>
      <c r="D482" s="3" t="s">
        <v>137</v>
      </c>
      <c r="E482" s="3" t="s">
        <v>13</v>
      </c>
      <c r="F482" s="5">
        <v>4454.34</v>
      </c>
      <c r="G482" s="5">
        <v>0</v>
      </c>
      <c r="H482" s="5">
        <f t="shared" si="14"/>
        <v>-4454.34</v>
      </c>
      <c r="I482" s="9">
        <f t="shared" si="15"/>
        <v>-1</v>
      </c>
      <c r="J482" s="3" t="s">
        <v>4604</v>
      </c>
    </row>
    <row r="483" spans="1:10" ht="25.5">
      <c r="A483" s="3" t="s">
        <v>979</v>
      </c>
      <c r="B483" s="3" t="s">
        <v>980</v>
      </c>
      <c r="C483" s="4">
        <v>327</v>
      </c>
      <c r="D483" s="3" t="s">
        <v>76</v>
      </c>
      <c r="E483" s="3" t="s">
        <v>8</v>
      </c>
      <c r="F483" s="5">
        <v>5267.16</v>
      </c>
      <c r="G483" s="5">
        <v>11140.29</v>
      </c>
      <c r="H483" s="5">
        <f t="shared" si="14"/>
        <v>5873.130000000001</v>
      </c>
      <c r="I483" s="9">
        <f t="shared" si="15"/>
        <v>1.1150468183992892</v>
      </c>
      <c r="J483" s="3" t="s">
        <v>4603</v>
      </c>
    </row>
    <row r="484" spans="1:10" ht="25.5">
      <c r="A484" s="3" t="s">
        <v>981</v>
      </c>
      <c r="B484" s="3" t="s">
        <v>982</v>
      </c>
      <c r="C484" s="4">
        <v>327</v>
      </c>
      <c r="D484" s="3" t="s">
        <v>76</v>
      </c>
      <c r="E484" s="3" t="s">
        <v>8</v>
      </c>
      <c r="F484" s="5">
        <v>6952.98</v>
      </c>
      <c r="G484" s="5">
        <v>3117</v>
      </c>
      <c r="H484" s="5">
        <f t="shared" si="14"/>
        <v>-3835.9799999999996</v>
      </c>
      <c r="I484" s="9">
        <f t="shared" si="15"/>
        <v>-0.5517030107953711</v>
      </c>
      <c r="J484" s="3" t="s">
        <v>4604</v>
      </c>
    </row>
    <row r="485" spans="1:10" ht="51">
      <c r="A485" s="3" t="s">
        <v>983</v>
      </c>
      <c r="B485" s="3" t="s">
        <v>984</v>
      </c>
      <c r="C485" s="4">
        <v>282</v>
      </c>
      <c r="D485" s="3" t="s">
        <v>298</v>
      </c>
      <c r="E485" s="3" t="s">
        <v>9</v>
      </c>
      <c r="F485" s="5">
        <v>34337.339999999997</v>
      </c>
      <c r="G485" s="5">
        <v>13008.924000000001</v>
      </c>
      <c r="H485" s="5">
        <f t="shared" si="14"/>
        <v>-21328.415999999997</v>
      </c>
      <c r="I485" s="9">
        <f t="shared" si="15"/>
        <v>-0.62114351315506666</v>
      </c>
      <c r="J485" s="3" t="s">
        <v>4604</v>
      </c>
    </row>
    <row r="486" spans="1:10" ht="25.5">
      <c r="A486" s="3" t="s">
        <v>985</v>
      </c>
      <c r="B486" s="3" t="s">
        <v>986</v>
      </c>
      <c r="C486" s="4">
        <v>337</v>
      </c>
      <c r="D486" s="3" t="s">
        <v>218</v>
      </c>
      <c r="E486" s="3" t="s">
        <v>13</v>
      </c>
      <c r="F486" s="5">
        <v>18763.98</v>
      </c>
      <c r="G486" s="5">
        <v>0</v>
      </c>
      <c r="H486" s="5">
        <f t="shared" si="14"/>
        <v>-18763.98</v>
      </c>
      <c r="I486" s="9">
        <f t="shared" si="15"/>
        <v>-1</v>
      </c>
      <c r="J486" s="3" t="s">
        <v>4603</v>
      </c>
    </row>
    <row r="487" spans="1:10" ht="25.5">
      <c r="A487" s="3" t="s">
        <v>987</v>
      </c>
      <c r="B487" s="3" t="s">
        <v>988</v>
      </c>
      <c r="C487" s="4">
        <v>93</v>
      </c>
      <c r="D487" s="3" t="s">
        <v>42</v>
      </c>
      <c r="E487" s="3" t="s">
        <v>8</v>
      </c>
      <c r="F487" s="5">
        <v>26632.53</v>
      </c>
      <c r="G487" s="5">
        <v>35256.239999999998</v>
      </c>
      <c r="H487" s="5">
        <f t="shared" si="14"/>
        <v>8623.7099999999991</v>
      </c>
      <c r="I487" s="9">
        <f t="shared" si="15"/>
        <v>0.32380363412713709</v>
      </c>
      <c r="J487" s="3" t="s">
        <v>4603</v>
      </c>
    </row>
    <row r="488" spans="1:10">
      <c r="A488" s="3" t="s">
        <v>989</v>
      </c>
      <c r="B488" s="3" t="s">
        <v>990</v>
      </c>
      <c r="C488" s="4">
        <v>15</v>
      </c>
      <c r="D488" s="3" t="s">
        <v>33</v>
      </c>
      <c r="E488" s="3" t="s">
        <v>13</v>
      </c>
      <c r="F488" s="5">
        <v>63319.02</v>
      </c>
      <c r="G488" s="5">
        <v>0</v>
      </c>
      <c r="H488" s="5">
        <f t="shared" si="14"/>
        <v>-63319.02</v>
      </c>
      <c r="I488" s="9">
        <f t="shared" si="15"/>
        <v>-1</v>
      </c>
      <c r="J488" s="3" t="s">
        <v>4604</v>
      </c>
    </row>
    <row r="489" spans="1:10">
      <c r="A489" s="3" t="s">
        <v>991</v>
      </c>
      <c r="B489" s="3" t="s">
        <v>992</v>
      </c>
      <c r="C489" s="4">
        <v>264</v>
      </c>
      <c r="D489" s="3" t="s">
        <v>632</v>
      </c>
      <c r="E489" s="3" t="s">
        <v>22</v>
      </c>
      <c r="F489" s="5">
        <v>11530.68</v>
      </c>
      <c r="G489" s="5">
        <v>0</v>
      </c>
      <c r="H489" s="5">
        <f t="shared" si="14"/>
        <v>-11530.68</v>
      </c>
      <c r="I489" s="9">
        <f t="shared" si="15"/>
        <v>-1</v>
      </c>
      <c r="J489" s="3" t="s">
        <v>4603</v>
      </c>
    </row>
    <row r="490" spans="1:10">
      <c r="A490" s="3" t="s">
        <v>991</v>
      </c>
      <c r="B490" s="3" t="s">
        <v>992</v>
      </c>
      <c r="C490" s="4">
        <v>264</v>
      </c>
      <c r="D490" s="3" t="s">
        <v>632</v>
      </c>
      <c r="E490" s="3" t="s">
        <v>8</v>
      </c>
      <c r="F490" s="5">
        <v>11530.68</v>
      </c>
      <c r="G490" s="5">
        <v>0</v>
      </c>
      <c r="H490" s="5">
        <f t="shared" si="14"/>
        <v>-11530.68</v>
      </c>
      <c r="I490" s="9">
        <f t="shared" si="15"/>
        <v>-1</v>
      </c>
      <c r="J490" s="3" t="s">
        <v>4603</v>
      </c>
    </row>
    <row r="491" spans="1:10">
      <c r="A491" s="3" t="s">
        <v>993</v>
      </c>
      <c r="B491" s="3" t="s">
        <v>994</v>
      </c>
      <c r="C491" s="4">
        <v>232</v>
      </c>
      <c r="D491" s="3" t="s">
        <v>95</v>
      </c>
      <c r="E491" s="3" t="s">
        <v>13</v>
      </c>
      <c r="F491" s="5">
        <v>0</v>
      </c>
      <c r="G491" s="5">
        <v>16596.96</v>
      </c>
      <c r="H491" s="5">
        <f t="shared" si="14"/>
        <v>16596.96</v>
      </c>
      <c r="I491" s="9">
        <f t="shared" si="15"/>
        <v>0</v>
      </c>
      <c r="J491" s="3" t="s">
        <v>4603</v>
      </c>
    </row>
    <row r="492" spans="1:10" ht="25.5">
      <c r="A492" s="3" t="s">
        <v>995</v>
      </c>
      <c r="B492" s="3" t="s">
        <v>996</v>
      </c>
      <c r="C492" s="4">
        <v>299</v>
      </c>
      <c r="D492" s="3" t="s">
        <v>246</v>
      </c>
      <c r="E492" s="3" t="s">
        <v>30</v>
      </c>
      <c r="F492" s="5">
        <v>3167.28</v>
      </c>
      <c r="G492" s="5">
        <v>0</v>
      </c>
      <c r="H492" s="5">
        <f t="shared" si="14"/>
        <v>-3167.28</v>
      </c>
      <c r="I492" s="9">
        <f t="shared" si="15"/>
        <v>-1</v>
      </c>
      <c r="J492" s="3" t="s">
        <v>4603</v>
      </c>
    </row>
    <row r="493" spans="1:10">
      <c r="A493" s="3" t="s">
        <v>997</v>
      </c>
      <c r="B493" s="3" t="s">
        <v>998</v>
      </c>
      <c r="C493" s="4">
        <v>232</v>
      </c>
      <c r="D493" s="3" t="s">
        <v>95</v>
      </c>
      <c r="E493" s="3" t="s">
        <v>13</v>
      </c>
      <c r="F493" s="5">
        <v>0</v>
      </c>
      <c r="G493" s="5">
        <v>19735.41</v>
      </c>
      <c r="H493" s="5">
        <f t="shared" si="14"/>
        <v>19735.41</v>
      </c>
      <c r="I493" s="9">
        <f t="shared" si="15"/>
        <v>0</v>
      </c>
      <c r="J493" s="3" t="s">
        <v>4603</v>
      </c>
    </row>
    <row r="494" spans="1:10" ht="25.5">
      <c r="A494" s="3" t="s">
        <v>999</v>
      </c>
      <c r="B494" s="3" t="s">
        <v>1000</v>
      </c>
      <c r="C494" s="4">
        <v>178</v>
      </c>
      <c r="D494" s="3" t="s">
        <v>92</v>
      </c>
      <c r="E494" s="3" t="s">
        <v>8</v>
      </c>
      <c r="F494" s="5">
        <v>40103.760000000002</v>
      </c>
      <c r="G494" s="5">
        <v>44625.03</v>
      </c>
      <c r="H494" s="5">
        <f t="shared" si="14"/>
        <v>4521.2699999999968</v>
      </c>
      <c r="I494" s="9">
        <f t="shared" si="15"/>
        <v>0.11273930424478884</v>
      </c>
      <c r="J494" s="3" t="s">
        <v>4603</v>
      </c>
    </row>
    <row r="495" spans="1:10" ht="25.5">
      <c r="A495" s="3" t="s">
        <v>1001</v>
      </c>
      <c r="B495" s="3" t="s">
        <v>1002</v>
      </c>
      <c r="C495" s="4">
        <v>335</v>
      </c>
      <c r="D495" s="3" t="s">
        <v>7</v>
      </c>
      <c r="E495" s="3" t="s">
        <v>8</v>
      </c>
      <c r="F495" s="5">
        <v>6441.54</v>
      </c>
      <c r="G495" s="5">
        <v>19117.02</v>
      </c>
      <c r="H495" s="5">
        <f t="shared" si="14"/>
        <v>12675.48</v>
      </c>
      <c r="I495" s="9">
        <f t="shared" si="15"/>
        <v>1.9677716819269926</v>
      </c>
      <c r="J495" s="3" t="s">
        <v>4603</v>
      </c>
    </row>
    <row r="496" spans="1:10" ht="38.25">
      <c r="A496" s="3" t="s">
        <v>1003</v>
      </c>
      <c r="B496" s="3" t="s">
        <v>1004</v>
      </c>
      <c r="C496" s="4">
        <v>45</v>
      </c>
      <c r="D496" s="3" t="s">
        <v>16</v>
      </c>
      <c r="E496" s="3" t="s">
        <v>8</v>
      </c>
      <c r="F496" s="5">
        <v>1978.35</v>
      </c>
      <c r="G496" s="5">
        <v>35199.449999999997</v>
      </c>
      <c r="H496" s="5">
        <f t="shared" si="14"/>
        <v>33221.1</v>
      </c>
      <c r="I496" s="9">
        <f t="shared" si="15"/>
        <v>16.792326939115931</v>
      </c>
      <c r="J496" s="3" t="s">
        <v>4603</v>
      </c>
    </row>
    <row r="497" spans="1:10" ht="25.5">
      <c r="A497" s="3" t="s">
        <v>1005</v>
      </c>
      <c r="B497" s="3" t="s">
        <v>1006</v>
      </c>
      <c r="C497" s="4">
        <v>23</v>
      </c>
      <c r="D497" s="3" t="s">
        <v>71</v>
      </c>
      <c r="E497" s="3" t="s">
        <v>8</v>
      </c>
      <c r="F497" s="5">
        <v>25574.31</v>
      </c>
      <c r="G497" s="5">
        <v>31906.2</v>
      </c>
      <c r="H497" s="5">
        <f t="shared" si="14"/>
        <v>6331.8899999999994</v>
      </c>
      <c r="I497" s="9">
        <f t="shared" si="15"/>
        <v>0.24758791146271397</v>
      </c>
      <c r="J497" s="3" t="s">
        <v>4603</v>
      </c>
    </row>
    <row r="498" spans="1:10" ht="25.5">
      <c r="A498" s="3" t="s">
        <v>1007</v>
      </c>
      <c r="B498" s="3" t="s">
        <v>1008</v>
      </c>
      <c r="C498" s="4">
        <v>316</v>
      </c>
      <c r="D498" s="3" t="s">
        <v>167</v>
      </c>
      <c r="E498" s="3" t="s">
        <v>18</v>
      </c>
      <c r="F498" s="5">
        <v>0</v>
      </c>
      <c r="G498" s="5">
        <v>3595.44</v>
      </c>
      <c r="H498" s="5">
        <f t="shared" si="14"/>
        <v>3595.44</v>
      </c>
      <c r="I498" s="9">
        <f t="shared" si="15"/>
        <v>0</v>
      </c>
      <c r="J498" s="3" t="s">
        <v>4603</v>
      </c>
    </row>
    <row r="499" spans="1:10" ht="25.5">
      <c r="A499" s="3" t="s">
        <v>1009</v>
      </c>
      <c r="B499" s="3" t="s">
        <v>1010</v>
      </c>
      <c r="C499" s="4">
        <v>266</v>
      </c>
      <c r="D499" s="3" t="s">
        <v>111</v>
      </c>
      <c r="E499" s="3" t="s">
        <v>18</v>
      </c>
      <c r="F499" s="5">
        <v>50691.12</v>
      </c>
      <c r="G499" s="5">
        <v>24325.62</v>
      </c>
      <c r="H499" s="5">
        <f t="shared" si="14"/>
        <v>-26365.500000000004</v>
      </c>
      <c r="I499" s="9">
        <f t="shared" si="15"/>
        <v>-0.52012068385942156</v>
      </c>
      <c r="J499" s="3" t="s">
        <v>4603</v>
      </c>
    </row>
    <row r="500" spans="1:10" ht="25.5">
      <c r="A500" s="3" t="s">
        <v>1011</v>
      </c>
      <c r="B500" s="3" t="s">
        <v>1012</v>
      </c>
      <c r="C500" s="4">
        <v>335</v>
      </c>
      <c r="D500" s="3" t="s">
        <v>7</v>
      </c>
      <c r="E500" s="3" t="s">
        <v>8</v>
      </c>
      <c r="F500" s="5">
        <v>0</v>
      </c>
      <c r="G500" s="5">
        <v>20614.2</v>
      </c>
      <c r="H500" s="5">
        <f t="shared" si="14"/>
        <v>20614.2</v>
      </c>
      <c r="I500" s="9">
        <f t="shared" si="15"/>
        <v>0</v>
      </c>
      <c r="J500" s="3" t="s">
        <v>4603</v>
      </c>
    </row>
    <row r="501" spans="1:10" ht="25.5">
      <c r="A501" s="3" t="s">
        <v>1013</v>
      </c>
      <c r="B501" s="3" t="s">
        <v>1014</v>
      </c>
      <c r="C501" s="4">
        <v>218</v>
      </c>
      <c r="D501" s="3" t="s">
        <v>155</v>
      </c>
      <c r="E501" s="3" t="s">
        <v>13</v>
      </c>
      <c r="F501" s="5">
        <v>9028.3799999999992</v>
      </c>
      <c r="G501" s="5">
        <v>7150.77</v>
      </c>
      <c r="H501" s="5">
        <f t="shared" si="14"/>
        <v>-1877.6099999999988</v>
      </c>
      <c r="I501" s="9">
        <f t="shared" si="15"/>
        <v>-0.2079675423497902</v>
      </c>
      <c r="J501" s="3" t="s">
        <v>4603</v>
      </c>
    </row>
    <row r="502" spans="1:10">
      <c r="A502" s="3" t="s">
        <v>1015</v>
      </c>
      <c r="B502" s="3" t="s">
        <v>1016</v>
      </c>
      <c r="C502" s="4">
        <v>232</v>
      </c>
      <c r="D502" s="3" t="s">
        <v>95</v>
      </c>
      <c r="E502" s="3" t="s">
        <v>13</v>
      </c>
      <c r="F502" s="5">
        <v>0</v>
      </c>
      <c r="G502" s="5">
        <v>7119.84</v>
      </c>
      <c r="H502" s="5">
        <f t="shared" si="14"/>
        <v>7119.84</v>
      </c>
      <c r="I502" s="9">
        <f t="shared" si="15"/>
        <v>0</v>
      </c>
      <c r="J502" s="3" t="s">
        <v>4603</v>
      </c>
    </row>
    <row r="503" spans="1:10" ht="51">
      <c r="A503" s="3" t="s">
        <v>1017</v>
      </c>
      <c r="B503" s="3" t="s">
        <v>1018</v>
      </c>
      <c r="C503" s="4">
        <v>282</v>
      </c>
      <c r="D503" s="3" t="s">
        <v>298</v>
      </c>
      <c r="E503" s="3" t="s">
        <v>9</v>
      </c>
      <c r="F503" s="5">
        <v>35888.720000000001</v>
      </c>
      <c r="G503" s="5">
        <v>18882.718000000001</v>
      </c>
      <c r="H503" s="5">
        <f t="shared" si="14"/>
        <v>-17006.002</v>
      </c>
      <c r="I503" s="9">
        <f t="shared" si="15"/>
        <v>-0.47385367881607365</v>
      </c>
      <c r="J503" s="3" t="s">
        <v>4604</v>
      </c>
    </row>
    <row r="504" spans="1:10" ht="38.25">
      <c r="A504" s="3" t="s">
        <v>1019</v>
      </c>
      <c r="B504" s="3" t="s">
        <v>1020</v>
      </c>
      <c r="C504" s="4">
        <v>34</v>
      </c>
      <c r="D504" s="3" t="s">
        <v>136</v>
      </c>
      <c r="E504" s="3" t="s">
        <v>30</v>
      </c>
      <c r="F504" s="5">
        <v>4513.7299999999996</v>
      </c>
      <c r="G504" s="5">
        <v>0</v>
      </c>
      <c r="H504" s="5">
        <f t="shared" si="14"/>
        <v>-4513.7299999999996</v>
      </c>
      <c r="I504" s="9">
        <f t="shared" si="15"/>
        <v>-1</v>
      </c>
      <c r="J504" s="3" t="s">
        <v>4603</v>
      </c>
    </row>
    <row r="505" spans="1:10" ht="25.5">
      <c r="A505" s="3" t="s">
        <v>1021</v>
      </c>
      <c r="B505" s="3" t="s">
        <v>1022</v>
      </c>
      <c r="C505" s="4">
        <v>266</v>
      </c>
      <c r="D505" s="3" t="s">
        <v>111</v>
      </c>
      <c r="E505" s="3" t="s">
        <v>18</v>
      </c>
      <c r="F505" s="5">
        <v>10666.29</v>
      </c>
      <c r="G505" s="5">
        <v>11738.25</v>
      </c>
      <c r="H505" s="5">
        <f t="shared" si="14"/>
        <v>1071.9599999999991</v>
      </c>
      <c r="I505" s="9">
        <f t="shared" si="15"/>
        <v>0.10049979889914851</v>
      </c>
      <c r="J505" s="3" t="s">
        <v>4603</v>
      </c>
    </row>
    <row r="506" spans="1:10" ht="25.5">
      <c r="A506" s="3" t="s">
        <v>1023</v>
      </c>
      <c r="B506" s="3" t="s">
        <v>334</v>
      </c>
      <c r="C506" s="4">
        <v>327</v>
      </c>
      <c r="D506" s="3" t="s">
        <v>76</v>
      </c>
      <c r="E506" s="3" t="s">
        <v>8</v>
      </c>
      <c r="F506" s="5">
        <v>15657.45</v>
      </c>
      <c r="G506" s="5">
        <v>14426.04</v>
      </c>
      <c r="H506" s="5">
        <f t="shared" si="14"/>
        <v>-1231.4099999999999</v>
      </c>
      <c r="I506" s="9">
        <f t="shared" si="15"/>
        <v>-7.8646906105400261E-2</v>
      </c>
      <c r="J506" s="3" t="s">
        <v>4603</v>
      </c>
    </row>
    <row r="507" spans="1:10" ht="25.5">
      <c r="A507" s="3" t="s">
        <v>1024</v>
      </c>
      <c r="B507" s="3" t="s">
        <v>1025</v>
      </c>
      <c r="C507" s="4">
        <v>270</v>
      </c>
      <c r="D507" s="3" t="s">
        <v>312</v>
      </c>
      <c r="E507" s="3" t="s">
        <v>30</v>
      </c>
      <c r="F507" s="5">
        <v>5987.04</v>
      </c>
      <c r="G507" s="5">
        <v>4199.6400000000003</v>
      </c>
      <c r="H507" s="5">
        <f t="shared" si="14"/>
        <v>-1787.3999999999996</v>
      </c>
      <c r="I507" s="9">
        <f t="shared" si="15"/>
        <v>-0.29854485689088428</v>
      </c>
      <c r="J507" s="3" t="s">
        <v>4603</v>
      </c>
    </row>
    <row r="508" spans="1:10" ht="25.5">
      <c r="A508" s="3" t="s">
        <v>1026</v>
      </c>
      <c r="B508" s="3" t="s">
        <v>1027</v>
      </c>
      <c r="C508" s="4">
        <v>328</v>
      </c>
      <c r="D508" s="3" t="s">
        <v>158</v>
      </c>
      <c r="E508" s="3" t="s">
        <v>22</v>
      </c>
      <c r="F508" s="5">
        <v>7558.02</v>
      </c>
      <c r="G508" s="5">
        <v>0</v>
      </c>
      <c r="H508" s="5">
        <f t="shared" si="14"/>
        <v>-7558.02</v>
      </c>
      <c r="I508" s="9">
        <f t="shared" si="15"/>
        <v>-1</v>
      </c>
      <c r="J508" s="3" t="s">
        <v>4603</v>
      </c>
    </row>
    <row r="509" spans="1:10" ht="51">
      <c r="A509" s="3" t="s">
        <v>1028</v>
      </c>
      <c r="B509" s="3" t="s">
        <v>1029</v>
      </c>
      <c r="C509" s="4">
        <v>282</v>
      </c>
      <c r="D509" s="3" t="s">
        <v>298</v>
      </c>
      <c r="E509" s="3" t="s">
        <v>9</v>
      </c>
      <c r="F509" s="5">
        <v>2735.52</v>
      </c>
      <c r="G509" s="5">
        <v>0</v>
      </c>
      <c r="H509" s="5">
        <f t="shared" si="14"/>
        <v>-2735.52</v>
      </c>
      <c r="I509" s="9">
        <f t="shared" si="15"/>
        <v>-1</v>
      </c>
      <c r="J509" s="3" t="s">
        <v>4603</v>
      </c>
    </row>
    <row r="510" spans="1:10" ht="38.25">
      <c r="A510" s="3" t="s">
        <v>1030</v>
      </c>
      <c r="B510" s="3" t="s">
        <v>1031</v>
      </c>
      <c r="C510" s="4">
        <v>292</v>
      </c>
      <c r="D510" s="3" t="s">
        <v>619</v>
      </c>
      <c r="E510" s="3" t="s">
        <v>30</v>
      </c>
      <c r="F510" s="5">
        <v>7177.95</v>
      </c>
      <c r="G510" s="5">
        <v>4937.6400000000003</v>
      </c>
      <c r="H510" s="5">
        <f t="shared" si="14"/>
        <v>-2240.3099999999995</v>
      </c>
      <c r="I510" s="9">
        <f t="shared" si="15"/>
        <v>-0.31211000355254626</v>
      </c>
      <c r="J510" s="3" t="s">
        <v>4604</v>
      </c>
    </row>
    <row r="511" spans="1:10" ht="25.5">
      <c r="A511" s="3" t="s">
        <v>1032</v>
      </c>
      <c r="B511" s="3" t="s">
        <v>1033</v>
      </c>
      <c r="C511" s="4">
        <v>208</v>
      </c>
      <c r="D511" s="3" t="s">
        <v>58</v>
      </c>
      <c r="E511" s="3" t="s">
        <v>13</v>
      </c>
      <c r="F511" s="5">
        <v>20861.52</v>
      </c>
      <c r="G511" s="5">
        <v>38253.69</v>
      </c>
      <c r="H511" s="5">
        <f t="shared" si="14"/>
        <v>17392.170000000002</v>
      </c>
      <c r="I511" s="9">
        <f t="shared" si="15"/>
        <v>0.83369620238601994</v>
      </c>
      <c r="J511" s="3" t="s">
        <v>4603</v>
      </c>
    </row>
    <row r="512" spans="1:10">
      <c r="A512" s="3" t="s">
        <v>1034</v>
      </c>
      <c r="B512" s="3" t="s">
        <v>1035</v>
      </c>
      <c r="C512" s="4">
        <v>167</v>
      </c>
      <c r="D512" s="3" t="s">
        <v>335</v>
      </c>
      <c r="E512" s="3" t="s">
        <v>30</v>
      </c>
      <c r="F512" s="5">
        <v>0</v>
      </c>
      <c r="G512" s="5">
        <v>6235.08</v>
      </c>
      <c r="H512" s="5">
        <f t="shared" si="14"/>
        <v>6235.08</v>
      </c>
      <c r="I512" s="9">
        <f t="shared" si="15"/>
        <v>0</v>
      </c>
      <c r="J512" s="3" t="s">
        <v>4603</v>
      </c>
    </row>
    <row r="513" spans="1:10" ht="25.5">
      <c r="A513" s="3" t="s">
        <v>1036</v>
      </c>
      <c r="B513" s="3" t="s">
        <v>1037</v>
      </c>
      <c r="C513" s="4">
        <v>261</v>
      </c>
      <c r="D513" s="3" t="s">
        <v>17</v>
      </c>
      <c r="E513" s="3" t="s">
        <v>18</v>
      </c>
      <c r="F513" s="5">
        <v>16380.12</v>
      </c>
      <c r="G513" s="5">
        <v>0</v>
      </c>
      <c r="H513" s="5">
        <f t="shared" si="14"/>
        <v>-16380.12</v>
      </c>
      <c r="I513" s="9">
        <f t="shared" si="15"/>
        <v>-1</v>
      </c>
      <c r="J513" s="3" t="s">
        <v>4604</v>
      </c>
    </row>
    <row r="514" spans="1:10" ht="25.5">
      <c r="A514" s="3" t="s">
        <v>1038</v>
      </c>
      <c r="B514" s="3" t="s">
        <v>1039</v>
      </c>
      <c r="C514" s="4">
        <v>218</v>
      </c>
      <c r="D514" s="3" t="s">
        <v>155</v>
      </c>
      <c r="E514" s="3" t="s">
        <v>13</v>
      </c>
      <c r="F514" s="5">
        <v>3143.31</v>
      </c>
      <c r="G514" s="5">
        <v>0</v>
      </c>
      <c r="H514" s="5">
        <f t="shared" si="14"/>
        <v>-3143.31</v>
      </c>
      <c r="I514" s="9">
        <f t="shared" si="15"/>
        <v>-1</v>
      </c>
      <c r="J514" s="3" t="s">
        <v>4603</v>
      </c>
    </row>
    <row r="515" spans="1:10" ht="25.5">
      <c r="A515" s="3" t="s">
        <v>1040</v>
      </c>
      <c r="B515" s="3" t="s">
        <v>1041</v>
      </c>
      <c r="C515" s="4">
        <v>208</v>
      </c>
      <c r="D515" s="3" t="s">
        <v>58</v>
      </c>
      <c r="E515" s="3" t="s">
        <v>13</v>
      </c>
      <c r="F515" s="5">
        <v>0</v>
      </c>
      <c r="G515" s="5">
        <v>16684.05</v>
      </c>
      <c r="H515" s="5">
        <f t="shared" ref="H515:H578" si="16">G515-F515</f>
        <v>16684.05</v>
      </c>
      <c r="I515" s="9">
        <f t="shared" ref="I515:I578" si="17">IFERROR(G515/F515-1,0)</f>
        <v>0</v>
      </c>
      <c r="J515" s="3" t="s">
        <v>4603</v>
      </c>
    </row>
    <row r="516" spans="1:10">
      <c r="A516" s="3" t="s">
        <v>1042</v>
      </c>
      <c r="B516" s="3" t="s">
        <v>1043</v>
      </c>
      <c r="C516" s="4">
        <v>232</v>
      </c>
      <c r="D516" s="3" t="s">
        <v>95</v>
      </c>
      <c r="E516" s="3" t="s">
        <v>13</v>
      </c>
      <c r="F516" s="5">
        <v>0</v>
      </c>
      <c r="G516" s="5">
        <v>17655</v>
      </c>
      <c r="H516" s="5">
        <f t="shared" si="16"/>
        <v>17655</v>
      </c>
      <c r="I516" s="9">
        <f t="shared" si="17"/>
        <v>0</v>
      </c>
      <c r="J516" s="3" t="s">
        <v>4603</v>
      </c>
    </row>
    <row r="517" spans="1:10" ht="25.5">
      <c r="A517" s="3" t="s">
        <v>1044</v>
      </c>
      <c r="B517" s="3" t="s">
        <v>1045</v>
      </c>
      <c r="C517" s="4">
        <v>74</v>
      </c>
      <c r="D517" s="3" t="s">
        <v>86</v>
      </c>
      <c r="E517" s="3" t="s">
        <v>8</v>
      </c>
      <c r="F517" s="5">
        <v>11446.44</v>
      </c>
      <c r="G517" s="5">
        <v>0</v>
      </c>
      <c r="H517" s="5">
        <f t="shared" si="16"/>
        <v>-11446.44</v>
      </c>
      <c r="I517" s="9">
        <f t="shared" si="17"/>
        <v>-1</v>
      </c>
      <c r="J517" s="3" t="s">
        <v>4603</v>
      </c>
    </row>
    <row r="518" spans="1:10" ht="25.5">
      <c r="A518" s="3" t="s">
        <v>1046</v>
      </c>
      <c r="B518" s="3" t="s">
        <v>1047</v>
      </c>
      <c r="C518" s="4">
        <v>316</v>
      </c>
      <c r="D518" s="3" t="s">
        <v>167</v>
      </c>
      <c r="E518" s="3" t="s">
        <v>18</v>
      </c>
      <c r="F518" s="5">
        <v>3755.64</v>
      </c>
      <c r="G518" s="5">
        <v>0</v>
      </c>
      <c r="H518" s="5">
        <f t="shared" si="16"/>
        <v>-3755.64</v>
      </c>
      <c r="I518" s="9">
        <f t="shared" si="17"/>
        <v>-1</v>
      </c>
      <c r="J518" s="3" t="s">
        <v>4603</v>
      </c>
    </row>
    <row r="519" spans="1:10" ht="25.5">
      <c r="A519" s="3" t="s">
        <v>1048</v>
      </c>
      <c r="B519" s="3" t="s">
        <v>1049</v>
      </c>
      <c r="C519" s="4">
        <v>93</v>
      </c>
      <c r="D519" s="3" t="s">
        <v>42</v>
      </c>
      <c r="E519" s="3" t="s">
        <v>8</v>
      </c>
      <c r="F519" s="5">
        <v>2111.52</v>
      </c>
      <c r="G519" s="5">
        <v>9990.24</v>
      </c>
      <c r="H519" s="5">
        <f t="shared" si="16"/>
        <v>7878.7199999999993</v>
      </c>
      <c r="I519" s="9">
        <f t="shared" si="17"/>
        <v>3.7313025687656287</v>
      </c>
      <c r="J519" s="3" t="s">
        <v>4603</v>
      </c>
    </row>
    <row r="520" spans="1:10" ht="25.5">
      <c r="A520" s="3" t="s">
        <v>1050</v>
      </c>
      <c r="B520" s="3" t="s">
        <v>1051</v>
      </c>
      <c r="C520" s="4">
        <v>296</v>
      </c>
      <c r="D520" s="3" t="s">
        <v>137</v>
      </c>
      <c r="E520" s="3" t="s">
        <v>8</v>
      </c>
      <c r="F520" s="5">
        <v>1076.8800000000001</v>
      </c>
      <c r="G520" s="5">
        <v>0</v>
      </c>
      <c r="H520" s="5">
        <f t="shared" si="16"/>
        <v>-1076.8800000000001</v>
      </c>
      <c r="I520" s="9">
        <f t="shared" si="17"/>
        <v>-1</v>
      </c>
      <c r="J520" s="3" t="s">
        <v>4603</v>
      </c>
    </row>
    <row r="521" spans="1:10" ht="38.25">
      <c r="A521" s="3" t="s">
        <v>1052</v>
      </c>
      <c r="B521" s="3" t="s">
        <v>1053</v>
      </c>
      <c r="C521" s="4">
        <v>34</v>
      </c>
      <c r="D521" s="3" t="s">
        <v>136</v>
      </c>
      <c r="E521" s="3" t="s">
        <v>30</v>
      </c>
      <c r="F521" s="5">
        <v>16131.75</v>
      </c>
      <c r="G521" s="5">
        <v>20676.78</v>
      </c>
      <c r="H521" s="5">
        <f t="shared" si="16"/>
        <v>4545.0299999999988</v>
      </c>
      <c r="I521" s="9">
        <f t="shared" si="17"/>
        <v>0.28174438607094698</v>
      </c>
      <c r="J521" s="3" t="s">
        <v>4603</v>
      </c>
    </row>
    <row r="522" spans="1:10" ht="25.5">
      <c r="A522" s="3" t="s">
        <v>1054</v>
      </c>
      <c r="B522" s="3" t="s">
        <v>1055</v>
      </c>
      <c r="C522" s="4">
        <v>299</v>
      </c>
      <c r="D522" s="3" t="s">
        <v>246</v>
      </c>
      <c r="E522" s="3" t="s">
        <v>30</v>
      </c>
      <c r="F522" s="5">
        <v>23479.8</v>
      </c>
      <c r="G522" s="5">
        <v>0</v>
      </c>
      <c r="H522" s="5">
        <f t="shared" si="16"/>
        <v>-23479.8</v>
      </c>
      <c r="I522" s="9">
        <f t="shared" si="17"/>
        <v>-1</v>
      </c>
      <c r="J522" s="3" t="s">
        <v>4603</v>
      </c>
    </row>
    <row r="523" spans="1:10" ht="25.5">
      <c r="A523" s="3" t="s">
        <v>1056</v>
      </c>
      <c r="B523" s="3" t="s">
        <v>1057</v>
      </c>
      <c r="C523" s="4">
        <v>194</v>
      </c>
      <c r="D523" s="3" t="s">
        <v>179</v>
      </c>
      <c r="E523" s="3" t="s">
        <v>13</v>
      </c>
      <c r="F523" s="5">
        <v>23922.240000000002</v>
      </c>
      <c r="G523" s="5">
        <v>14346</v>
      </c>
      <c r="H523" s="5">
        <f t="shared" si="16"/>
        <v>-9576.2400000000016</v>
      </c>
      <c r="I523" s="9">
        <f t="shared" si="17"/>
        <v>-0.40030699466270725</v>
      </c>
      <c r="J523" s="3" t="s">
        <v>4603</v>
      </c>
    </row>
    <row r="524" spans="1:10" ht="25.5">
      <c r="A524" s="3" t="s">
        <v>1058</v>
      </c>
      <c r="B524" s="3" t="s">
        <v>1059</v>
      </c>
      <c r="C524" s="4">
        <v>273</v>
      </c>
      <c r="D524" s="3" t="s">
        <v>771</v>
      </c>
      <c r="E524" s="3" t="s">
        <v>18</v>
      </c>
      <c r="F524" s="5">
        <v>3127.68</v>
      </c>
      <c r="G524" s="5">
        <v>2876.04</v>
      </c>
      <c r="H524" s="5">
        <f t="shared" si="16"/>
        <v>-251.63999999999987</v>
      </c>
      <c r="I524" s="9">
        <f t="shared" si="17"/>
        <v>-8.0455801104972302E-2</v>
      </c>
      <c r="J524" s="3" t="s">
        <v>4603</v>
      </c>
    </row>
    <row r="525" spans="1:10" ht="25.5">
      <c r="A525" s="3" t="s">
        <v>1058</v>
      </c>
      <c r="B525" s="3" t="s">
        <v>1059</v>
      </c>
      <c r="C525" s="4">
        <v>273</v>
      </c>
      <c r="D525" s="3" t="s">
        <v>771</v>
      </c>
      <c r="E525" s="3" t="s">
        <v>13</v>
      </c>
      <c r="F525" s="5">
        <v>3127.68</v>
      </c>
      <c r="G525" s="5">
        <v>2876.04</v>
      </c>
      <c r="H525" s="5">
        <f t="shared" si="16"/>
        <v>-251.63999999999987</v>
      </c>
      <c r="I525" s="9">
        <f t="shared" si="17"/>
        <v>-8.0455801104972302E-2</v>
      </c>
      <c r="J525" s="3" t="s">
        <v>4603</v>
      </c>
    </row>
    <row r="526" spans="1:10" ht="25.5">
      <c r="A526" s="3" t="s">
        <v>1060</v>
      </c>
      <c r="B526" s="3" t="s">
        <v>1061</v>
      </c>
      <c r="C526" s="4">
        <v>316</v>
      </c>
      <c r="D526" s="3" t="s">
        <v>167</v>
      </c>
      <c r="E526" s="3" t="s">
        <v>18</v>
      </c>
      <c r="F526" s="5">
        <v>40608.18</v>
      </c>
      <c r="G526" s="5">
        <v>0</v>
      </c>
      <c r="H526" s="5">
        <f t="shared" si="16"/>
        <v>-40608.18</v>
      </c>
      <c r="I526" s="9">
        <f t="shared" si="17"/>
        <v>-1</v>
      </c>
      <c r="J526" s="3" t="s">
        <v>4604</v>
      </c>
    </row>
    <row r="527" spans="1:10">
      <c r="A527" s="3" t="s">
        <v>1062</v>
      </c>
      <c r="B527" s="3" t="s">
        <v>1063</v>
      </c>
      <c r="C527" s="4">
        <v>240</v>
      </c>
      <c r="D527" s="3" t="s">
        <v>152</v>
      </c>
      <c r="E527" s="3" t="s">
        <v>13</v>
      </c>
      <c r="F527" s="5">
        <v>6081.96</v>
      </c>
      <c r="G527" s="5">
        <v>0</v>
      </c>
      <c r="H527" s="5">
        <f t="shared" si="16"/>
        <v>-6081.96</v>
      </c>
      <c r="I527" s="9">
        <f t="shared" si="17"/>
        <v>-1</v>
      </c>
      <c r="J527" s="3" t="s">
        <v>4603</v>
      </c>
    </row>
    <row r="528" spans="1:10" ht="25.5">
      <c r="A528" s="3" t="s">
        <v>1064</v>
      </c>
      <c r="B528" s="3" t="s">
        <v>1065</v>
      </c>
      <c r="C528" s="4">
        <v>218</v>
      </c>
      <c r="D528" s="3" t="s">
        <v>155</v>
      </c>
      <c r="E528" s="3" t="s">
        <v>13</v>
      </c>
      <c r="F528" s="5">
        <v>6334.56</v>
      </c>
      <c r="G528" s="5">
        <v>0</v>
      </c>
      <c r="H528" s="5">
        <f t="shared" si="16"/>
        <v>-6334.56</v>
      </c>
      <c r="I528" s="9">
        <f t="shared" si="17"/>
        <v>-1</v>
      </c>
      <c r="J528" s="3" t="s">
        <v>4603</v>
      </c>
    </row>
    <row r="529" spans="1:10" ht="25.5">
      <c r="A529" s="3" t="s">
        <v>1066</v>
      </c>
      <c r="B529" s="3" t="s">
        <v>1067</v>
      </c>
      <c r="C529" s="4">
        <v>197</v>
      </c>
      <c r="D529" s="3" t="s">
        <v>23</v>
      </c>
      <c r="E529" s="3" t="s">
        <v>22</v>
      </c>
      <c r="F529" s="5">
        <v>16669.48</v>
      </c>
      <c r="G529" s="5">
        <v>0</v>
      </c>
      <c r="H529" s="5">
        <f t="shared" si="16"/>
        <v>-16669.48</v>
      </c>
      <c r="I529" s="9">
        <f t="shared" si="17"/>
        <v>-1</v>
      </c>
      <c r="J529" s="3" t="s">
        <v>4603</v>
      </c>
    </row>
    <row r="530" spans="1:10" ht="25.5">
      <c r="A530" s="3" t="s">
        <v>1068</v>
      </c>
      <c r="B530" s="3" t="s">
        <v>1069</v>
      </c>
      <c r="C530" s="4">
        <v>217</v>
      </c>
      <c r="D530" s="3" t="s">
        <v>253</v>
      </c>
      <c r="E530" s="3" t="s">
        <v>13</v>
      </c>
      <c r="F530" s="5">
        <v>2692.2</v>
      </c>
      <c r="G530" s="5">
        <v>0</v>
      </c>
      <c r="H530" s="5">
        <f t="shared" si="16"/>
        <v>-2692.2</v>
      </c>
      <c r="I530" s="9">
        <f t="shared" si="17"/>
        <v>-1</v>
      </c>
      <c r="J530" s="3" t="s">
        <v>4603</v>
      </c>
    </row>
    <row r="531" spans="1:10">
      <c r="A531" s="3" t="s">
        <v>1070</v>
      </c>
      <c r="B531" s="3" t="s">
        <v>1071</v>
      </c>
      <c r="C531" s="4">
        <v>315</v>
      </c>
      <c r="D531" s="3" t="s">
        <v>79</v>
      </c>
      <c r="E531" s="3" t="s">
        <v>8</v>
      </c>
      <c r="F531" s="5">
        <v>29515.08</v>
      </c>
      <c r="G531" s="5">
        <v>0</v>
      </c>
      <c r="H531" s="5">
        <f t="shared" si="16"/>
        <v>-29515.08</v>
      </c>
      <c r="I531" s="9">
        <f t="shared" si="17"/>
        <v>-1</v>
      </c>
      <c r="J531" s="3" t="s">
        <v>4603</v>
      </c>
    </row>
    <row r="532" spans="1:10">
      <c r="A532" s="3" t="s">
        <v>1072</v>
      </c>
      <c r="B532" s="3" t="s">
        <v>1073</v>
      </c>
      <c r="C532" s="4">
        <v>240</v>
      </c>
      <c r="D532" s="3" t="s">
        <v>152</v>
      </c>
      <c r="E532" s="3" t="s">
        <v>13</v>
      </c>
      <c r="F532" s="5">
        <v>4943.88</v>
      </c>
      <c r="G532" s="5">
        <v>0</v>
      </c>
      <c r="H532" s="5">
        <f t="shared" si="16"/>
        <v>-4943.88</v>
      </c>
      <c r="I532" s="9">
        <f t="shared" si="17"/>
        <v>-1</v>
      </c>
      <c r="J532" s="3" t="s">
        <v>4603</v>
      </c>
    </row>
    <row r="533" spans="1:10" ht="25.5">
      <c r="A533" s="3" t="s">
        <v>1074</v>
      </c>
      <c r="B533" s="3" t="s">
        <v>1075</v>
      </c>
      <c r="C533" s="4">
        <v>327</v>
      </c>
      <c r="D533" s="3" t="s">
        <v>76</v>
      </c>
      <c r="E533" s="3" t="s">
        <v>8</v>
      </c>
      <c r="F533" s="5">
        <v>23081.49</v>
      </c>
      <c r="G533" s="5">
        <v>0</v>
      </c>
      <c r="H533" s="5">
        <f t="shared" si="16"/>
        <v>-23081.49</v>
      </c>
      <c r="I533" s="9">
        <f t="shared" si="17"/>
        <v>-1</v>
      </c>
      <c r="J533" s="3" t="s">
        <v>4604</v>
      </c>
    </row>
    <row r="534" spans="1:10" ht="38.25">
      <c r="A534" s="3" t="s">
        <v>1076</v>
      </c>
      <c r="B534" s="3" t="s">
        <v>1077</v>
      </c>
      <c r="C534" s="4">
        <v>371</v>
      </c>
      <c r="D534" s="3" t="s">
        <v>29</v>
      </c>
      <c r="E534" s="3" t="s">
        <v>30</v>
      </c>
      <c r="F534" s="5">
        <v>36353.730000000003</v>
      </c>
      <c r="G534" s="5">
        <v>42910.92</v>
      </c>
      <c r="H534" s="5">
        <f t="shared" si="16"/>
        <v>6557.1899999999951</v>
      </c>
      <c r="I534" s="9">
        <f t="shared" si="17"/>
        <v>0.18037186280472439</v>
      </c>
      <c r="J534" s="3" t="s">
        <v>4603</v>
      </c>
    </row>
    <row r="535" spans="1:10" ht="25.5">
      <c r="A535" s="3" t="s">
        <v>1078</v>
      </c>
      <c r="B535" s="3" t="s">
        <v>1079</v>
      </c>
      <c r="C535" s="4">
        <v>53</v>
      </c>
      <c r="D535" s="3" t="s">
        <v>340</v>
      </c>
      <c r="E535" s="3" t="s">
        <v>13</v>
      </c>
      <c r="F535" s="5">
        <v>17660.759999999998</v>
      </c>
      <c r="G535" s="5">
        <v>0</v>
      </c>
      <c r="H535" s="5">
        <f t="shared" si="16"/>
        <v>-17660.759999999998</v>
      </c>
      <c r="I535" s="9">
        <f t="shared" si="17"/>
        <v>-1</v>
      </c>
      <c r="J535" s="3" t="s">
        <v>4603</v>
      </c>
    </row>
    <row r="536" spans="1:10">
      <c r="A536" s="3" t="s">
        <v>1080</v>
      </c>
      <c r="B536" s="3" t="s">
        <v>1081</v>
      </c>
      <c r="C536" s="4">
        <v>240</v>
      </c>
      <c r="D536" s="3" t="s">
        <v>152</v>
      </c>
      <c r="E536" s="3" t="s">
        <v>13</v>
      </c>
      <c r="F536" s="5">
        <v>10366.200000000001</v>
      </c>
      <c r="G536" s="5">
        <v>19973.939999999999</v>
      </c>
      <c r="H536" s="5">
        <f t="shared" si="16"/>
        <v>9607.739999999998</v>
      </c>
      <c r="I536" s="9">
        <f t="shared" si="17"/>
        <v>0.92683336227354252</v>
      </c>
      <c r="J536" s="3" t="s">
        <v>4603</v>
      </c>
    </row>
    <row r="537" spans="1:10" ht="25.5">
      <c r="A537" s="3" t="s">
        <v>1080</v>
      </c>
      <c r="B537" s="3" t="s">
        <v>1081</v>
      </c>
      <c r="C537" s="4">
        <v>74</v>
      </c>
      <c r="D537" s="3" t="s">
        <v>86</v>
      </c>
      <c r="E537" s="3" t="s">
        <v>8</v>
      </c>
      <c r="F537" s="5">
        <v>10366.200000000001</v>
      </c>
      <c r="G537" s="5">
        <v>19973.939999999999</v>
      </c>
      <c r="H537" s="5">
        <f t="shared" si="16"/>
        <v>9607.739999999998</v>
      </c>
      <c r="I537" s="9">
        <f t="shared" si="17"/>
        <v>0.92683336227354252</v>
      </c>
      <c r="J537" s="3" t="s">
        <v>4603</v>
      </c>
    </row>
    <row r="538" spans="1:10">
      <c r="A538" s="3" t="s">
        <v>1082</v>
      </c>
      <c r="B538" s="3" t="s">
        <v>1083</v>
      </c>
      <c r="C538" s="4">
        <v>315</v>
      </c>
      <c r="D538" s="3" t="s">
        <v>79</v>
      </c>
      <c r="E538" s="3" t="s">
        <v>8</v>
      </c>
      <c r="F538" s="5">
        <v>8017.02</v>
      </c>
      <c r="G538" s="5">
        <v>5551.2</v>
      </c>
      <c r="H538" s="5">
        <f t="shared" si="16"/>
        <v>-2465.8200000000006</v>
      </c>
      <c r="I538" s="9">
        <f t="shared" si="17"/>
        <v>-0.30757313814858889</v>
      </c>
      <c r="J538" s="3" t="s">
        <v>4603</v>
      </c>
    </row>
    <row r="539" spans="1:10">
      <c r="A539" s="3" t="s">
        <v>1084</v>
      </c>
      <c r="B539" s="3" t="s">
        <v>1085</v>
      </c>
      <c r="C539" s="4">
        <v>315</v>
      </c>
      <c r="D539" s="3" t="s">
        <v>79</v>
      </c>
      <c r="E539" s="3" t="s">
        <v>8</v>
      </c>
      <c r="F539" s="5">
        <v>7043.76</v>
      </c>
      <c r="G539" s="5">
        <v>0</v>
      </c>
      <c r="H539" s="5">
        <f t="shared" si="16"/>
        <v>-7043.76</v>
      </c>
      <c r="I539" s="9">
        <f t="shared" si="17"/>
        <v>-1</v>
      </c>
      <c r="J539" s="3" t="s">
        <v>4603</v>
      </c>
    </row>
    <row r="540" spans="1:10" ht="25.5">
      <c r="A540" s="3" t="s">
        <v>1086</v>
      </c>
      <c r="B540" s="3" t="s">
        <v>1087</v>
      </c>
      <c r="C540" s="4">
        <v>240</v>
      </c>
      <c r="D540" s="3" t="s">
        <v>152</v>
      </c>
      <c r="E540" s="3" t="s">
        <v>13</v>
      </c>
      <c r="F540" s="5">
        <v>24699.51</v>
      </c>
      <c r="G540" s="5">
        <v>0</v>
      </c>
      <c r="H540" s="5">
        <f t="shared" si="16"/>
        <v>-24699.51</v>
      </c>
      <c r="I540" s="9">
        <f t="shared" si="17"/>
        <v>-1</v>
      </c>
      <c r="J540" s="3" t="s">
        <v>4603</v>
      </c>
    </row>
    <row r="541" spans="1:10" ht="38.25">
      <c r="A541" s="3" t="s">
        <v>1088</v>
      </c>
      <c r="B541" s="3" t="s">
        <v>1089</v>
      </c>
      <c r="C541" s="4">
        <v>301</v>
      </c>
      <c r="D541" s="3" t="s">
        <v>12</v>
      </c>
      <c r="E541" s="3" t="s">
        <v>13</v>
      </c>
      <c r="F541" s="5">
        <v>3103.92</v>
      </c>
      <c r="G541" s="5">
        <v>0</v>
      </c>
      <c r="H541" s="5">
        <f t="shared" si="16"/>
        <v>-3103.92</v>
      </c>
      <c r="I541" s="9">
        <f t="shared" si="17"/>
        <v>-1</v>
      </c>
      <c r="J541" s="3" t="s">
        <v>4603</v>
      </c>
    </row>
    <row r="542" spans="1:10" ht="38.25">
      <c r="A542" s="3" t="s">
        <v>1090</v>
      </c>
      <c r="B542" s="3" t="s">
        <v>1091</v>
      </c>
      <c r="C542" s="4">
        <v>11</v>
      </c>
      <c r="D542" s="3" t="s">
        <v>55</v>
      </c>
      <c r="E542" s="3" t="s">
        <v>18</v>
      </c>
      <c r="F542" s="5">
        <v>29835.72</v>
      </c>
      <c r="G542" s="5">
        <v>0</v>
      </c>
      <c r="H542" s="5">
        <f t="shared" si="16"/>
        <v>-29835.72</v>
      </c>
      <c r="I542" s="9">
        <f t="shared" si="17"/>
        <v>-1</v>
      </c>
      <c r="J542" s="3" t="s">
        <v>4603</v>
      </c>
    </row>
    <row r="543" spans="1:10" ht="38.25">
      <c r="A543" s="3" t="s">
        <v>1092</v>
      </c>
      <c r="B543" s="3" t="s">
        <v>1093</v>
      </c>
      <c r="C543" s="4">
        <v>143</v>
      </c>
      <c r="D543" s="3" t="s">
        <v>21</v>
      </c>
      <c r="E543" s="3" t="s">
        <v>22</v>
      </c>
      <c r="F543" s="5">
        <v>2831.52</v>
      </c>
      <c r="G543" s="5">
        <v>0</v>
      </c>
      <c r="H543" s="5">
        <f t="shared" si="16"/>
        <v>-2831.52</v>
      </c>
      <c r="I543" s="9">
        <f t="shared" si="17"/>
        <v>-1</v>
      </c>
      <c r="J543" s="3" t="s">
        <v>4604</v>
      </c>
    </row>
    <row r="544" spans="1:10" ht="25.5">
      <c r="A544" s="3" t="s">
        <v>1094</v>
      </c>
      <c r="B544" s="3" t="s">
        <v>1095</v>
      </c>
      <c r="C544" s="4">
        <v>266</v>
      </c>
      <c r="D544" s="3" t="s">
        <v>111</v>
      </c>
      <c r="E544" s="3" t="s">
        <v>18</v>
      </c>
      <c r="F544" s="5">
        <v>14682.54</v>
      </c>
      <c r="G544" s="5">
        <v>0</v>
      </c>
      <c r="H544" s="5">
        <f t="shared" si="16"/>
        <v>-14682.54</v>
      </c>
      <c r="I544" s="9">
        <f t="shared" si="17"/>
        <v>-1</v>
      </c>
      <c r="J544" s="3" t="s">
        <v>4603</v>
      </c>
    </row>
    <row r="545" spans="1:10" ht="25.5">
      <c r="A545" s="3" t="s">
        <v>1096</v>
      </c>
      <c r="B545" s="3" t="s">
        <v>1097</v>
      </c>
      <c r="C545" s="4">
        <v>321</v>
      </c>
      <c r="D545" s="3" t="s">
        <v>125</v>
      </c>
      <c r="E545" s="3" t="s">
        <v>22</v>
      </c>
      <c r="F545" s="5">
        <v>7123.8</v>
      </c>
      <c r="G545" s="5">
        <v>0</v>
      </c>
      <c r="H545" s="5">
        <f t="shared" si="16"/>
        <v>-7123.8</v>
      </c>
      <c r="I545" s="9">
        <f t="shared" si="17"/>
        <v>-1</v>
      </c>
      <c r="J545" s="3" t="s">
        <v>4603</v>
      </c>
    </row>
    <row r="546" spans="1:10" ht="25.5">
      <c r="A546" s="3" t="s">
        <v>1098</v>
      </c>
      <c r="B546" s="3" t="s">
        <v>1099</v>
      </c>
      <c r="C546" s="4">
        <v>317</v>
      </c>
      <c r="D546" s="3" t="s">
        <v>54</v>
      </c>
      <c r="E546" s="3" t="s">
        <v>18</v>
      </c>
      <c r="F546" s="5">
        <v>20660.28</v>
      </c>
      <c r="G546" s="5">
        <v>0</v>
      </c>
      <c r="H546" s="5">
        <f t="shared" si="16"/>
        <v>-20660.28</v>
      </c>
      <c r="I546" s="9">
        <f t="shared" si="17"/>
        <v>-1</v>
      </c>
      <c r="J546" s="3" t="s">
        <v>4603</v>
      </c>
    </row>
    <row r="547" spans="1:10" ht="38.25">
      <c r="A547" s="3" t="s">
        <v>1100</v>
      </c>
      <c r="B547" s="3" t="s">
        <v>1101</v>
      </c>
      <c r="C547" s="4">
        <v>38</v>
      </c>
      <c r="D547" s="3" t="s">
        <v>229</v>
      </c>
      <c r="E547" s="3" t="s">
        <v>30</v>
      </c>
      <c r="F547" s="5">
        <v>11302.08</v>
      </c>
      <c r="G547" s="5">
        <v>0</v>
      </c>
      <c r="H547" s="5">
        <f t="shared" si="16"/>
        <v>-11302.08</v>
      </c>
      <c r="I547" s="9">
        <f t="shared" si="17"/>
        <v>-1</v>
      </c>
      <c r="J547" s="3" t="s">
        <v>4603</v>
      </c>
    </row>
    <row r="548" spans="1:10" ht="51">
      <c r="A548" s="3" t="s">
        <v>1102</v>
      </c>
      <c r="B548" s="3" t="s">
        <v>1103</v>
      </c>
      <c r="C548" s="4">
        <v>282</v>
      </c>
      <c r="D548" s="3" t="s">
        <v>298</v>
      </c>
      <c r="E548" s="3" t="s">
        <v>9</v>
      </c>
      <c r="F548" s="5">
        <v>7774.56</v>
      </c>
      <c r="G548" s="5">
        <v>0</v>
      </c>
      <c r="H548" s="5">
        <f t="shared" si="16"/>
        <v>-7774.56</v>
      </c>
      <c r="I548" s="9">
        <f t="shared" si="17"/>
        <v>-1</v>
      </c>
      <c r="J548" s="3" t="s">
        <v>4603</v>
      </c>
    </row>
    <row r="549" spans="1:10" ht="25.5">
      <c r="A549" s="3" t="s">
        <v>1104</v>
      </c>
      <c r="B549" s="3" t="s">
        <v>1105</v>
      </c>
      <c r="C549" s="4">
        <v>327</v>
      </c>
      <c r="D549" s="3" t="s">
        <v>76</v>
      </c>
      <c r="E549" s="3" t="s">
        <v>8</v>
      </c>
      <c r="F549" s="5">
        <v>4757.25</v>
      </c>
      <c r="G549" s="5">
        <v>11660.28</v>
      </c>
      <c r="H549" s="5">
        <f t="shared" si="16"/>
        <v>6903.0300000000007</v>
      </c>
      <c r="I549" s="9">
        <f t="shared" si="17"/>
        <v>1.4510547059750909</v>
      </c>
      <c r="J549" s="3" t="s">
        <v>4603</v>
      </c>
    </row>
    <row r="550" spans="1:10">
      <c r="A550" s="3" t="s">
        <v>1106</v>
      </c>
      <c r="B550" s="3" t="s">
        <v>1107</v>
      </c>
      <c r="C550" s="4">
        <v>217</v>
      </c>
      <c r="D550" s="3" t="s">
        <v>253</v>
      </c>
      <c r="E550" s="3" t="s">
        <v>13</v>
      </c>
      <c r="F550" s="5">
        <v>9178.44</v>
      </c>
      <c r="G550" s="5">
        <v>0</v>
      </c>
      <c r="H550" s="5">
        <f t="shared" si="16"/>
        <v>-9178.44</v>
      </c>
      <c r="I550" s="9">
        <f t="shared" si="17"/>
        <v>-1</v>
      </c>
      <c r="J550" s="3" t="s">
        <v>4603</v>
      </c>
    </row>
    <row r="551" spans="1:10" ht="25.5">
      <c r="A551" s="3" t="s">
        <v>1108</v>
      </c>
      <c r="B551" s="3" t="s">
        <v>1109</v>
      </c>
      <c r="C551" s="4">
        <v>74</v>
      </c>
      <c r="D551" s="3" t="s">
        <v>86</v>
      </c>
      <c r="E551" s="3" t="s">
        <v>8</v>
      </c>
      <c r="F551" s="5">
        <v>0</v>
      </c>
      <c r="G551" s="5">
        <v>14798.55</v>
      </c>
      <c r="H551" s="5">
        <f t="shared" si="16"/>
        <v>14798.55</v>
      </c>
      <c r="I551" s="9">
        <f t="shared" si="17"/>
        <v>0</v>
      </c>
      <c r="J551" s="3" t="s">
        <v>4603</v>
      </c>
    </row>
    <row r="552" spans="1:10" ht="25.5">
      <c r="A552" s="3" t="s">
        <v>1110</v>
      </c>
      <c r="B552" s="3" t="s">
        <v>1111</v>
      </c>
      <c r="C552" s="4">
        <v>316</v>
      </c>
      <c r="D552" s="3" t="s">
        <v>167</v>
      </c>
      <c r="E552" s="3" t="s">
        <v>18</v>
      </c>
      <c r="F552" s="5">
        <v>48496.23</v>
      </c>
      <c r="G552" s="5">
        <v>29464.022000000001</v>
      </c>
      <c r="H552" s="5">
        <f t="shared" si="16"/>
        <v>-19032.208000000002</v>
      </c>
      <c r="I552" s="9">
        <f t="shared" si="17"/>
        <v>-0.39244716548069825</v>
      </c>
      <c r="J552" s="3" t="s">
        <v>4603</v>
      </c>
    </row>
    <row r="553" spans="1:10">
      <c r="A553" s="3" t="s">
        <v>1112</v>
      </c>
      <c r="B553" s="3" t="s">
        <v>1113</v>
      </c>
      <c r="C553" s="4">
        <v>232</v>
      </c>
      <c r="D553" s="3" t="s">
        <v>95</v>
      </c>
      <c r="E553" s="3" t="s">
        <v>13</v>
      </c>
      <c r="F553" s="5">
        <v>12735.63</v>
      </c>
      <c r="G553" s="5">
        <v>11783.88</v>
      </c>
      <c r="H553" s="5">
        <f t="shared" si="16"/>
        <v>-951.75</v>
      </c>
      <c r="I553" s="9">
        <f t="shared" si="17"/>
        <v>-7.473128537810847E-2</v>
      </c>
      <c r="J553" s="3" t="s">
        <v>4603</v>
      </c>
    </row>
    <row r="554" spans="1:10" ht="25.5">
      <c r="A554" s="3" t="s">
        <v>1114</v>
      </c>
      <c r="B554" s="3" t="s">
        <v>1115</v>
      </c>
      <c r="C554" s="4">
        <v>316</v>
      </c>
      <c r="D554" s="3" t="s">
        <v>167</v>
      </c>
      <c r="E554" s="3" t="s">
        <v>18</v>
      </c>
      <c r="F554" s="5">
        <v>14789.76</v>
      </c>
      <c r="G554" s="5">
        <v>0</v>
      </c>
      <c r="H554" s="5">
        <f t="shared" si="16"/>
        <v>-14789.76</v>
      </c>
      <c r="I554" s="9">
        <f t="shared" si="17"/>
        <v>-1</v>
      </c>
      <c r="J554" s="3" t="s">
        <v>4604</v>
      </c>
    </row>
    <row r="555" spans="1:10" ht="25.5">
      <c r="A555" s="3" t="s">
        <v>1116</v>
      </c>
      <c r="B555" s="3" t="s">
        <v>1117</v>
      </c>
      <c r="C555" s="4">
        <v>299</v>
      </c>
      <c r="D555" s="3" t="s">
        <v>246</v>
      </c>
      <c r="E555" s="3" t="s">
        <v>30</v>
      </c>
      <c r="F555" s="5">
        <v>23480.52</v>
      </c>
      <c r="G555" s="5">
        <v>15598.74</v>
      </c>
      <c r="H555" s="5">
        <f t="shared" si="16"/>
        <v>-7881.7800000000007</v>
      </c>
      <c r="I555" s="9">
        <f t="shared" si="17"/>
        <v>-0.33567314522847025</v>
      </c>
      <c r="J555" s="3" t="s">
        <v>4603</v>
      </c>
    </row>
    <row r="556" spans="1:10" ht="25.5">
      <c r="A556" s="3" t="s">
        <v>1118</v>
      </c>
      <c r="B556" s="3" t="s">
        <v>1119</v>
      </c>
      <c r="C556" s="4">
        <v>261</v>
      </c>
      <c r="D556" s="3" t="s">
        <v>17</v>
      </c>
      <c r="E556" s="3" t="s">
        <v>18</v>
      </c>
      <c r="F556" s="5">
        <v>24057.15</v>
      </c>
      <c r="G556" s="5">
        <v>84637.16</v>
      </c>
      <c r="H556" s="5">
        <f t="shared" si="16"/>
        <v>60580.01</v>
      </c>
      <c r="I556" s="9">
        <f t="shared" si="17"/>
        <v>2.5181706893792488</v>
      </c>
      <c r="J556" s="3" t="s">
        <v>4603</v>
      </c>
    </row>
    <row r="557" spans="1:10">
      <c r="A557" s="3" t="s">
        <v>1120</v>
      </c>
      <c r="B557" s="3" t="s">
        <v>1121</v>
      </c>
      <c r="C557" s="4">
        <v>232</v>
      </c>
      <c r="D557" s="3" t="s">
        <v>95</v>
      </c>
      <c r="E557" s="3" t="s">
        <v>13</v>
      </c>
      <c r="F557" s="5">
        <v>11558.88</v>
      </c>
      <c r="G557" s="5">
        <v>12103.44</v>
      </c>
      <c r="H557" s="5">
        <f t="shared" si="16"/>
        <v>544.56000000000131</v>
      </c>
      <c r="I557" s="9">
        <f t="shared" si="17"/>
        <v>4.711183090403237E-2</v>
      </c>
      <c r="J557" s="3" t="s">
        <v>4603</v>
      </c>
    </row>
    <row r="558" spans="1:10" ht="25.5">
      <c r="A558" s="3" t="s">
        <v>1122</v>
      </c>
      <c r="B558" s="3" t="s">
        <v>1123</v>
      </c>
      <c r="C558" s="4">
        <v>297</v>
      </c>
      <c r="D558" s="3" t="s">
        <v>209</v>
      </c>
      <c r="E558" s="3" t="s">
        <v>22</v>
      </c>
      <c r="F558" s="5">
        <v>0</v>
      </c>
      <c r="G558" s="5">
        <v>20542.894</v>
      </c>
      <c r="H558" s="5">
        <f t="shared" si="16"/>
        <v>20542.894</v>
      </c>
      <c r="I558" s="9">
        <f t="shared" si="17"/>
        <v>0</v>
      </c>
      <c r="J558" s="3" t="s">
        <v>4603</v>
      </c>
    </row>
    <row r="559" spans="1:10" ht="51">
      <c r="A559" s="3" t="s">
        <v>1124</v>
      </c>
      <c r="B559" s="3" t="s">
        <v>1125</v>
      </c>
      <c r="C559" s="4">
        <v>282</v>
      </c>
      <c r="D559" s="3" t="s">
        <v>298</v>
      </c>
      <c r="E559" s="3" t="s">
        <v>9</v>
      </c>
      <c r="F559" s="5">
        <v>0</v>
      </c>
      <c r="G559" s="5">
        <v>100902.31200000001</v>
      </c>
      <c r="H559" s="5">
        <f t="shared" si="16"/>
        <v>100902.31200000001</v>
      </c>
      <c r="I559" s="9">
        <f t="shared" si="17"/>
        <v>0</v>
      </c>
      <c r="J559" s="3" t="s">
        <v>4603</v>
      </c>
    </row>
    <row r="560" spans="1:10" ht="51">
      <c r="A560" s="3" t="s">
        <v>1126</v>
      </c>
      <c r="B560" s="3" t="s">
        <v>1127</v>
      </c>
      <c r="C560" s="4">
        <v>282</v>
      </c>
      <c r="D560" s="3" t="s">
        <v>298</v>
      </c>
      <c r="E560" s="3" t="s">
        <v>9</v>
      </c>
      <c r="F560" s="5">
        <v>5550</v>
      </c>
      <c r="G560" s="5">
        <v>0</v>
      </c>
      <c r="H560" s="5">
        <f t="shared" si="16"/>
        <v>-5550</v>
      </c>
      <c r="I560" s="9">
        <f t="shared" si="17"/>
        <v>-1</v>
      </c>
      <c r="J560" s="3" t="s">
        <v>4603</v>
      </c>
    </row>
    <row r="561" spans="1:10" ht="38.25">
      <c r="A561" s="3" t="s">
        <v>1128</v>
      </c>
      <c r="B561" s="3" t="s">
        <v>1129</v>
      </c>
      <c r="C561" s="4">
        <v>301</v>
      </c>
      <c r="D561" s="3" t="s">
        <v>12</v>
      </c>
      <c r="E561" s="3" t="s">
        <v>13</v>
      </c>
      <c r="F561" s="5">
        <v>32092.2</v>
      </c>
      <c r="G561" s="5">
        <v>32108.31</v>
      </c>
      <c r="H561" s="5">
        <f t="shared" si="16"/>
        <v>16.110000000000582</v>
      </c>
      <c r="I561" s="9">
        <f t="shared" si="17"/>
        <v>5.0199113803350848E-4</v>
      </c>
      <c r="J561" s="3" t="s">
        <v>4603</v>
      </c>
    </row>
    <row r="562" spans="1:10" ht="38.25">
      <c r="A562" s="3" t="s">
        <v>1130</v>
      </c>
      <c r="B562" s="3" t="s">
        <v>1131</v>
      </c>
      <c r="C562" s="4">
        <v>38</v>
      </c>
      <c r="D562" s="3" t="s">
        <v>229</v>
      </c>
      <c r="E562" s="3" t="s">
        <v>30</v>
      </c>
      <c r="F562" s="5">
        <v>4462.5</v>
      </c>
      <c r="G562" s="5">
        <v>6974.75</v>
      </c>
      <c r="H562" s="5">
        <f t="shared" si="16"/>
        <v>2512.25</v>
      </c>
      <c r="I562" s="9">
        <f t="shared" si="17"/>
        <v>0.56296918767506998</v>
      </c>
      <c r="J562" s="3" t="s">
        <v>4603</v>
      </c>
    </row>
    <row r="563" spans="1:10" ht="25.5">
      <c r="A563" s="3" t="s">
        <v>1132</v>
      </c>
      <c r="B563" s="3" t="s">
        <v>1133</v>
      </c>
      <c r="C563" s="4">
        <v>296</v>
      </c>
      <c r="D563" s="3" t="s">
        <v>137</v>
      </c>
      <c r="E563" s="3" t="s">
        <v>18</v>
      </c>
      <c r="F563" s="5">
        <v>5773.68</v>
      </c>
      <c r="G563" s="5">
        <v>0</v>
      </c>
      <c r="H563" s="5">
        <f t="shared" si="16"/>
        <v>-5773.68</v>
      </c>
      <c r="I563" s="9">
        <f t="shared" si="17"/>
        <v>-1</v>
      </c>
      <c r="J563" s="3" t="s">
        <v>4603</v>
      </c>
    </row>
    <row r="564" spans="1:10" ht="25.5">
      <c r="A564" s="3" t="s">
        <v>1134</v>
      </c>
      <c r="B564" s="3" t="s">
        <v>1135</v>
      </c>
      <c r="C564" s="4">
        <v>337</v>
      </c>
      <c r="D564" s="3" t="s">
        <v>218</v>
      </c>
      <c r="E564" s="3" t="s">
        <v>13</v>
      </c>
      <c r="F564" s="5">
        <v>3167.28</v>
      </c>
      <c r="G564" s="5">
        <v>0</v>
      </c>
      <c r="H564" s="5">
        <f t="shared" si="16"/>
        <v>-3167.28</v>
      </c>
      <c r="I564" s="9">
        <f t="shared" si="17"/>
        <v>-1</v>
      </c>
      <c r="J564" s="3" t="s">
        <v>4604</v>
      </c>
    </row>
    <row r="565" spans="1:10" ht="38.25">
      <c r="A565" s="3" t="s">
        <v>1136</v>
      </c>
      <c r="B565" s="3" t="s">
        <v>1137</v>
      </c>
      <c r="C565" s="4">
        <v>45</v>
      </c>
      <c r="D565" s="3" t="s">
        <v>16</v>
      </c>
      <c r="E565" s="3" t="s">
        <v>8</v>
      </c>
      <c r="F565" s="5">
        <v>31318.14</v>
      </c>
      <c r="G565" s="5">
        <v>2626.11</v>
      </c>
      <c r="H565" s="5">
        <f t="shared" si="16"/>
        <v>-28692.03</v>
      </c>
      <c r="I565" s="9">
        <f t="shared" si="17"/>
        <v>-0.91614731909366265</v>
      </c>
      <c r="J565" s="3" t="s">
        <v>4603</v>
      </c>
    </row>
    <row r="566" spans="1:10" ht="25.5">
      <c r="A566" s="3" t="s">
        <v>1138</v>
      </c>
      <c r="B566" s="3" t="s">
        <v>1139</v>
      </c>
      <c r="C566" s="4">
        <v>266</v>
      </c>
      <c r="D566" s="3" t="s">
        <v>111</v>
      </c>
      <c r="E566" s="3" t="s">
        <v>18</v>
      </c>
      <c r="F566" s="5">
        <v>0</v>
      </c>
      <c r="G566" s="5">
        <v>17188.2</v>
      </c>
      <c r="H566" s="5">
        <f t="shared" si="16"/>
        <v>17188.2</v>
      </c>
      <c r="I566" s="9">
        <f t="shared" si="17"/>
        <v>0</v>
      </c>
      <c r="J566" s="3" t="s">
        <v>4603</v>
      </c>
    </row>
    <row r="567" spans="1:10" ht="38.25">
      <c r="A567" s="3" t="s">
        <v>1140</v>
      </c>
      <c r="B567" s="3" t="s">
        <v>1141</v>
      </c>
      <c r="C567" s="4">
        <v>45</v>
      </c>
      <c r="D567" s="3" t="s">
        <v>16</v>
      </c>
      <c r="E567" s="3" t="s">
        <v>8</v>
      </c>
      <c r="F567" s="5">
        <v>94561.08</v>
      </c>
      <c r="G567" s="5">
        <v>0</v>
      </c>
      <c r="H567" s="5">
        <f t="shared" si="16"/>
        <v>-94561.08</v>
      </c>
      <c r="I567" s="9">
        <f t="shared" si="17"/>
        <v>-1</v>
      </c>
      <c r="J567" s="3" t="s">
        <v>4603</v>
      </c>
    </row>
    <row r="568" spans="1:10" ht="25.5">
      <c r="A568" s="3" t="s">
        <v>1142</v>
      </c>
      <c r="B568" s="3" t="s">
        <v>1143</v>
      </c>
      <c r="C568" s="4">
        <v>316</v>
      </c>
      <c r="D568" s="3" t="s">
        <v>167</v>
      </c>
      <c r="E568" s="3" t="s">
        <v>18</v>
      </c>
      <c r="F568" s="5">
        <v>0</v>
      </c>
      <c r="G568" s="5">
        <v>42905.69</v>
      </c>
      <c r="H568" s="5">
        <f t="shared" si="16"/>
        <v>42905.69</v>
      </c>
      <c r="I568" s="9">
        <f t="shared" si="17"/>
        <v>0</v>
      </c>
      <c r="J568" s="3" t="s">
        <v>4603</v>
      </c>
    </row>
    <row r="569" spans="1:10" ht="25.5">
      <c r="A569" s="3" t="s">
        <v>1144</v>
      </c>
      <c r="B569" s="3" t="s">
        <v>1145</v>
      </c>
      <c r="C569" s="4">
        <v>31</v>
      </c>
      <c r="D569" s="3" t="s">
        <v>172</v>
      </c>
      <c r="E569" s="3" t="s">
        <v>13</v>
      </c>
      <c r="F569" s="5">
        <v>0</v>
      </c>
      <c r="G569" s="5">
        <v>40823.68</v>
      </c>
      <c r="H569" s="5">
        <f t="shared" si="16"/>
        <v>40823.68</v>
      </c>
      <c r="I569" s="9">
        <f t="shared" si="17"/>
        <v>0</v>
      </c>
      <c r="J569" s="3" t="s">
        <v>4603</v>
      </c>
    </row>
    <row r="570" spans="1:10" ht="25.5">
      <c r="A570" s="3" t="s">
        <v>1146</v>
      </c>
      <c r="B570" s="3" t="s">
        <v>1147</v>
      </c>
      <c r="C570" s="4">
        <v>194</v>
      </c>
      <c r="D570" s="3" t="s">
        <v>179</v>
      </c>
      <c r="E570" s="3" t="s">
        <v>13</v>
      </c>
      <c r="F570" s="5">
        <v>10995.78</v>
      </c>
      <c r="G570" s="5">
        <v>20558.88</v>
      </c>
      <c r="H570" s="5">
        <f t="shared" si="16"/>
        <v>9563.1</v>
      </c>
      <c r="I570" s="9">
        <f t="shared" si="17"/>
        <v>0.86970637826511621</v>
      </c>
      <c r="J570" s="3" t="s">
        <v>4604</v>
      </c>
    </row>
    <row r="571" spans="1:10">
      <c r="A571" s="3" t="s">
        <v>1148</v>
      </c>
      <c r="B571" s="3" t="s">
        <v>1149</v>
      </c>
      <c r="C571" s="4">
        <v>217</v>
      </c>
      <c r="D571" s="3" t="s">
        <v>253</v>
      </c>
      <c r="E571" s="3" t="s">
        <v>13</v>
      </c>
      <c r="F571" s="5">
        <v>53977.47</v>
      </c>
      <c r="G571" s="5">
        <v>0</v>
      </c>
      <c r="H571" s="5">
        <f t="shared" si="16"/>
        <v>-53977.47</v>
      </c>
      <c r="I571" s="9">
        <f t="shared" si="17"/>
        <v>-1</v>
      </c>
      <c r="J571" s="3" t="s">
        <v>4604</v>
      </c>
    </row>
    <row r="572" spans="1:10" ht="25.5">
      <c r="A572" s="3" t="s">
        <v>1150</v>
      </c>
      <c r="B572" s="3" t="s">
        <v>1151</v>
      </c>
      <c r="C572" s="4">
        <v>41</v>
      </c>
      <c r="D572" s="3" t="s">
        <v>106</v>
      </c>
      <c r="E572" s="3" t="s">
        <v>22</v>
      </c>
      <c r="F572" s="5">
        <v>0</v>
      </c>
      <c r="G572" s="5">
        <v>25022.007000000001</v>
      </c>
      <c r="H572" s="5">
        <f t="shared" si="16"/>
        <v>25022.007000000001</v>
      </c>
      <c r="I572" s="9">
        <f t="shared" si="17"/>
        <v>0</v>
      </c>
      <c r="J572" s="3" t="s">
        <v>4603</v>
      </c>
    </row>
    <row r="573" spans="1:10" ht="38.25">
      <c r="A573" s="3" t="s">
        <v>1152</v>
      </c>
      <c r="B573" s="3" t="s">
        <v>1153</v>
      </c>
      <c r="C573" s="4">
        <v>371</v>
      </c>
      <c r="D573" s="3" t="s">
        <v>29</v>
      </c>
      <c r="E573" s="3" t="s">
        <v>30</v>
      </c>
      <c r="F573" s="5">
        <v>10933.47</v>
      </c>
      <c r="G573" s="5">
        <v>0</v>
      </c>
      <c r="H573" s="5">
        <f t="shared" si="16"/>
        <v>-10933.47</v>
      </c>
      <c r="I573" s="9">
        <f t="shared" si="17"/>
        <v>-1</v>
      </c>
      <c r="J573" s="3" t="s">
        <v>4603</v>
      </c>
    </row>
    <row r="574" spans="1:10" ht="38.25">
      <c r="A574" s="3" t="s">
        <v>1154</v>
      </c>
      <c r="B574" s="3" t="s">
        <v>1155</v>
      </c>
      <c r="C574" s="4">
        <v>371</v>
      </c>
      <c r="D574" s="3" t="s">
        <v>29</v>
      </c>
      <c r="E574" s="3" t="s">
        <v>30</v>
      </c>
      <c r="F574" s="5">
        <v>0</v>
      </c>
      <c r="G574" s="5">
        <v>4189.848</v>
      </c>
      <c r="H574" s="5">
        <f t="shared" si="16"/>
        <v>4189.848</v>
      </c>
      <c r="I574" s="9">
        <f t="shared" si="17"/>
        <v>0</v>
      </c>
      <c r="J574" s="3" t="s">
        <v>4603</v>
      </c>
    </row>
    <row r="575" spans="1:10" ht="38.25">
      <c r="A575" s="3" t="s">
        <v>1156</v>
      </c>
      <c r="B575" s="3" t="s">
        <v>1157</v>
      </c>
      <c r="C575" s="4">
        <v>38</v>
      </c>
      <c r="D575" s="3" t="s">
        <v>229</v>
      </c>
      <c r="E575" s="3" t="s">
        <v>30</v>
      </c>
      <c r="F575" s="5">
        <v>10628.41</v>
      </c>
      <c r="G575" s="5">
        <v>15158.2</v>
      </c>
      <c r="H575" s="5">
        <f t="shared" si="16"/>
        <v>4529.7900000000009</v>
      </c>
      <c r="I575" s="9">
        <f t="shared" si="17"/>
        <v>0.42619639249897223</v>
      </c>
      <c r="J575" s="3" t="s">
        <v>4603</v>
      </c>
    </row>
    <row r="576" spans="1:10" ht="38.25">
      <c r="A576" s="3" t="s">
        <v>1158</v>
      </c>
      <c r="B576" s="3" t="s">
        <v>1159</v>
      </c>
      <c r="C576" s="4">
        <v>45</v>
      </c>
      <c r="D576" s="3" t="s">
        <v>16</v>
      </c>
      <c r="E576" s="3" t="s">
        <v>8</v>
      </c>
      <c r="F576" s="5">
        <v>26615.82</v>
      </c>
      <c r="G576" s="5">
        <v>0</v>
      </c>
      <c r="H576" s="5">
        <f t="shared" si="16"/>
        <v>-26615.82</v>
      </c>
      <c r="I576" s="9">
        <f t="shared" si="17"/>
        <v>-1</v>
      </c>
      <c r="J576" s="3" t="s">
        <v>4603</v>
      </c>
    </row>
    <row r="577" spans="1:10" ht="38.25">
      <c r="A577" s="3" t="s">
        <v>1160</v>
      </c>
      <c r="B577" s="3" t="s">
        <v>1161</v>
      </c>
      <c r="C577" s="4">
        <v>11</v>
      </c>
      <c r="D577" s="3" t="s">
        <v>55</v>
      </c>
      <c r="E577" s="3" t="s">
        <v>18</v>
      </c>
      <c r="F577" s="5">
        <v>36725.879999999997</v>
      </c>
      <c r="G577" s="5">
        <v>0</v>
      </c>
      <c r="H577" s="5">
        <f t="shared" si="16"/>
        <v>-36725.879999999997</v>
      </c>
      <c r="I577" s="9">
        <f t="shared" si="17"/>
        <v>-1</v>
      </c>
      <c r="J577" s="3" t="s">
        <v>4603</v>
      </c>
    </row>
    <row r="578" spans="1:10" ht="38.25">
      <c r="A578" s="3" t="s">
        <v>1162</v>
      </c>
      <c r="B578" s="3" t="s">
        <v>1163</v>
      </c>
      <c r="C578" s="4">
        <v>301</v>
      </c>
      <c r="D578" s="3" t="s">
        <v>12</v>
      </c>
      <c r="E578" s="3" t="s">
        <v>13</v>
      </c>
      <c r="F578" s="5">
        <v>0</v>
      </c>
      <c r="G578" s="5">
        <v>14370.78</v>
      </c>
      <c r="H578" s="5">
        <f t="shared" si="16"/>
        <v>14370.78</v>
      </c>
      <c r="I578" s="9">
        <f t="shared" si="17"/>
        <v>0</v>
      </c>
      <c r="J578" s="3" t="s">
        <v>4604</v>
      </c>
    </row>
    <row r="579" spans="1:10" ht="25.5">
      <c r="A579" s="3" t="s">
        <v>1164</v>
      </c>
      <c r="B579" s="3" t="s">
        <v>1165</v>
      </c>
      <c r="C579" s="4">
        <v>273</v>
      </c>
      <c r="D579" s="3" t="s">
        <v>771</v>
      </c>
      <c r="E579" s="3" t="s">
        <v>18</v>
      </c>
      <c r="F579" s="5">
        <v>3911.04</v>
      </c>
      <c r="G579" s="5">
        <v>0</v>
      </c>
      <c r="H579" s="5">
        <f t="shared" ref="H579:H642" si="18">G579-F579</f>
        <v>-3911.04</v>
      </c>
      <c r="I579" s="9">
        <f t="shared" ref="I579:I642" si="19">IFERROR(G579/F579-1,0)</f>
        <v>-1</v>
      </c>
      <c r="J579" s="3" t="s">
        <v>4603</v>
      </c>
    </row>
    <row r="580" spans="1:10" ht="25.5">
      <c r="A580" s="3" t="s">
        <v>1164</v>
      </c>
      <c r="B580" s="3" t="s">
        <v>1165</v>
      </c>
      <c r="C580" s="4">
        <v>273</v>
      </c>
      <c r="D580" s="3" t="s">
        <v>771</v>
      </c>
      <c r="E580" s="3" t="s">
        <v>13</v>
      </c>
      <c r="F580" s="5">
        <v>3911.04</v>
      </c>
      <c r="G580" s="5">
        <v>0</v>
      </c>
      <c r="H580" s="5">
        <f t="shared" si="18"/>
        <v>-3911.04</v>
      </c>
      <c r="I580" s="9">
        <f t="shared" si="19"/>
        <v>-1</v>
      </c>
      <c r="J580" s="3" t="s">
        <v>4603</v>
      </c>
    </row>
    <row r="581" spans="1:10" ht="25.5">
      <c r="A581" s="3" t="s">
        <v>1166</v>
      </c>
      <c r="B581" s="3" t="s">
        <v>1167</v>
      </c>
      <c r="C581" s="4">
        <v>197</v>
      </c>
      <c r="D581" s="3" t="s">
        <v>23</v>
      </c>
      <c r="E581" s="3" t="s">
        <v>22</v>
      </c>
      <c r="F581" s="5">
        <v>18089</v>
      </c>
      <c r="G581" s="5">
        <v>18855.77</v>
      </c>
      <c r="H581" s="5">
        <f t="shared" si="18"/>
        <v>766.77000000000044</v>
      </c>
      <c r="I581" s="9">
        <f t="shared" si="19"/>
        <v>4.2388744540881262E-2</v>
      </c>
      <c r="J581" s="3" t="s">
        <v>4603</v>
      </c>
    </row>
    <row r="582" spans="1:10" ht="25.5">
      <c r="A582" s="3" t="s">
        <v>1168</v>
      </c>
      <c r="B582" s="3" t="s">
        <v>1169</v>
      </c>
      <c r="C582" s="4">
        <v>187</v>
      </c>
      <c r="D582" s="3" t="s">
        <v>460</v>
      </c>
      <c r="E582" s="3" t="s">
        <v>8</v>
      </c>
      <c r="F582" s="5">
        <v>18645.240000000002</v>
      </c>
      <c r="G582" s="5">
        <v>43959.93</v>
      </c>
      <c r="H582" s="5">
        <f t="shared" si="18"/>
        <v>25314.69</v>
      </c>
      <c r="I582" s="9">
        <f t="shared" si="19"/>
        <v>1.3577025557193148</v>
      </c>
      <c r="J582" s="3" t="s">
        <v>4604</v>
      </c>
    </row>
    <row r="583" spans="1:10" ht="25.5">
      <c r="A583" s="3" t="s">
        <v>1170</v>
      </c>
      <c r="B583" s="3" t="s">
        <v>1171</v>
      </c>
      <c r="C583" s="4">
        <v>320</v>
      </c>
      <c r="D583" s="3" t="s">
        <v>188</v>
      </c>
      <c r="E583" s="3" t="s">
        <v>30</v>
      </c>
      <c r="F583" s="5">
        <v>5746.8</v>
      </c>
      <c r="G583" s="5">
        <v>0</v>
      </c>
      <c r="H583" s="5">
        <f t="shared" si="18"/>
        <v>-5746.8</v>
      </c>
      <c r="I583" s="9">
        <f t="shared" si="19"/>
        <v>-1</v>
      </c>
      <c r="J583" s="3" t="s">
        <v>4603</v>
      </c>
    </row>
    <row r="584" spans="1:10" ht="38.25">
      <c r="A584" s="3" t="s">
        <v>1172</v>
      </c>
      <c r="B584" s="3" t="s">
        <v>1173</v>
      </c>
      <c r="C584" s="4">
        <v>292</v>
      </c>
      <c r="D584" s="3" t="s">
        <v>619</v>
      </c>
      <c r="E584" s="3" t="s">
        <v>30</v>
      </c>
      <c r="F584" s="5">
        <v>21496.14</v>
      </c>
      <c r="G584" s="5">
        <v>69412.191000000006</v>
      </c>
      <c r="H584" s="5">
        <f t="shared" si="18"/>
        <v>47916.051000000007</v>
      </c>
      <c r="I584" s="9">
        <f t="shared" si="19"/>
        <v>2.2290537277855469</v>
      </c>
      <c r="J584" s="3" t="s">
        <v>4603</v>
      </c>
    </row>
    <row r="585" spans="1:10" ht="25.5">
      <c r="A585" s="3" t="s">
        <v>1174</v>
      </c>
      <c r="B585" s="3" t="s">
        <v>1175</v>
      </c>
      <c r="C585" s="4">
        <v>317</v>
      </c>
      <c r="D585" s="3" t="s">
        <v>54</v>
      </c>
      <c r="E585" s="3" t="s">
        <v>18</v>
      </c>
      <c r="F585" s="5">
        <v>23561.37</v>
      </c>
      <c r="G585" s="5">
        <v>0</v>
      </c>
      <c r="H585" s="5">
        <f t="shared" si="18"/>
        <v>-23561.37</v>
      </c>
      <c r="I585" s="9">
        <f t="shared" si="19"/>
        <v>-1</v>
      </c>
      <c r="J585" s="3" t="s">
        <v>4603</v>
      </c>
    </row>
    <row r="586" spans="1:10" ht="25.5">
      <c r="A586" s="3" t="s">
        <v>1176</v>
      </c>
      <c r="B586" s="3" t="s">
        <v>1177</v>
      </c>
      <c r="C586" s="4">
        <v>218</v>
      </c>
      <c r="D586" s="3" t="s">
        <v>155</v>
      </c>
      <c r="E586" s="3" t="s">
        <v>13</v>
      </c>
      <c r="F586" s="5">
        <v>3167.28</v>
      </c>
      <c r="G586" s="5">
        <v>3781.56</v>
      </c>
      <c r="H586" s="5">
        <f t="shared" si="18"/>
        <v>614.27999999999975</v>
      </c>
      <c r="I586" s="9">
        <f t="shared" si="19"/>
        <v>0.19394559369553677</v>
      </c>
      <c r="J586" s="3" t="s">
        <v>4603</v>
      </c>
    </row>
    <row r="587" spans="1:10" ht="25.5">
      <c r="A587" s="3" t="s">
        <v>1178</v>
      </c>
      <c r="B587" s="3" t="s">
        <v>1179</v>
      </c>
      <c r="C587" s="4">
        <v>19</v>
      </c>
      <c r="D587" s="3" t="s">
        <v>53</v>
      </c>
      <c r="E587" s="3" t="s">
        <v>22</v>
      </c>
      <c r="F587" s="5">
        <v>30967.47</v>
      </c>
      <c r="G587" s="5">
        <v>54519.27</v>
      </c>
      <c r="H587" s="5">
        <f t="shared" si="18"/>
        <v>23551.799999999996</v>
      </c>
      <c r="I587" s="9">
        <f t="shared" si="19"/>
        <v>0.76053355343526596</v>
      </c>
      <c r="J587" s="3" t="s">
        <v>4603</v>
      </c>
    </row>
    <row r="588" spans="1:10" ht="25.5">
      <c r="A588" s="3" t="s">
        <v>1180</v>
      </c>
      <c r="B588" s="3" t="s">
        <v>1181</v>
      </c>
      <c r="C588" s="4">
        <v>74</v>
      </c>
      <c r="D588" s="3" t="s">
        <v>86</v>
      </c>
      <c r="E588" s="3" t="s">
        <v>8</v>
      </c>
      <c r="F588" s="5">
        <v>49234.53</v>
      </c>
      <c r="G588" s="5">
        <v>17059.68</v>
      </c>
      <c r="H588" s="5">
        <f t="shared" si="18"/>
        <v>-32174.85</v>
      </c>
      <c r="I588" s="9">
        <f t="shared" si="19"/>
        <v>-0.65350171922023015</v>
      </c>
      <c r="J588" s="3" t="s">
        <v>4603</v>
      </c>
    </row>
    <row r="589" spans="1:10">
      <c r="A589" s="3" t="s">
        <v>1182</v>
      </c>
      <c r="B589" s="3" t="s">
        <v>1183</v>
      </c>
      <c r="C589" s="4">
        <v>231</v>
      </c>
      <c r="D589" s="3" t="s">
        <v>89</v>
      </c>
      <c r="E589" s="3" t="s">
        <v>8</v>
      </c>
      <c r="F589" s="5">
        <v>11146.23</v>
      </c>
      <c r="G589" s="5">
        <v>5839.8</v>
      </c>
      <c r="H589" s="5">
        <f t="shared" si="18"/>
        <v>-5306.4299999999994</v>
      </c>
      <c r="I589" s="9">
        <f t="shared" si="19"/>
        <v>-0.47607397299355925</v>
      </c>
      <c r="J589" s="3" t="s">
        <v>4603</v>
      </c>
    </row>
    <row r="590" spans="1:10" ht="25.5">
      <c r="A590" s="3" t="s">
        <v>1184</v>
      </c>
      <c r="B590" s="3" t="s">
        <v>1185</v>
      </c>
      <c r="C590" s="4">
        <v>261</v>
      </c>
      <c r="D590" s="3" t="s">
        <v>17</v>
      </c>
      <c r="E590" s="3" t="s">
        <v>18</v>
      </c>
      <c r="F590" s="5">
        <v>4631.16</v>
      </c>
      <c r="G590" s="5">
        <v>9423</v>
      </c>
      <c r="H590" s="5">
        <f t="shared" si="18"/>
        <v>4791.84</v>
      </c>
      <c r="I590" s="9">
        <f t="shared" si="19"/>
        <v>1.034695411084912</v>
      </c>
      <c r="J590" s="3" t="s">
        <v>4603</v>
      </c>
    </row>
    <row r="591" spans="1:10" ht="25.5">
      <c r="A591" s="3" t="s">
        <v>1186</v>
      </c>
      <c r="B591" s="3" t="s">
        <v>1187</v>
      </c>
      <c r="C591" s="4">
        <v>316</v>
      </c>
      <c r="D591" s="3" t="s">
        <v>167</v>
      </c>
      <c r="E591" s="3" t="s">
        <v>18</v>
      </c>
      <c r="F591" s="5">
        <v>2891.4</v>
      </c>
      <c r="G591" s="5">
        <v>0</v>
      </c>
      <c r="H591" s="5">
        <f t="shared" si="18"/>
        <v>-2891.4</v>
      </c>
      <c r="I591" s="9">
        <f t="shared" si="19"/>
        <v>-1</v>
      </c>
      <c r="J591" s="3" t="s">
        <v>4603</v>
      </c>
    </row>
    <row r="592" spans="1:10" ht="25.5">
      <c r="A592" s="3" t="s">
        <v>1188</v>
      </c>
      <c r="B592" s="3" t="s">
        <v>1189</v>
      </c>
      <c r="C592" s="4">
        <v>273</v>
      </c>
      <c r="D592" s="3" t="s">
        <v>771</v>
      </c>
      <c r="E592" s="3" t="s">
        <v>13</v>
      </c>
      <c r="F592" s="5">
        <v>0</v>
      </c>
      <c r="G592" s="5">
        <v>9804.81</v>
      </c>
      <c r="H592" s="5">
        <f t="shared" si="18"/>
        <v>9804.81</v>
      </c>
      <c r="I592" s="9">
        <f t="shared" si="19"/>
        <v>0</v>
      </c>
      <c r="J592" s="3" t="s">
        <v>4604</v>
      </c>
    </row>
    <row r="593" spans="1:10" ht="38.25">
      <c r="A593" s="3" t="s">
        <v>1190</v>
      </c>
      <c r="B593" s="3" t="s">
        <v>1191</v>
      </c>
      <c r="C593" s="4">
        <v>371</v>
      </c>
      <c r="D593" s="3" t="s">
        <v>29</v>
      </c>
      <c r="E593" s="3" t="s">
        <v>30</v>
      </c>
      <c r="F593" s="5">
        <v>12669.12</v>
      </c>
      <c r="G593" s="5">
        <v>8619.4719999999998</v>
      </c>
      <c r="H593" s="5">
        <f t="shared" si="18"/>
        <v>-4049.648000000001</v>
      </c>
      <c r="I593" s="9">
        <f t="shared" si="19"/>
        <v>-0.31964714202722844</v>
      </c>
      <c r="J593" s="3" t="s">
        <v>4604</v>
      </c>
    </row>
    <row r="594" spans="1:10" ht="25.5">
      <c r="A594" s="3" t="s">
        <v>1192</v>
      </c>
      <c r="B594" s="3" t="s">
        <v>1193</v>
      </c>
      <c r="C594" s="4">
        <v>317</v>
      </c>
      <c r="D594" s="3" t="s">
        <v>54</v>
      </c>
      <c r="E594" s="3" t="s">
        <v>18</v>
      </c>
      <c r="F594" s="5">
        <v>10708.68</v>
      </c>
      <c r="G594" s="5">
        <v>0</v>
      </c>
      <c r="H594" s="5">
        <f t="shared" si="18"/>
        <v>-10708.68</v>
      </c>
      <c r="I594" s="9">
        <f t="shared" si="19"/>
        <v>-1</v>
      </c>
      <c r="J594" s="3" t="s">
        <v>4603</v>
      </c>
    </row>
    <row r="595" spans="1:10" ht="38.25">
      <c r="A595" s="3" t="s">
        <v>1194</v>
      </c>
      <c r="B595" s="3" t="s">
        <v>1195</v>
      </c>
      <c r="C595" s="4">
        <v>45</v>
      </c>
      <c r="D595" s="3" t="s">
        <v>16</v>
      </c>
      <c r="E595" s="3" t="s">
        <v>8</v>
      </c>
      <c r="F595" s="5">
        <v>37233.480000000003</v>
      </c>
      <c r="G595" s="5">
        <v>77106.600000000006</v>
      </c>
      <c r="H595" s="5">
        <f t="shared" si="18"/>
        <v>39873.120000000003</v>
      </c>
      <c r="I595" s="9">
        <f t="shared" si="19"/>
        <v>1.0708942596824147</v>
      </c>
      <c r="J595" s="3" t="s">
        <v>4603</v>
      </c>
    </row>
    <row r="596" spans="1:10" ht="25.5">
      <c r="A596" s="3" t="s">
        <v>1196</v>
      </c>
      <c r="B596" s="3" t="s">
        <v>1197</v>
      </c>
      <c r="C596" s="4">
        <v>297</v>
      </c>
      <c r="D596" s="3" t="s">
        <v>209</v>
      </c>
      <c r="E596" s="3" t="s">
        <v>22</v>
      </c>
      <c r="F596" s="5">
        <v>6904.28</v>
      </c>
      <c r="G596" s="5">
        <v>10611.91</v>
      </c>
      <c r="H596" s="5">
        <f t="shared" si="18"/>
        <v>3707.63</v>
      </c>
      <c r="I596" s="9">
        <f t="shared" si="19"/>
        <v>0.53700458266466611</v>
      </c>
      <c r="J596" s="3" t="s">
        <v>4603</v>
      </c>
    </row>
    <row r="597" spans="1:10" ht="25.5">
      <c r="A597" s="3" t="s">
        <v>1198</v>
      </c>
      <c r="B597" s="3" t="s">
        <v>1199</v>
      </c>
      <c r="C597" s="4">
        <v>296</v>
      </c>
      <c r="D597" s="3" t="s">
        <v>137</v>
      </c>
      <c r="E597" s="3" t="s">
        <v>18</v>
      </c>
      <c r="F597" s="5">
        <v>8517.7199999999993</v>
      </c>
      <c r="G597" s="5">
        <v>0</v>
      </c>
      <c r="H597" s="5">
        <f t="shared" si="18"/>
        <v>-8517.7199999999993</v>
      </c>
      <c r="I597" s="9">
        <f t="shared" si="19"/>
        <v>-1</v>
      </c>
      <c r="J597" s="3" t="s">
        <v>4603</v>
      </c>
    </row>
    <row r="598" spans="1:10" ht="38.25">
      <c r="A598" s="3" t="s">
        <v>1200</v>
      </c>
      <c r="B598" s="3" t="s">
        <v>1201</v>
      </c>
      <c r="C598" s="4">
        <v>143</v>
      </c>
      <c r="D598" s="3" t="s">
        <v>21</v>
      </c>
      <c r="E598" s="3" t="s">
        <v>22</v>
      </c>
      <c r="F598" s="5">
        <v>20412.12</v>
      </c>
      <c r="G598" s="5">
        <v>6604.8</v>
      </c>
      <c r="H598" s="5">
        <f t="shared" si="18"/>
        <v>-13807.32</v>
      </c>
      <c r="I598" s="9">
        <f t="shared" si="19"/>
        <v>-0.67642753422966351</v>
      </c>
      <c r="J598" s="3" t="s">
        <v>4603</v>
      </c>
    </row>
    <row r="599" spans="1:10" ht="25.5">
      <c r="A599" s="3" t="s">
        <v>1202</v>
      </c>
      <c r="B599" s="3" t="s">
        <v>1203</v>
      </c>
      <c r="C599" s="4">
        <v>329</v>
      </c>
      <c r="D599" s="3" t="s">
        <v>1204</v>
      </c>
      <c r="E599" s="3" t="s">
        <v>9</v>
      </c>
      <c r="F599" s="5">
        <v>0</v>
      </c>
      <c r="G599" s="5">
        <v>5921.37</v>
      </c>
      <c r="H599" s="5">
        <f t="shared" si="18"/>
        <v>5921.37</v>
      </c>
      <c r="I599" s="9">
        <f t="shared" si="19"/>
        <v>0</v>
      </c>
      <c r="J599" s="3" t="s">
        <v>4603</v>
      </c>
    </row>
    <row r="600" spans="1:10" ht="25.5">
      <c r="A600" s="3" t="s">
        <v>1205</v>
      </c>
      <c r="B600" s="3" t="s">
        <v>1206</v>
      </c>
      <c r="C600" s="4">
        <v>335</v>
      </c>
      <c r="D600" s="3" t="s">
        <v>7</v>
      </c>
      <c r="E600" s="3" t="s">
        <v>8</v>
      </c>
      <c r="F600" s="5">
        <v>0</v>
      </c>
      <c r="G600" s="5">
        <v>22125.66</v>
      </c>
      <c r="H600" s="5">
        <f t="shared" si="18"/>
        <v>22125.66</v>
      </c>
      <c r="I600" s="9">
        <f t="shared" si="19"/>
        <v>0</v>
      </c>
      <c r="J600" s="3" t="s">
        <v>4603</v>
      </c>
    </row>
    <row r="601" spans="1:10" ht="25.5">
      <c r="A601" s="3" t="s">
        <v>1207</v>
      </c>
      <c r="B601" s="3" t="s">
        <v>1208</v>
      </c>
      <c r="C601" s="4">
        <v>273</v>
      </c>
      <c r="D601" s="3" t="s">
        <v>771</v>
      </c>
      <c r="E601" s="3" t="s">
        <v>13</v>
      </c>
      <c r="F601" s="5">
        <v>0</v>
      </c>
      <c r="G601" s="5">
        <v>3911.76</v>
      </c>
      <c r="H601" s="5">
        <f t="shared" si="18"/>
        <v>3911.76</v>
      </c>
      <c r="I601" s="9">
        <f t="shared" si="19"/>
        <v>0</v>
      </c>
      <c r="J601" s="3" t="s">
        <v>4603</v>
      </c>
    </row>
    <row r="602" spans="1:10" ht="25.5">
      <c r="A602" s="3" t="s">
        <v>1209</v>
      </c>
      <c r="B602" s="3" t="s">
        <v>1210</v>
      </c>
      <c r="C602" s="4">
        <v>337</v>
      </c>
      <c r="D602" s="3" t="s">
        <v>218</v>
      </c>
      <c r="E602" s="3" t="s">
        <v>13</v>
      </c>
      <c r="F602" s="5">
        <v>0</v>
      </c>
      <c r="G602" s="5">
        <v>2663.16</v>
      </c>
      <c r="H602" s="5">
        <f t="shared" si="18"/>
        <v>2663.16</v>
      </c>
      <c r="I602" s="9">
        <f t="shared" si="19"/>
        <v>0</v>
      </c>
      <c r="J602" s="3" t="s">
        <v>4604</v>
      </c>
    </row>
    <row r="603" spans="1:10" ht="25.5">
      <c r="A603" s="3" t="s">
        <v>1211</v>
      </c>
      <c r="B603" s="3" t="s">
        <v>1212</v>
      </c>
      <c r="C603" s="4">
        <v>327</v>
      </c>
      <c r="D603" s="3" t="s">
        <v>76</v>
      </c>
      <c r="E603" s="3" t="s">
        <v>8</v>
      </c>
      <c r="F603" s="5">
        <v>0</v>
      </c>
      <c r="G603" s="5">
        <v>15513.77</v>
      </c>
      <c r="H603" s="5">
        <f t="shared" si="18"/>
        <v>15513.77</v>
      </c>
      <c r="I603" s="9">
        <f t="shared" si="19"/>
        <v>0</v>
      </c>
      <c r="J603" s="3" t="s">
        <v>4603</v>
      </c>
    </row>
    <row r="604" spans="1:10">
      <c r="A604" s="3" t="s">
        <v>1213</v>
      </c>
      <c r="B604" s="3" t="s">
        <v>1214</v>
      </c>
      <c r="C604" s="4">
        <v>334</v>
      </c>
      <c r="D604" s="3" t="s">
        <v>585</v>
      </c>
      <c r="E604" s="3" t="s">
        <v>8</v>
      </c>
      <c r="F604" s="5">
        <v>0</v>
      </c>
      <c r="G604" s="5">
        <v>9931.44</v>
      </c>
      <c r="H604" s="5">
        <f t="shared" si="18"/>
        <v>9931.44</v>
      </c>
      <c r="I604" s="9">
        <f t="shared" si="19"/>
        <v>0</v>
      </c>
      <c r="J604" s="3" t="s">
        <v>4603</v>
      </c>
    </row>
    <row r="605" spans="1:10" ht="25.5">
      <c r="A605" s="3" t="s">
        <v>1215</v>
      </c>
      <c r="B605" s="3" t="s">
        <v>1216</v>
      </c>
      <c r="C605" s="4">
        <v>328</v>
      </c>
      <c r="D605" s="3" t="s">
        <v>158</v>
      </c>
      <c r="E605" s="3" t="s">
        <v>22</v>
      </c>
      <c r="F605" s="5">
        <v>0</v>
      </c>
      <c r="G605" s="5">
        <v>8209.86</v>
      </c>
      <c r="H605" s="5">
        <f t="shared" si="18"/>
        <v>8209.86</v>
      </c>
      <c r="I605" s="9">
        <f t="shared" si="19"/>
        <v>0</v>
      </c>
      <c r="J605" s="3" t="s">
        <v>4603</v>
      </c>
    </row>
    <row r="606" spans="1:10" ht="25.5">
      <c r="A606" s="3" t="s">
        <v>1217</v>
      </c>
      <c r="B606" s="3" t="s">
        <v>1218</v>
      </c>
      <c r="C606" s="4">
        <v>316</v>
      </c>
      <c r="D606" s="3" t="s">
        <v>167</v>
      </c>
      <c r="E606" s="3" t="s">
        <v>18</v>
      </c>
      <c r="F606" s="5">
        <v>14315.88</v>
      </c>
      <c r="G606" s="5">
        <v>6104.52</v>
      </c>
      <c r="H606" s="5">
        <f t="shared" si="18"/>
        <v>-8211.3599999999988</v>
      </c>
      <c r="I606" s="9">
        <f t="shared" si="19"/>
        <v>-0.57358401998340303</v>
      </c>
      <c r="J606" s="3" t="s">
        <v>4603</v>
      </c>
    </row>
    <row r="607" spans="1:10">
      <c r="A607" s="3" t="s">
        <v>1219</v>
      </c>
      <c r="B607" s="3" t="s">
        <v>1220</v>
      </c>
      <c r="C607" s="4">
        <v>264</v>
      </c>
      <c r="D607" s="3" t="s">
        <v>632</v>
      </c>
      <c r="E607" s="3" t="s">
        <v>18</v>
      </c>
      <c r="F607" s="5">
        <v>3721.92</v>
      </c>
      <c r="G607" s="5">
        <v>8346.0159999999996</v>
      </c>
      <c r="H607" s="5">
        <f t="shared" si="18"/>
        <v>4624.0959999999995</v>
      </c>
      <c r="I607" s="9">
        <f t="shared" si="19"/>
        <v>1.2423953228441231</v>
      </c>
      <c r="J607" s="3" t="s">
        <v>4603</v>
      </c>
    </row>
    <row r="608" spans="1:10">
      <c r="A608" s="3" t="s">
        <v>1219</v>
      </c>
      <c r="B608" s="3" t="s">
        <v>1220</v>
      </c>
      <c r="C608" s="4">
        <v>264</v>
      </c>
      <c r="D608" s="3" t="s">
        <v>632</v>
      </c>
      <c r="E608" s="3" t="s">
        <v>22</v>
      </c>
      <c r="F608" s="5">
        <v>3721.92</v>
      </c>
      <c r="G608" s="5">
        <v>8346.0159999999996</v>
      </c>
      <c r="H608" s="5">
        <f t="shared" si="18"/>
        <v>4624.0959999999995</v>
      </c>
      <c r="I608" s="9">
        <f t="shared" si="19"/>
        <v>1.2423953228441231</v>
      </c>
      <c r="J608" s="3" t="s">
        <v>4603</v>
      </c>
    </row>
    <row r="609" spans="1:10" ht="25.5">
      <c r="A609" s="3" t="s">
        <v>1221</v>
      </c>
      <c r="B609" s="3" t="s">
        <v>1222</v>
      </c>
      <c r="C609" s="4">
        <v>320</v>
      </c>
      <c r="D609" s="3" t="s">
        <v>188</v>
      </c>
      <c r="E609" s="3" t="s">
        <v>30</v>
      </c>
      <c r="F609" s="5">
        <v>0</v>
      </c>
      <c r="G609" s="5">
        <v>16035.36</v>
      </c>
      <c r="H609" s="5">
        <f t="shared" si="18"/>
        <v>16035.36</v>
      </c>
      <c r="I609" s="9">
        <f t="shared" si="19"/>
        <v>0</v>
      </c>
      <c r="J609" s="3" t="s">
        <v>4603</v>
      </c>
    </row>
    <row r="610" spans="1:10" ht="25.5">
      <c r="A610" s="3" t="s">
        <v>1223</v>
      </c>
      <c r="B610" s="3" t="s">
        <v>1224</v>
      </c>
      <c r="C610" s="4">
        <v>93</v>
      </c>
      <c r="D610" s="3" t="s">
        <v>42</v>
      </c>
      <c r="E610" s="3" t="s">
        <v>8</v>
      </c>
      <c r="F610" s="5">
        <v>34825.74</v>
      </c>
      <c r="G610" s="5">
        <v>93751.08</v>
      </c>
      <c r="H610" s="5">
        <f t="shared" si="18"/>
        <v>58925.340000000004</v>
      </c>
      <c r="I610" s="9">
        <f t="shared" si="19"/>
        <v>1.6920053960088142</v>
      </c>
      <c r="J610" s="3" t="s">
        <v>4603</v>
      </c>
    </row>
    <row r="611" spans="1:10" ht="25.5">
      <c r="A611" s="3" t="s">
        <v>1225</v>
      </c>
      <c r="B611" s="3" t="s">
        <v>1226</v>
      </c>
      <c r="C611" s="4">
        <v>194</v>
      </c>
      <c r="D611" s="3" t="s">
        <v>179</v>
      </c>
      <c r="E611" s="3" t="s">
        <v>13</v>
      </c>
      <c r="F611" s="5">
        <v>11589.24</v>
      </c>
      <c r="G611" s="5">
        <v>8492.76</v>
      </c>
      <c r="H611" s="5">
        <f t="shared" si="18"/>
        <v>-3096.4799999999996</v>
      </c>
      <c r="I611" s="9">
        <f t="shared" si="19"/>
        <v>-0.26718576886836409</v>
      </c>
      <c r="J611" s="3" t="s">
        <v>4603</v>
      </c>
    </row>
    <row r="612" spans="1:10" ht="38.25">
      <c r="A612" s="3" t="s">
        <v>1227</v>
      </c>
      <c r="B612" s="3" t="s">
        <v>1228</v>
      </c>
      <c r="C612" s="4">
        <v>292</v>
      </c>
      <c r="D612" s="3" t="s">
        <v>619</v>
      </c>
      <c r="E612" s="3" t="s">
        <v>30</v>
      </c>
      <c r="F612" s="5">
        <v>0</v>
      </c>
      <c r="G612" s="5">
        <v>5021.5200000000004</v>
      </c>
      <c r="H612" s="5">
        <f t="shared" si="18"/>
        <v>5021.5200000000004</v>
      </c>
      <c r="I612" s="9">
        <f t="shared" si="19"/>
        <v>0</v>
      </c>
      <c r="J612" s="3" t="s">
        <v>4603</v>
      </c>
    </row>
    <row r="613" spans="1:10" ht="38.25">
      <c r="A613" s="3" t="s">
        <v>1229</v>
      </c>
      <c r="B613" s="3" t="s">
        <v>1230</v>
      </c>
      <c r="C613" s="4">
        <v>301</v>
      </c>
      <c r="D613" s="3" t="s">
        <v>12</v>
      </c>
      <c r="E613" s="3" t="s">
        <v>13</v>
      </c>
      <c r="F613" s="5">
        <v>26163.66</v>
      </c>
      <c r="G613" s="5">
        <v>59257.26</v>
      </c>
      <c r="H613" s="5">
        <f t="shared" si="18"/>
        <v>33093.600000000006</v>
      </c>
      <c r="I613" s="9">
        <f t="shared" si="19"/>
        <v>1.2648689059558182</v>
      </c>
      <c r="J613" s="3" t="s">
        <v>4603</v>
      </c>
    </row>
    <row r="614" spans="1:10" ht="25.5">
      <c r="A614" s="3" t="s">
        <v>1231</v>
      </c>
      <c r="B614" s="3" t="s">
        <v>1232</v>
      </c>
      <c r="C614" s="4">
        <v>317</v>
      </c>
      <c r="D614" s="3" t="s">
        <v>54</v>
      </c>
      <c r="E614" s="3" t="s">
        <v>18</v>
      </c>
      <c r="F614" s="5">
        <v>0</v>
      </c>
      <c r="G614" s="5">
        <v>4808.58</v>
      </c>
      <c r="H614" s="5">
        <f t="shared" si="18"/>
        <v>4808.58</v>
      </c>
      <c r="I614" s="9">
        <f t="shared" si="19"/>
        <v>0</v>
      </c>
      <c r="J614" s="3" t="s">
        <v>4603</v>
      </c>
    </row>
    <row r="615" spans="1:10" ht="25.5">
      <c r="A615" s="3" t="s">
        <v>1233</v>
      </c>
      <c r="B615" s="3" t="s">
        <v>1234</v>
      </c>
      <c r="C615" s="4">
        <v>316</v>
      </c>
      <c r="D615" s="3" t="s">
        <v>167</v>
      </c>
      <c r="E615" s="3" t="s">
        <v>18</v>
      </c>
      <c r="F615" s="5">
        <v>3107.34</v>
      </c>
      <c r="G615" s="5">
        <v>0</v>
      </c>
      <c r="H615" s="5">
        <f t="shared" si="18"/>
        <v>-3107.34</v>
      </c>
      <c r="I615" s="9">
        <f t="shared" si="19"/>
        <v>-1</v>
      </c>
      <c r="J615" s="3" t="s">
        <v>4603</v>
      </c>
    </row>
    <row r="616" spans="1:10" ht="38.25">
      <c r="A616" s="3" t="s">
        <v>1235</v>
      </c>
      <c r="B616" s="3" t="s">
        <v>1236</v>
      </c>
      <c r="C616" s="4">
        <v>38</v>
      </c>
      <c r="D616" s="3" t="s">
        <v>229</v>
      </c>
      <c r="E616" s="3" t="s">
        <v>30</v>
      </c>
      <c r="F616" s="5">
        <v>0</v>
      </c>
      <c r="G616" s="5">
        <v>11317.32</v>
      </c>
      <c r="H616" s="5">
        <f t="shared" si="18"/>
        <v>11317.32</v>
      </c>
      <c r="I616" s="9">
        <f t="shared" si="19"/>
        <v>0</v>
      </c>
      <c r="J616" s="3" t="s">
        <v>4603</v>
      </c>
    </row>
    <row r="617" spans="1:10" ht="25.5">
      <c r="A617" s="3" t="s">
        <v>1237</v>
      </c>
      <c r="B617" s="3" t="s">
        <v>1238</v>
      </c>
      <c r="C617" s="4">
        <v>296</v>
      </c>
      <c r="D617" s="3" t="s">
        <v>137</v>
      </c>
      <c r="E617" s="3" t="s">
        <v>18</v>
      </c>
      <c r="F617" s="5">
        <v>6598.44</v>
      </c>
      <c r="G617" s="5">
        <v>0</v>
      </c>
      <c r="H617" s="5">
        <f t="shared" si="18"/>
        <v>-6598.44</v>
      </c>
      <c r="I617" s="9">
        <f t="shared" si="19"/>
        <v>-1</v>
      </c>
      <c r="J617" s="3" t="s">
        <v>4603</v>
      </c>
    </row>
    <row r="618" spans="1:10" ht="25.5">
      <c r="A618" s="3" t="s">
        <v>1239</v>
      </c>
      <c r="B618" s="3" t="s">
        <v>1240</v>
      </c>
      <c r="C618" s="4">
        <v>218</v>
      </c>
      <c r="D618" s="3" t="s">
        <v>155</v>
      </c>
      <c r="E618" s="3" t="s">
        <v>13</v>
      </c>
      <c r="F618" s="5">
        <v>9694.2000000000007</v>
      </c>
      <c r="G618" s="5">
        <v>0</v>
      </c>
      <c r="H618" s="5">
        <f t="shared" si="18"/>
        <v>-9694.2000000000007</v>
      </c>
      <c r="I618" s="9">
        <f t="shared" si="19"/>
        <v>-1</v>
      </c>
      <c r="J618" s="3" t="s">
        <v>4603</v>
      </c>
    </row>
    <row r="619" spans="1:10" ht="25.5">
      <c r="A619" s="3" t="s">
        <v>1241</v>
      </c>
      <c r="B619" s="3" t="s">
        <v>1242</v>
      </c>
      <c r="C619" s="4">
        <v>23</v>
      </c>
      <c r="D619" s="3" t="s">
        <v>71</v>
      </c>
      <c r="E619" s="3" t="s">
        <v>8</v>
      </c>
      <c r="F619" s="5">
        <v>7402.8</v>
      </c>
      <c r="G619" s="5">
        <v>16565.04</v>
      </c>
      <c r="H619" s="5">
        <f t="shared" si="18"/>
        <v>9162.2400000000016</v>
      </c>
      <c r="I619" s="9">
        <f t="shared" si="19"/>
        <v>1.237672232128384</v>
      </c>
      <c r="J619" s="3" t="s">
        <v>4603</v>
      </c>
    </row>
    <row r="620" spans="1:10" ht="25.5">
      <c r="A620" s="3" t="s">
        <v>1243</v>
      </c>
      <c r="B620" s="3" t="s">
        <v>1244</v>
      </c>
      <c r="C620" s="4">
        <v>197</v>
      </c>
      <c r="D620" s="3" t="s">
        <v>23</v>
      </c>
      <c r="E620" s="3" t="s">
        <v>22</v>
      </c>
      <c r="F620" s="5">
        <v>53625.55</v>
      </c>
      <c r="G620" s="5">
        <v>8817.2909999999993</v>
      </c>
      <c r="H620" s="5">
        <f t="shared" si="18"/>
        <v>-44808.259000000005</v>
      </c>
      <c r="I620" s="9">
        <f t="shared" si="19"/>
        <v>-0.83557667940002478</v>
      </c>
      <c r="J620" s="3" t="s">
        <v>4604</v>
      </c>
    </row>
    <row r="621" spans="1:10" ht="25.5">
      <c r="A621" s="3" t="s">
        <v>1245</v>
      </c>
      <c r="B621" s="3" t="s">
        <v>1246</v>
      </c>
      <c r="C621" s="4">
        <v>231</v>
      </c>
      <c r="D621" s="3" t="s">
        <v>89</v>
      </c>
      <c r="E621" s="3" t="s">
        <v>8</v>
      </c>
      <c r="F621" s="5">
        <v>42628.53</v>
      </c>
      <c r="G621" s="5">
        <v>0</v>
      </c>
      <c r="H621" s="5">
        <f t="shared" si="18"/>
        <v>-42628.53</v>
      </c>
      <c r="I621" s="9">
        <f t="shared" si="19"/>
        <v>-1</v>
      </c>
      <c r="J621" s="3" t="s">
        <v>4604</v>
      </c>
    </row>
    <row r="622" spans="1:10" ht="25.5">
      <c r="A622" s="3" t="s">
        <v>1247</v>
      </c>
      <c r="B622" s="3" t="s">
        <v>1248</v>
      </c>
      <c r="C622" s="4">
        <v>39</v>
      </c>
      <c r="D622" s="3" t="s">
        <v>26</v>
      </c>
      <c r="E622" s="3" t="s">
        <v>9</v>
      </c>
      <c r="F622" s="5">
        <v>162371.54</v>
      </c>
      <c r="G622" s="5">
        <v>192422.73199999999</v>
      </c>
      <c r="H622" s="5">
        <f t="shared" si="18"/>
        <v>30051.191999999981</v>
      </c>
      <c r="I622" s="9">
        <f t="shared" si="19"/>
        <v>0.18507671972563644</v>
      </c>
      <c r="J622" s="3" t="s">
        <v>4603</v>
      </c>
    </row>
    <row r="623" spans="1:10" ht="25.5">
      <c r="A623" s="3" t="s">
        <v>1249</v>
      </c>
      <c r="B623" s="3" t="s">
        <v>1250</v>
      </c>
      <c r="C623" s="4">
        <v>316</v>
      </c>
      <c r="D623" s="3" t="s">
        <v>167</v>
      </c>
      <c r="E623" s="3" t="s">
        <v>18</v>
      </c>
      <c r="F623" s="5">
        <v>0</v>
      </c>
      <c r="G623" s="5">
        <v>8505.6299999999992</v>
      </c>
      <c r="H623" s="5">
        <f t="shared" si="18"/>
        <v>8505.6299999999992</v>
      </c>
      <c r="I623" s="9">
        <f t="shared" si="19"/>
        <v>0</v>
      </c>
      <c r="J623" s="3" t="s">
        <v>4603</v>
      </c>
    </row>
    <row r="624" spans="1:10" ht="25.5">
      <c r="A624" s="3" t="s">
        <v>1251</v>
      </c>
      <c r="B624" s="3" t="s">
        <v>1252</v>
      </c>
      <c r="C624" s="4">
        <v>335</v>
      </c>
      <c r="D624" s="3" t="s">
        <v>7</v>
      </c>
      <c r="E624" s="3" t="s">
        <v>8</v>
      </c>
      <c r="F624" s="5">
        <v>14400</v>
      </c>
      <c r="G624" s="5">
        <v>0</v>
      </c>
      <c r="H624" s="5">
        <f t="shared" si="18"/>
        <v>-14400</v>
      </c>
      <c r="I624" s="9">
        <f t="shared" si="19"/>
        <v>-1</v>
      </c>
      <c r="J624" s="3" t="s">
        <v>4603</v>
      </c>
    </row>
    <row r="625" spans="1:10" ht="25.5">
      <c r="A625" s="3" t="s">
        <v>1253</v>
      </c>
      <c r="B625" s="3" t="s">
        <v>1254</v>
      </c>
      <c r="C625" s="4">
        <v>208</v>
      </c>
      <c r="D625" s="3" t="s">
        <v>58</v>
      </c>
      <c r="E625" s="3" t="s">
        <v>13</v>
      </c>
      <c r="F625" s="5">
        <v>69089.759999999995</v>
      </c>
      <c r="G625" s="5">
        <v>70518.707999999999</v>
      </c>
      <c r="H625" s="5">
        <f t="shared" si="18"/>
        <v>1428.948000000004</v>
      </c>
      <c r="I625" s="9">
        <f t="shared" si="19"/>
        <v>2.0682486087663321E-2</v>
      </c>
      <c r="J625" s="3" t="s">
        <v>4603</v>
      </c>
    </row>
    <row r="626" spans="1:10" ht="25.5">
      <c r="A626" s="3" t="s">
        <v>1255</v>
      </c>
      <c r="B626" s="3" t="s">
        <v>1256</v>
      </c>
      <c r="C626" s="4">
        <v>208</v>
      </c>
      <c r="D626" s="3" t="s">
        <v>58</v>
      </c>
      <c r="E626" s="3" t="s">
        <v>13</v>
      </c>
      <c r="F626" s="5">
        <v>73041.240000000005</v>
      </c>
      <c r="G626" s="5">
        <v>44841.9</v>
      </c>
      <c r="H626" s="5">
        <f t="shared" si="18"/>
        <v>-28199.340000000004</v>
      </c>
      <c r="I626" s="9">
        <f t="shared" si="19"/>
        <v>-0.38607422327441321</v>
      </c>
      <c r="J626" s="3" t="s">
        <v>4603</v>
      </c>
    </row>
    <row r="627" spans="1:10" ht="25.5">
      <c r="A627" s="3" t="s">
        <v>1257</v>
      </c>
      <c r="B627" s="3" t="s">
        <v>1258</v>
      </c>
      <c r="C627" s="4">
        <v>266</v>
      </c>
      <c r="D627" s="3" t="s">
        <v>111</v>
      </c>
      <c r="E627" s="3" t="s">
        <v>18</v>
      </c>
      <c r="F627" s="5">
        <v>0</v>
      </c>
      <c r="G627" s="5">
        <v>8324.52</v>
      </c>
      <c r="H627" s="5">
        <f t="shared" si="18"/>
        <v>8324.52</v>
      </c>
      <c r="I627" s="9">
        <f t="shared" si="19"/>
        <v>0</v>
      </c>
      <c r="J627" s="3" t="s">
        <v>4603</v>
      </c>
    </row>
    <row r="628" spans="1:10" ht="25.5">
      <c r="A628" s="3" t="s">
        <v>1259</v>
      </c>
      <c r="B628" s="3" t="s">
        <v>1260</v>
      </c>
      <c r="C628" s="4">
        <v>41</v>
      </c>
      <c r="D628" s="3" t="s">
        <v>106</v>
      </c>
      <c r="E628" s="3" t="s">
        <v>22</v>
      </c>
      <c r="F628" s="5">
        <v>37078.800000000003</v>
      </c>
      <c r="G628" s="5">
        <v>0</v>
      </c>
      <c r="H628" s="5">
        <f t="shared" si="18"/>
        <v>-37078.800000000003</v>
      </c>
      <c r="I628" s="9">
        <f t="shared" si="19"/>
        <v>-1</v>
      </c>
      <c r="J628" s="3" t="s">
        <v>4603</v>
      </c>
    </row>
    <row r="629" spans="1:10" ht="25.5">
      <c r="A629" s="3" t="s">
        <v>1259</v>
      </c>
      <c r="B629" s="3" t="s">
        <v>1260</v>
      </c>
      <c r="C629" s="4">
        <v>41</v>
      </c>
      <c r="D629" s="3" t="s">
        <v>106</v>
      </c>
      <c r="E629" s="3" t="s">
        <v>8</v>
      </c>
      <c r="F629" s="5">
        <v>37078.800000000003</v>
      </c>
      <c r="G629" s="5">
        <v>0</v>
      </c>
      <c r="H629" s="5">
        <f t="shared" si="18"/>
        <v>-37078.800000000003</v>
      </c>
      <c r="I629" s="9">
        <f t="shared" si="19"/>
        <v>-1</v>
      </c>
      <c r="J629" s="3" t="s">
        <v>4603</v>
      </c>
    </row>
    <row r="630" spans="1:10" ht="25.5">
      <c r="A630" s="3" t="s">
        <v>1261</v>
      </c>
      <c r="B630" s="3" t="s">
        <v>1262</v>
      </c>
      <c r="C630" s="4">
        <v>316</v>
      </c>
      <c r="D630" s="3" t="s">
        <v>167</v>
      </c>
      <c r="E630" s="3" t="s">
        <v>18</v>
      </c>
      <c r="F630" s="5">
        <v>24533.49</v>
      </c>
      <c r="G630" s="5">
        <v>21146.31</v>
      </c>
      <c r="H630" s="5">
        <f t="shared" si="18"/>
        <v>-3387.1800000000003</v>
      </c>
      <c r="I630" s="9">
        <f t="shared" si="19"/>
        <v>-0.1380635205182793</v>
      </c>
      <c r="J630" s="3" t="s">
        <v>4603</v>
      </c>
    </row>
    <row r="631" spans="1:10" ht="25.5">
      <c r="A631" s="3" t="s">
        <v>1263</v>
      </c>
      <c r="B631" s="3" t="s">
        <v>1264</v>
      </c>
      <c r="C631" s="4">
        <v>39</v>
      </c>
      <c r="D631" s="3" t="s">
        <v>26</v>
      </c>
      <c r="E631" s="3" t="s">
        <v>9</v>
      </c>
      <c r="F631" s="5">
        <v>0</v>
      </c>
      <c r="G631" s="5">
        <v>60024.485999999997</v>
      </c>
      <c r="H631" s="5">
        <f t="shared" si="18"/>
        <v>60024.485999999997</v>
      </c>
      <c r="I631" s="9">
        <f t="shared" si="19"/>
        <v>0</v>
      </c>
      <c r="J631" s="3" t="s">
        <v>4603</v>
      </c>
    </row>
    <row r="632" spans="1:10" ht="25.5">
      <c r="A632" s="3" t="s">
        <v>1265</v>
      </c>
      <c r="B632" s="3" t="s">
        <v>1266</v>
      </c>
      <c r="C632" s="4">
        <v>218</v>
      </c>
      <c r="D632" s="3" t="s">
        <v>155</v>
      </c>
      <c r="E632" s="3" t="s">
        <v>13</v>
      </c>
      <c r="F632" s="5">
        <v>80976.240000000005</v>
      </c>
      <c r="G632" s="5">
        <v>16617.12</v>
      </c>
      <c r="H632" s="5">
        <f t="shared" si="18"/>
        <v>-64359.12000000001</v>
      </c>
      <c r="I632" s="9">
        <f t="shared" si="19"/>
        <v>-0.79479017548851372</v>
      </c>
      <c r="J632" s="3" t="s">
        <v>4603</v>
      </c>
    </row>
    <row r="633" spans="1:10">
      <c r="A633" s="3" t="s">
        <v>1267</v>
      </c>
      <c r="B633" s="3" t="s">
        <v>1268</v>
      </c>
      <c r="C633" s="4">
        <v>167</v>
      </c>
      <c r="D633" s="3" t="s">
        <v>335</v>
      </c>
      <c r="E633" s="3" t="s">
        <v>30</v>
      </c>
      <c r="F633" s="5">
        <v>32632.799999999999</v>
      </c>
      <c r="G633" s="5">
        <v>57684.6</v>
      </c>
      <c r="H633" s="5">
        <f t="shared" si="18"/>
        <v>25051.8</v>
      </c>
      <c r="I633" s="9">
        <f t="shared" si="19"/>
        <v>0.76768772523350748</v>
      </c>
      <c r="J633" s="3" t="s">
        <v>4603</v>
      </c>
    </row>
    <row r="634" spans="1:10" ht="25.5">
      <c r="A634" s="3" t="s">
        <v>1269</v>
      </c>
      <c r="B634" s="3" t="s">
        <v>1270</v>
      </c>
      <c r="C634" s="4">
        <v>41</v>
      </c>
      <c r="D634" s="3" t="s">
        <v>106</v>
      </c>
      <c r="E634" s="3" t="s">
        <v>22</v>
      </c>
      <c r="F634" s="5">
        <v>0</v>
      </c>
      <c r="G634" s="5">
        <v>11502.08</v>
      </c>
      <c r="H634" s="5">
        <f t="shared" si="18"/>
        <v>11502.08</v>
      </c>
      <c r="I634" s="9">
        <f t="shared" si="19"/>
        <v>0</v>
      </c>
      <c r="J634" s="3" t="s">
        <v>4603</v>
      </c>
    </row>
    <row r="635" spans="1:10" ht="25.5">
      <c r="A635" s="3" t="s">
        <v>1271</v>
      </c>
      <c r="B635" s="3" t="s">
        <v>1272</v>
      </c>
      <c r="C635" s="4">
        <v>317</v>
      </c>
      <c r="D635" s="3" t="s">
        <v>54</v>
      </c>
      <c r="E635" s="3" t="s">
        <v>18</v>
      </c>
      <c r="F635" s="5">
        <v>8960.2800000000007</v>
      </c>
      <c r="G635" s="5">
        <v>17698.68</v>
      </c>
      <c r="H635" s="5">
        <f t="shared" si="18"/>
        <v>8738.4</v>
      </c>
      <c r="I635" s="9">
        <f t="shared" si="19"/>
        <v>0.97523738097470147</v>
      </c>
      <c r="J635" s="3" t="s">
        <v>4603</v>
      </c>
    </row>
    <row r="636" spans="1:10" ht="25.5">
      <c r="A636" s="3" t="s">
        <v>1271</v>
      </c>
      <c r="B636" s="3" t="s">
        <v>1272</v>
      </c>
      <c r="C636" s="4">
        <v>337</v>
      </c>
      <c r="D636" s="3" t="s">
        <v>218</v>
      </c>
      <c r="E636" s="3" t="s">
        <v>13</v>
      </c>
      <c r="F636" s="5">
        <v>8960.2800000000007</v>
      </c>
      <c r="G636" s="5">
        <v>17698.68</v>
      </c>
      <c r="H636" s="5">
        <f t="shared" si="18"/>
        <v>8738.4</v>
      </c>
      <c r="I636" s="9">
        <f t="shared" si="19"/>
        <v>0.97523738097470147</v>
      </c>
      <c r="J636" s="3" t="s">
        <v>4603</v>
      </c>
    </row>
    <row r="637" spans="1:10" ht="25.5">
      <c r="A637" s="3" t="s">
        <v>1271</v>
      </c>
      <c r="B637" s="3" t="s">
        <v>1272</v>
      </c>
      <c r="C637" s="4">
        <v>53</v>
      </c>
      <c r="D637" s="3" t="s">
        <v>340</v>
      </c>
      <c r="E637" s="3" t="s">
        <v>13</v>
      </c>
      <c r="F637" s="5">
        <v>8960.2800000000007</v>
      </c>
      <c r="G637" s="5">
        <v>17698.68</v>
      </c>
      <c r="H637" s="5">
        <f t="shared" si="18"/>
        <v>8738.4</v>
      </c>
      <c r="I637" s="9">
        <f t="shared" si="19"/>
        <v>0.97523738097470147</v>
      </c>
      <c r="J637" s="3" t="s">
        <v>4603</v>
      </c>
    </row>
    <row r="638" spans="1:10" ht="51">
      <c r="A638" s="3" t="s">
        <v>1273</v>
      </c>
      <c r="B638" s="3" t="s">
        <v>1274</v>
      </c>
      <c r="C638" s="4">
        <v>282</v>
      </c>
      <c r="D638" s="3" t="s">
        <v>298</v>
      </c>
      <c r="E638" s="3" t="s">
        <v>9</v>
      </c>
      <c r="F638" s="5">
        <v>0</v>
      </c>
      <c r="G638" s="5">
        <v>5966.8109999999997</v>
      </c>
      <c r="H638" s="5">
        <f t="shared" si="18"/>
        <v>5966.8109999999997</v>
      </c>
      <c r="I638" s="9">
        <f t="shared" si="19"/>
        <v>0</v>
      </c>
      <c r="J638" s="3" t="s">
        <v>4603</v>
      </c>
    </row>
    <row r="639" spans="1:10" ht="25.5">
      <c r="A639" s="3" t="s">
        <v>1275</v>
      </c>
      <c r="B639" s="3" t="s">
        <v>1276</v>
      </c>
      <c r="C639" s="4">
        <v>61</v>
      </c>
      <c r="D639" s="3" t="s">
        <v>114</v>
      </c>
      <c r="E639" s="3" t="s">
        <v>30</v>
      </c>
      <c r="F639" s="5">
        <v>30859.17</v>
      </c>
      <c r="G639" s="5">
        <v>5241.12</v>
      </c>
      <c r="H639" s="5">
        <f t="shared" si="18"/>
        <v>-25618.05</v>
      </c>
      <c r="I639" s="9">
        <f t="shared" si="19"/>
        <v>-0.83016004643028318</v>
      </c>
      <c r="J639" s="3" t="s">
        <v>4603</v>
      </c>
    </row>
    <row r="640" spans="1:10" ht="25.5">
      <c r="A640" s="3" t="s">
        <v>1277</v>
      </c>
      <c r="B640" s="3" t="s">
        <v>1278</v>
      </c>
      <c r="C640" s="4">
        <v>261</v>
      </c>
      <c r="D640" s="3" t="s">
        <v>17</v>
      </c>
      <c r="E640" s="3" t="s">
        <v>18</v>
      </c>
      <c r="F640" s="5">
        <v>3215.4</v>
      </c>
      <c r="G640" s="5">
        <v>0</v>
      </c>
      <c r="H640" s="5">
        <f t="shared" si="18"/>
        <v>-3215.4</v>
      </c>
      <c r="I640" s="9">
        <f t="shared" si="19"/>
        <v>-1</v>
      </c>
      <c r="J640" s="3" t="s">
        <v>4603</v>
      </c>
    </row>
    <row r="641" spans="1:10" ht="25.5">
      <c r="A641" s="3" t="s">
        <v>1279</v>
      </c>
      <c r="B641" s="3" t="s">
        <v>1280</v>
      </c>
      <c r="C641" s="4">
        <v>335</v>
      </c>
      <c r="D641" s="3" t="s">
        <v>7</v>
      </c>
      <c r="E641" s="3" t="s">
        <v>8</v>
      </c>
      <c r="F641" s="5">
        <v>30393.87</v>
      </c>
      <c r="G641" s="5">
        <v>42690.21</v>
      </c>
      <c r="H641" s="5">
        <f t="shared" si="18"/>
        <v>12296.34</v>
      </c>
      <c r="I641" s="9">
        <f t="shared" si="19"/>
        <v>0.40456644711581657</v>
      </c>
      <c r="J641" s="3" t="s">
        <v>4603</v>
      </c>
    </row>
    <row r="642" spans="1:10" ht="25.5">
      <c r="A642" s="3" t="s">
        <v>1281</v>
      </c>
      <c r="B642" s="3" t="s">
        <v>1282</v>
      </c>
      <c r="C642" s="4">
        <v>178</v>
      </c>
      <c r="D642" s="3" t="s">
        <v>92</v>
      </c>
      <c r="E642" s="3" t="s">
        <v>8</v>
      </c>
      <c r="F642" s="5">
        <v>21584.880000000001</v>
      </c>
      <c r="G642" s="5">
        <v>62947.129000000001</v>
      </c>
      <c r="H642" s="5">
        <f t="shared" si="18"/>
        <v>41362.248999999996</v>
      </c>
      <c r="I642" s="9">
        <f t="shared" si="19"/>
        <v>1.9162603174073705</v>
      </c>
      <c r="J642" s="3" t="s">
        <v>4603</v>
      </c>
    </row>
    <row r="643" spans="1:10" ht="25.5">
      <c r="A643" s="3" t="s">
        <v>1283</v>
      </c>
      <c r="B643" s="3" t="s">
        <v>1284</v>
      </c>
      <c r="C643" s="4">
        <v>178</v>
      </c>
      <c r="D643" s="3" t="s">
        <v>92</v>
      </c>
      <c r="E643" s="3" t="s">
        <v>8</v>
      </c>
      <c r="F643" s="5">
        <v>24116.22</v>
      </c>
      <c r="G643" s="5">
        <v>31818.48</v>
      </c>
      <c r="H643" s="5">
        <f t="shared" ref="H643:H706" si="20">G643-F643</f>
        <v>7702.2599999999984</v>
      </c>
      <c r="I643" s="9">
        <f t="shared" ref="I643:I706" si="21">IFERROR(G643/F643-1,0)</f>
        <v>0.3193808980014281</v>
      </c>
      <c r="J643" s="3" t="s">
        <v>4603</v>
      </c>
    </row>
    <row r="644" spans="1:10" ht="25.5">
      <c r="A644" s="3" t="s">
        <v>1285</v>
      </c>
      <c r="B644" s="3" t="s">
        <v>1286</v>
      </c>
      <c r="C644" s="4">
        <v>178</v>
      </c>
      <c r="D644" s="3" t="s">
        <v>92</v>
      </c>
      <c r="E644" s="3" t="s">
        <v>8</v>
      </c>
      <c r="F644" s="5">
        <v>297241.53000000003</v>
      </c>
      <c r="G644" s="5">
        <v>270032.50199999998</v>
      </c>
      <c r="H644" s="5">
        <f t="shared" si="20"/>
        <v>-27209.028000000049</v>
      </c>
      <c r="I644" s="9">
        <f t="shared" si="21"/>
        <v>-9.1538446865079837E-2</v>
      </c>
      <c r="J644" s="3" t="s">
        <v>4603</v>
      </c>
    </row>
    <row r="645" spans="1:10" ht="25.5">
      <c r="A645" s="3" t="s">
        <v>1287</v>
      </c>
      <c r="B645" s="3" t="s">
        <v>1288</v>
      </c>
      <c r="C645" s="4">
        <v>178</v>
      </c>
      <c r="D645" s="3" t="s">
        <v>92</v>
      </c>
      <c r="E645" s="3" t="s">
        <v>8</v>
      </c>
      <c r="F645" s="5">
        <v>0</v>
      </c>
      <c r="G645" s="5">
        <v>53837.16</v>
      </c>
      <c r="H645" s="5">
        <f t="shared" si="20"/>
        <v>53837.16</v>
      </c>
      <c r="I645" s="9">
        <f t="shared" si="21"/>
        <v>0</v>
      </c>
      <c r="J645" s="3" t="s">
        <v>4603</v>
      </c>
    </row>
    <row r="646" spans="1:10">
      <c r="A646" s="3" t="s">
        <v>1289</v>
      </c>
      <c r="B646" s="3" t="s">
        <v>1290</v>
      </c>
      <c r="C646" s="4">
        <v>231</v>
      </c>
      <c r="D646" s="3" t="s">
        <v>89</v>
      </c>
      <c r="E646" s="3" t="s">
        <v>8</v>
      </c>
      <c r="F646" s="5">
        <v>0</v>
      </c>
      <c r="G646" s="5">
        <v>18101.22</v>
      </c>
      <c r="H646" s="5">
        <f t="shared" si="20"/>
        <v>18101.22</v>
      </c>
      <c r="I646" s="9">
        <f t="shared" si="21"/>
        <v>0</v>
      </c>
      <c r="J646" s="3" t="s">
        <v>4603</v>
      </c>
    </row>
    <row r="647" spans="1:10" ht="38.25">
      <c r="A647" s="3" t="s">
        <v>1291</v>
      </c>
      <c r="B647" s="3" t="s">
        <v>1292</v>
      </c>
      <c r="C647" s="4">
        <v>11</v>
      </c>
      <c r="D647" s="3" t="s">
        <v>55</v>
      </c>
      <c r="E647" s="3" t="s">
        <v>18</v>
      </c>
      <c r="F647" s="5">
        <v>24207.78</v>
      </c>
      <c r="G647" s="5">
        <v>8762.1</v>
      </c>
      <c r="H647" s="5">
        <f t="shared" si="20"/>
        <v>-15445.679999999998</v>
      </c>
      <c r="I647" s="9">
        <f t="shared" si="21"/>
        <v>-0.63804611575286951</v>
      </c>
      <c r="J647" s="3" t="s">
        <v>4603</v>
      </c>
    </row>
    <row r="648" spans="1:10" ht="25.5">
      <c r="A648" s="3" t="s">
        <v>1291</v>
      </c>
      <c r="B648" s="3" t="s">
        <v>1292</v>
      </c>
      <c r="C648" s="4">
        <v>317</v>
      </c>
      <c r="D648" s="3" t="s">
        <v>54</v>
      </c>
      <c r="E648" s="3" t="s">
        <v>18</v>
      </c>
      <c r="F648" s="5">
        <v>24207.78</v>
      </c>
      <c r="G648" s="5">
        <v>8762.1</v>
      </c>
      <c r="H648" s="5">
        <f t="shared" si="20"/>
        <v>-15445.679999999998</v>
      </c>
      <c r="I648" s="9">
        <f t="shared" si="21"/>
        <v>-0.63804611575286951</v>
      </c>
      <c r="J648" s="3" t="s">
        <v>4603</v>
      </c>
    </row>
    <row r="649" spans="1:10" ht="25.5">
      <c r="A649" s="3" t="s">
        <v>1293</v>
      </c>
      <c r="B649" s="3" t="s">
        <v>1294</v>
      </c>
      <c r="C649" s="4">
        <v>23</v>
      </c>
      <c r="D649" s="3" t="s">
        <v>71</v>
      </c>
      <c r="E649" s="3" t="s">
        <v>8</v>
      </c>
      <c r="F649" s="5">
        <v>0</v>
      </c>
      <c r="G649" s="5">
        <v>276736.93300000002</v>
      </c>
      <c r="H649" s="5">
        <f t="shared" si="20"/>
        <v>276736.93300000002</v>
      </c>
      <c r="I649" s="9">
        <f t="shared" si="21"/>
        <v>0</v>
      </c>
      <c r="J649" s="3" t="s">
        <v>4603</v>
      </c>
    </row>
    <row r="650" spans="1:10" ht="25.5">
      <c r="A650" s="3" t="s">
        <v>1295</v>
      </c>
      <c r="B650" s="3" t="s">
        <v>1296</v>
      </c>
      <c r="C650" s="4">
        <v>39</v>
      </c>
      <c r="D650" s="3" t="s">
        <v>26</v>
      </c>
      <c r="E650" s="3" t="s">
        <v>9</v>
      </c>
      <c r="F650" s="5">
        <v>69692.460000000006</v>
      </c>
      <c r="G650" s="5">
        <v>18409.2</v>
      </c>
      <c r="H650" s="5">
        <f t="shared" si="20"/>
        <v>-51283.260000000009</v>
      </c>
      <c r="I650" s="9">
        <f t="shared" si="21"/>
        <v>-0.73585090840529954</v>
      </c>
      <c r="J650" s="3" t="s">
        <v>4603</v>
      </c>
    </row>
    <row r="651" spans="1:10" ht="38.25">
      <c r="A651" s="3" t="s">
        <v>1297</v>
      </c>
      <c r="B651" s="3" t="s">
        <v>1298</v>
      </c>
      <c r="C651" s="4">
        <v>371</v>
      </c>
      <c r="D651" s="3" t="s">
        <v>29</v>
      </c>
      <c r="E651" s="3" t="s">
        <v>30</v>
      </c>
      <c r="F651" s="5">
        <v>22059.24</v>
      </c>
      <c r="G651" s="5">
        <v>0</v>
      </c>
      <c r="H651" s="5">
        <f t="shared" si="20"/>
        <v>-22059.24</v>
      </c>
      <c r="I651" s="9">
        <f t="shared" si="21"/>
        <v>-1</v>
      </c>
      <c r="J651" s="3" t="s">
        <v>4603</v>
      </c>
    </row>
    <row r="652" spans="1:10" ht="25.5">
      <c r="A652" s="3" t="s">
        <v>1299</v>
      </c>
      <c r="B652" s="3" t="s">
        <v>1300</v>
      </c>
      <c r="C652" s="4">
        <v>335</v>
      </c>
      <c r="D652" s="3" t="s">
        <v>7</v>
      </c>
      <c r="E652" s="3" t="s">
        <v>8</v>
      </c>
      <c r="F652" s="5">
        <v>32178.87</v>
      </c>
      <c r="G652" s="5">
        <v>35543.58</v>
      </c>
      <c r="H652" s="5">
        <f t="shared" si="20"/>
        <v>3364.7100000000028</v>
      </c>
      <c r="I652" s="9">
        <f t="shared" si="21"/>
        <v>0.10456271460122757</v>
      </c>
      <c r="J652" s="3" t="s">
        <v>4603</v>
      </c>
    </row>
    <row r="653" spans="1:10" ht="25.5">
      <c r="A653" s="3" t="s">
        <v>1301</v>
      </c>
      <c r="B653" s="3" t="s">
        <v>1302</v>
      </c>
      <c r="C653" s="4">
        <v>41</v>
      </c>
      <c r="D653" s="3" t="s">
        <v>106</v>
      </c>
      <c r="E653" s="3" t="s">
        <v>22</v>
      </c>
      <c r="F653" s="5">
        <v>75977.58</v>
      </c>
      <c r="G653" s="5">
        <v>60800.004999999997</v>
      </c>
      <c r="H653" s="5">
        <f t="shared" si="20"/>
        <v>-15177.575000000004</v>
      </c>
      <c r="I653" s="9">
        <f t="shared" si="21"/>
        <v>-0.19976386455056883</v>
      </c>
      <c r="J653" s="3" t="s">
        <v>4603</v>
      </c>
    </row>
    <row r="654" spans="1:10" ht="25.5">
      <c r="A654" s="3" t="s">
        <v>1303</v>
      </c>
      <c r="B654" s="3" t="s">
        <v>1304</v>
      </c>
      <c r="C654" s="4">
        <v>41</v>
      </c>
      <c r="D654" s="3" t="s">
        <v>106</v>
      </c>
      <c r="E654" s="3" t="s">
        <v>22</v>
      </c>
      <c r="F654" s="5">
        <v>12634.2</v>
      </c>
      <c r="G654" s="5">
        <v>0</v>
      </c>
      <c r="H654" s="5">
        <f t="shared" si="20"/>
        <v>-12634.2</v>
      </c>
      <c r="I654" s="9">
        <f t="shared" si="21"/>
        <v>-1</v>
      </c>
      <c r="J654" s="3" t="s">
        <v>4603</v>
      </c>
    </row>
    <row r="655" spans="1:10" ht="25.5">
      <c r="A655" s="3" t="s">
        <v>1305</v>
      </c>
      <c r="B655" s="3" t="s">
        <v>1306</v>
      </c>
      <c r="C655" s="4">
        <v>270</v>
      </c>
      <c r="D655" s="3" t="s">
        <v>312</v>
      </c>
      <c r="E655" s="3" t="s">
        <v>30</v>
      </c>
      <c r="F655" s="5">
        <v>134910.6</v>
      </c>
      <c r="G655" s="5">
        <v>134408.64000000001</v>
      </c>
      <c r="H655" s="5">
        <f t="shared" si="20"/>
        <v>-501.95999999999185</v>
      </c>
      <c r="I655" s="9">
        <f t="shared" si="21"/>
        <v>-3.7206861432681482E-3</v>
      </c>
      <c r="J655" s="3" t="s">
        <v>4603</v>
      </c>
    </row>
    <row r="656" spans="1:10" ht="25.5">
      <c r="A656" s="3" t="s">
        <v>1307</v>
      </c>
      <c r="B656" s="3" t="s">
        <v>1308</v>
      </c>
      <c r="C656" s="4">
        <v>41</v>
      </c>
      <c r="D656" s="3" t="s">
        <v>106</v>
      </c>
      <c r="E656" s="3" t="s">
        <v>22</v>
      </c>
      <c r="F656" s="5">
        <v>0</v>
      </c>
      <c r="G656" s="5">
        <v>25076.400000000001</v>
      </c>
      <c r="H656" s="5">
        <f t="shared" si="20"/>
        <v>25076.400000000001</v>
      </c>
      <c r="I656" s="9">
        <f t="shared" si="21"/>
        <v>0</v>
      </c>
      <c r="J656" s="3" t="s">
        <v>4603</v>
      </c>
    </row>
    <row r="657" spans="1:10" ht="25.5">
      <c r="A657" s="3" t="s">
        <v>1309</v>
      </c>
      <c r="B657" s="3" t="s">
        <v>1310</v>
      </c>
      <c r="C657" s="4">
        <v>41</v>
      </c>
      <c r="D657" s="3" t="s">
        <v>106</v>
      </c>
      <c r="E657" s="3" t="s">
        <v>22</v>
      </c>
      <c r="F657" s="5">
        <v>12970.11</v>
      </c>
      <c r="G657" s="5">
        <v>0</v>
      </c>
      <c r="H657" s="5">
        <f t="shared" si="20"/>
        <v>-12970.11</v>
      </c>
      <c r="I657" s="9">
        <f t="shared" si="21"/>
        <v>-1</v>
      </c>
      <c r="J657" s="3" t="s">
        <v>4603</v>
      </c>
    </row>
    <row r="658" spans="1:10" ht="51">
      <c r="A658" s="3" t="s">
        <v>1311</v>
      </c>
      <c r="B658" s="3" t="s">
        <v>1312</v>
      </c>
      <c r="C658" s="4">
        <v>282</v>
      </c>
      <c r="D658" s="3" t="s">
        <v>298</v>
      </c>
      <c r="E658" s="3" t="s">
        <v>9</v>
      </c>
      <c r="F658" s="5">
        <v>39376.800000000003</v>
      </c>
      <c r="G658" s="5">
        <v>14904.36</v>
      </c>
      <c r="H658" s="5">
        <f t="shared" si="20"/>
        <v>-24472.440000000002</v>
      </c>
      <c r="I658" s="9">
        <f t="shared" si="21"/>
        <v>-0.62149387456573413</v>
      </c>
      <c r="J658" s="3" t="s">
        <v>4603</v>
      </c>
    </row>
    <row r="659" spans="1:10" ht="25.5">
      <c r="A659" s="3" t="s">
        <v>1313</v>
      </c>
      <c r="B659" s="3" t="s">
        <v>1314</v>
      </c>
      <c r="C659" s="4">
        <v>39</v>
      </c>
      <c r="D659" s="3" t="s">
        <v>26</v>
      </c>
      <c r="E659" s="3" t="s">
        <v>9</v>
      </c>
      <c r="F659" s="5">
        <v>76342.720000000001</v>
      </c>
      <c r="G659" s="5">
        <v>21020.155999999999</v>
      </c>
      <c r="H659" s="5">
        <f t="shared" si="20"/>
        <v>-55322.563999999998</v>
      </c>
      <c r="I659" s="9">
        <f t="shared" si="21"/>
        <v>-0.72466063561790839</v>
      </c>
      <c r="J659" s="3" t="s">
        <v>4603</v>
      </c>
    </row>
    <row r="660" spans="1:10" ht="25.5">
      <c r="A660" s="3" t="s">
        <v>1315</v>
      </c>
      <c r="B660" s="3" t="s">
        <v>1316</v>
      </c>
      <c r="C660" s="4">
        <v>197</v>
      </c>
      <c r="D660" s="3" t="s">
        <v>23</v>
      </c>
      <c r="E660" s="3" t="s">
        <v>22</v>
      </c>
      <c r="F660" s="5">
        <v>35185.1</v>
      </c>
      <c r="G660" s="5">
        <v>41933.269999999997</v>
      </c>
      <c r="H660" s="5">
        <f t="shared" si="20"/>
        <v>6748.1699999999983</v>
      </c>
      <c r="I660" s="9">
        <f t="shared" si="21"/>
        <v>0.19179055907187981</v>
      </c>
      <c r="J660" s="3" t="s">
        <v>4603</v>
      </c>
    </row>
    <row r="661" spans="1:10" ht="25.5">
      <c r="A661" s="3" t="s">
        <v>1317</v>
      </c>
      <c r="B661" s="3" t="s">
        <v>1318</v>
      </c>
      <c r="C661" s="4">
        <v>197</v>
      </c>
      <c r="D661" s="3" t="s">
        <v>23</v>
      </c>
      <c r="E661" s="3" t="s">
        <v>22</v>
      </c>
      <c r="F661" s="5">
        <v>0</v>
      </c>
      <c r="G661" s="5">
        <v>10892.72</v>
      </c>
      <c r="H661" s="5">
        <f t="shared" si="20"/>
        <v>10892.72</v>
      </c>
      <c r="I661" s="9">
        <f t="shared" si="21"/>
        <v>0</v>
      </c>
      <c r="J661" s="3" t="s">
        <v>4603</v>
      </c>
    </row>
    <row r="662" spans="1:10" ht="25.5">
      <c r="A662" s="3" t="s">
        <v>1319</v>
      </c>
      <c r="B662" s="3" t="s">
        <v>1320</v>
      </c>
      <c r="C662" s="4">
        <v>197</v>
      </c>
      <c r="D662" s="3" t="s">
        <v>23</v>
      </c>
      <c r="E662" s="3" t="s">
        <v>22</v>
      </c>
      <c r="F662" s="5">
        <v>7101.97</v>
      </c>
      <c r="G662" s="5">
        <v>0</v>
      </c>
      <c r="H662" s="5">
        <f t="shared" si="20"/>
        <v>-7101.97</v>
      </c>
      <c r="I662" s="9">
        <f t="shared" si="21"/>
        <v>-1</v>
      </c>
      <c r="J662" s="3" t="s">
        <v>4603</v>
      </c>
    </row>
    <row r="663" spans="1:10" ht="25.5">
      <c r="A663" s="3" t="s">
        <v>1321</v>
      </c>
      <c r="B663" s="3" t="s">
        <v>1322</v>
      </c>
      <c r="C663" s="4">
        <v>218</v>
      </c>
      <c r="D663" s="3" t="s">
        <v>155</v>
      </c>
      <c r="E663" s="3" t="s">
        <v>13</v>
      </c>
      <c r="F663" s="5">
        <v>57879.360000000001</v>
      </c>
      <c r="G663" s="5">
        <v>0</v>
      </c>
      <c r="H663" s="5">
        <f t="shared" si="20"/>
        <v>-57879.360000000001</v>
      </c>
      <c r="I663" s="9">
        <f t="shared" si="21"/>
        <v>-1</v>
      </c>
      <c r="J663" s="3" t="s">
        <v>4603</v>
      </c>
    </row>
    <row r="664" spans="1:10" ht="25.5">
      <c r="A664" s="3" t="s">
        <v>1323</v>
      </c>
      <c r="B664" s="3" t="s">
        <v>1324</v>
      </c>
      <c r="C664" s="4">
        <v>218</v>
      </c>
      <c r="D664" s="3" t="s">
        <v>155</v>
      </c>
      <c r="E664" s="3" t="s">
        <v>13</v>
      </c>
      <c r="F664" s="5">
        <v>14886</v>
      </c>
      <c r="G664" s="5">
        <v>56792.1</v>
      </c>
      <c r="H664" s="5">
        <f t="shared" si="20"/>
        <v>41906.1</v>
      </c>
      <c r="I664" s="9">
        <f t="shared" si="21"/>
        <v>2.8151350261991133</v>
      </c>
      <c r="J664" s="3" t="s">
        <v>4603</v>
      </c>
    </row>
    <row r="665" spans="1:10" ht="25.5">
      <c r="A665" s="3" t="s">
        <v>1325</v>
      </c>
      <c r="B665" s="3" t="s">
        <v>1326</v>
      </c>
      <c r="C665" s="4">
        <v>39</v>
      </c>
      <c r="D665" s="3" t="s">
        <v>26</v>
      </c>
      <c r="E665" s="3" t="s">
        <v>9</v>
      </c>
      <c r="F665" s="5">
        <v>43707.6</v>
      </c>
      <c r="G665" s="5">
        <v>0</v>
      </c>
      <c r="H665" s="5">
        <f t="shared" si="20"/>
        <v>-43707.6</v>
      </c>
      <c r="I665" s="9">
        <f t="shared" si="21"/>
        <v>-1</v>
      </c>
      <c r="J665" s="3" t="s">
        <v>4604</v>
      </c>
    </row>
    <row r="666" spans="1:10">
      <c r="A666" s="3" t="s">
        <v>1327</v>
      </c>
      <c r="B666" s="3" t="s">
        <v>1328</v>
      </c>
      <c r="C666" s="4">
        <v>240</v>
      </c>
      <c r="D666" s="3" t="s">
        <v>152</v>
      </c>
      <c r="E666" s="3" t="s">
        <v>13</v>
      </c>
      <c r="F666" s="5">
        <v>25678.38</v>
      </c>
      <c r="G666" s="5">
        <v>50648.55</v>
      </c>
      <c r="H666" s="5">
        <f t="shared" si="20"/>
        <v>24970.170000000002</v>
      </c>
      <c r="I666" s="9">
        <f t="shared" si="21"/>
        <v>0.97241998911146266</v>
      </c>
      <c r="J666" s="3" t="s">
        <v>4603</v>
      </c>
    </row>
    <row r="667" spans="1:10">
      <c r="A667" s="3" t="s">
        <v>1329</v>
      </c>
      <c r="B667" s="3" t="s">
        <v>1330</v>
      </c>
      <c r="C667" s="4">
        <v>240</v>
      </c>
      <c r="D667" s="3" t="s">
        <v>152</v>
      </c>
      <c r="E667" s="3" t="s">
        <v>13</v>
      </c>
      <c r="F667" s="5">
        <v>9121.68</v>
      </c>
      <c r="G667" s="5">
        <v>0</v>
      </c>
      <c r="H667" s="5">
        <f t="shared" si="20"/>
        <v>-9121.68</v>
      </c>
      <c r="I667" s="9">
        <f t="shared" si="21"/>
        <v>-1</v>
      </c>
      <c r="J667" s="3" t="s">
        <v>4603</v>
      </c>
    </row>
    <row r="668" spans="1:10" ht="51">
      <c r="A668" s="3" t="s">
        <v>1331</v>
      </c>
      <c r="B668" s="3" t="s">
        <v>1332</v>
      </c>
      <c r="C668" s="4">
        <v>282</v>
      </c>
      <c r="D668" s="3" t="s">
        <v>298</v>
      </c>
      <c r="E668" s="3" t="s">
        <v>9</v>
      </c>
      <c r="F668" s="5">
        <v>12522.24</v>
      </c>
      <c r="G668" s="5">
        <v>0</v>
      </c>
      <c r="H668" s="5">
        <f t="shared" si="20"/>
        <v>-12522.24</v>
      </c>
      <c r="I668" s="9">
        <f t="shared" si="21"/>
        <v>-1</v>
      </c>
      <c r="J668" s="3" t="s">
        <v>4603</v>
      </c>
    </row>
    <row r="669" spans="1:10" ht="51">
      <c r="A669" s="3" t="s">
        <v>1333</v>
      </c>
      <c r="B669" s="3" t="s">
        <v>1334</v>
      </c>
      <c r="C669" s="4">
        <v>282</v>
      </c>
      <c r="D669" s="3" t="s">
        <v>298</v>
      </c>
      <c r="E669" s="3" t="s">
        <v>9</v>
      </c>
      <c r="F669" s="5">
        <v>10465.200000000001</v>
      </c>
      <c r="G669" s="5">
        <v>15825.922</v>
      </c>
      <c r="H669" s="5">
        <f t="shared" si="20"/>
        <v>5360.7219999999998</v>
      </c>
      <c r="I669" s="9">
        <f t="shared" si="21"/>
        <v>0.51224267094752118</v>
      </c>
      <c r="J669" s="3" t="s">
        <v>4603</v>
      </c>
    </row>
    <row r="670" spans="1:10" ht="25.5">
      <c r="A670" s="3" t="s">
        <v>1335</v>
      </c>
      <c r="B670" s="3" t="s">
        <v>1336</v>
      </c>
      <c r="C670" s="4">
        <v>74</v>
      </c>
      <c r="D670" s="3" t="s">
        <v>86</v>
      </c>
      <c r="E670" s="3" t="s">
        <v>8</v>
      </c>
      <c r="F670" s="5">
        <v>52836.93</v>
      </c>
      <c r="G670" s="5">
        <v>7661.46</v>
      </c>
      <c r="H670" s="5">
        <f t="shared" si="20"/>
        <v>-45175.47</v>
      </c>
      <c r="I670" s="9">
        <f t="shared" si="21"/>
        <v>-0.85499800991465624</v>
      </c>
      <c r="J670" s="3" t="s">
        <v>4603</v>
      </c>
    </row>
    <row r="671" spans="1:10" ht="25.5">
      <c r="A671" s="3" t="s">
        <v>1337</v>
      </c>
      <c r="B671" s="3" t="s">
        <v>1338</v>
      </c>
      <c r="C671" s="4">
        <v>39</v>
      </c>
      <c r="D671" s="3" t="s">
        <v>26</v>
      </c>
      <c r="E671" s="3" t="s">
        <v>9</v>
      </c>
      <c r="F671" s="5">
        <v>16917.3</v>
      </c>
      <c r="G671" s="5">
        <v>0</v>
      </c>
      <c r="H671" s="5">
        <f t="shared" si="20"/>
        <v>-16917.3</v>
      </c>
      <c r="I671" s="9">
        <f t="shared" si="21"/>
        <v>-1</v>
      </c>
      <c r="J671" s="3" t="s">
        <v>4603</v>
      </c>
    </row>
    <row r="672" spans="1:10" ht="25.5">
      <c r="A672" s="3" t="s">
        <v>1339</v>
      </c>
      <c r="B672" s="3" t="s">
        <v>1340</v>
      </c>
      <c r="C672" s="4">
        <v>208</v>
      </c>
      <c r="D672" s="3" t="s">
        <v>58</v>
      </c>
      <c r="E672" s="3" t="s">
        <v>13</v>
      </c>
      <c r="F672" s="5">
        <v>18895.080000000002</v>
      </c>
      <c r="G672" s="5">
        <v>8000.07</v>
      </c>
      <c r="H672" s="5">
        <f t="shared" si="20"/>
        <v>-10895.010000000002</v>
      </c>
      <c r="I672" s="9">
        <f t="shared" si="21"/>
        <v>-0.57660565607554992</v>
      </c>
      <c r="J672" s="3" t="s">
        <v>4603</v>
      </c>
    </row>
    <row r="673" spans="1:10" ht="25.5">
      <c r="A673" s="3" t="s">
        <v>1341</v>
      </c>
      <c r="B673" s="3" t="s">
        <v>1342</v>
      </c>
      <c r="C673" s="4">
        <v>317</v>
      </c>
      <c r="D673" s="3" t="s">
        <v>54</v>
      </c>
      <c r="E673" s="3" t="s">
        <v>18</v>
      </c>
      <c r="F673" s="5">
        <v>0</v>
      </c>
      <c r="G673" s="5">
        <v>16856.88</v>
      </c>
      <c r="H673" s="5">
        <f t="shared" si="20"/>
        <v>16856.88</v>
      </c>
      <c r="I673" s="9">
        <f t="shared" si="21"/>
        <v>0</v>
      </c>
      <c r="J673" s="3" t="s">
        <v>4603</v>
      </c>
    </row>
    <row r="674" spans="1:10" ht="25.5">
      <c r="A674" s="3" t="s">
        <v>1341</v>
      </c>
      <c r="B674" s="3" t="s">
        <v>1342</v>
      </c>
      <c r="C674" s="4">
        <v>65</v>
      </c>
      <c r="D674" s="3" t="s">
        <v>1343</v>
      </c>
      <c r="E674" s="3" t="s">
        <v>13</v>
      </c>
      <c r="F674" s="5">
        <v>0</v>
      </c>
      <c r="G674" s="5">
        <v>16856.88</v>
      </c>
      <c r="H674" s="5">
        <f t="shared" si="20"/>
        <v>16856.88</v>
      </c>
      <c r="I674" s="9">
        <f t="shared" si="21"/>
        <v>0</v>
      </c>
      <c r="J674" s="3" t="s">
        <v>4603</v>
      </c>
    </row>
    <row r="675" spans="1:10" ht="25.5">
      <c r="A675" s="3" t="s">
        <v>1344</v>
      </c>
      <c r="B675" s="3" t="s">
        <v>1345</v>
      </c>
      <c r="C675" s="4">
        <v>316</v>
      </c>
      <c r="D675" s="3" t="s">
        <v>167</v>
      </c>
      <c r="E675" s="3" t="s">
        <v>18</v>
      </c>
      <c r="F675" s="5">
        <v>12582.6</v>
      </c>
      <c r="G675" s="5">
        <v>0</v>
      </c>
      <c r="H675" s="5">
        <f t="shared" si="20"/>
        <v>-12582.6</v>
      </c>
      <c r="I675" s="9">
        <f t="shared" si="21"/>
        <v>-1</v>
      </c>
      <c r="J675" s="3" t="s">
        <v>4603</v>
      </c>
    </row>
    <row r="676" spans="1:10" ht="25.5">
      <c r="A676" s="3" t="s">
        <v>1346</v>
      </c>
      <c r="B676" s="3" t="s">
        <v>1347</v>
      </c>
      <c r="C676" s="4">
        <v>39</v>
      </c>
      <c r="D676" s="3" t="s">
        <v>26</v>
      </c>
      <c r="E676" s="3" t="s">
        <v>9</v>
      </c>
      <c r="F676" s="5">
        <v>25472</v>
      </c>
      <c r="G676" s="5">
        <v>33941.18</v>
      </c>
      <c r="H676" s="5">
        <f t="shared" si="20"/>
        <v>8469.18</v>
      </c>
      <c r="I676" s="9">
        <f t="shared" si="21"/>
        <v>0.33248979271356793</v>
      </c>
      <c r="J676" s="3" t="s">
        <v>4603</v>
      </c>
    </row>
    <row r="677" spans="1:10" ht="25.5">
      <c r="A677" s="3" t="s">
        <v>1348</v>
      </c>
      <c r="B677" s="3" t="s">
        <v>1349</v>
      </c>
      <c r="C677" s="4">
        <v>335</v>
      </c>
      <c r="D677" s="3" t="s">
        <v>7</v>
      </c>
      <c r="E677" s="3" t="s">
        <v>8</v>
      </c>
      <c r="F677" s="5">
        <v>27451.56</v>
      </c>
      <c r="G677" s="5">
        <v>82559.16</v>
      </c>
      <c r="H677" s="5">
        <f t="shared" si="20"/>
        <v>55107.600000000006</v>
      </c>
      <c r="I677" s="9">
        <f t="shared" si="21"/>
        <v>2.0074487570105304</v>
      </c>
      <c r="J677" s="3" t="s">
        <v>4604</v>
      </c>
    </row>
    <row r="678" spans="1:10" ht="25.5">
      <c r="A678" s="3" t="s">
        <v>1350</v>
      </c>
      <c r="B678" s="3" t="s">
        <v>1351</v>
      </c>
      <c r="C678" s="4">
        <v>197</v>
      </c>
      <c r="D678" s="3" t="s">
        <v>23</v>
      </c>
      <c r="E678" s="3" t="s">
        <v>22</v>
      </c>
      <c r="F678" s="5">
        <v>26925.49</v>
      </c>
      <c r="G678" s="5">
        <v>39985.800000000003</v>
      </c>
      <c r="H678" s="5">
        <f t="shared" si="20"/>
        <v>13060.310000000001</v>
      </c>
      <c r="I678" s="9">
        <f t="shared" si="21"/>
        <v>0.48505375389640082</v>
      </c>
      <c r="J678" s="3" t="s">
        <v>4603</v>
      </c>
    </row>
    <row r="679" spans="1:10" ht="25.5">
      <c r="A679" s="3" t="s">
        <v>1352</v>
      </c>
      <c r="B679" s="3" t="s">
        <v>1353</v>
      </c>
      <c r="C679" s="4">
        <v>61</v>
      </c>
      <c r="D679" s="3" t="s">
        <v>114</v>
      </c>
      <c r="E679" s="3" t="s">
        <v>30</v>
      </c>
      <c r="F679" s="5">
        <v>30553.56</v>
      </c>
      <c r="G679" s="5">
        <v>0</v>
      </c>
      <c r="H679" s="5">
        <f t="shared" si="20"/>
        <v>-30553.56</v>
      </c>
      <c r="I679" s="9">
        <f t="shared" si="21"/>
        <v>-1</v>
      </c>
      <c r="J679" s="3" t="s">
        <v>4603</v>
      </c>
    </row>
    <row r="680" spans="1:10" ht="25.5">
      <c r="A680" s="3" t="s">
        <v>1354</v>
      </c>
      <c r="B680" s="3" t="s">
        <v>1355</v>
      </c>
      <c r="C680" s="4">
        <v>194</v>
      </c>
      <c r="D680" s="3" t="s">
        <v>179</v>
      </c>
      <c r="E680" s="3" t="s">
        <v>13</v>
      </c>
      <c r="F680" s="5">
        <v>259613.7</v>
      </c>
      <c r="G680" s="5">
        <v>185318.31</v>
      </c>
      <c r="H680" s="5">
        <f t="shared" si="20"/>
        <v>-74295.390000000014</v>
      </c>
      <c r="I680" s="9">
        <f t="shared" si="21"/>
        <v>-0.28617669252431599</v>
      </c>
      <c r="J680" s="3" t="s">
        <v>4603</v>
      </c>
    </row>
    <row r="681" spans="1:10" ht="25.5">
      <c r="A681" s="3" t="s">
        <v>1356</v>
      </c>
      <c r="B681" s="3" t="s">
        <v>1357</v>
      </c>
      <c r="C681" s="4">
        <v>41</v>
      </c>
      <c r="D681" s="3" t="s">
        <v>106</v>
      </c>
      <c r="E681" s="3" t="s">
        <v>22</v>
      </c>
      <c r="F681" s="5">
        <v>255666.96</v>
      </c>
      <c r="G681" s="5">
        <v>1415335.665</v>
      </c>
      <c r="H681" s="5">
        <f t="shared" si="20"/>
        <v>1159668.7050000001</v>
      </c>
      <c r="I681" s="9">
        <f t="shared" si="21"/>
        <v>4.5358567450405012</v>
      </c>
      <c r="J681" s="3" t="s">
        <v>4603</v>
      </c>
    </row>
    <row r="682" spans="1:10" ht="25.5">
      <c r="A682" s="3" t="s">
        <v>1356</v>
      </c>
      <c r="B682" s="3" t="s">
        <v>1357</v>
      </c>
      <c r="C682" s="4">
        <v>41</v>
      </c>
      <c r="D682" s="3" t="s">
        <v>106</v>
      </c>
      <c r="E682" s="3" t="s">
        <v>8</v>
      </c>
      <c r="F682" s="5">
        <v>255666.96</v>
      </c>
      <c r="G682" s="5">
        <v>1415335.665</v>
      </c>
      <c r="H682" s="5">
        <f t="shared" si="20"/>
        <v>1159668.7050000001</v>
      </c>
      <c r="I682" s="9">
        <f t="shared" si="21"/>
        <v>4.5358567450405012</v>
      </c>
      <c r="J682" s="3" t="s">
        <v>4603</v>
      </c>
    </row>
    <row r="683" spans="1:10" ht="25.5">
      <c r="A683" s="3" t="s">
        <v>1358</v>
      </c>
      <c r="B683" s="3" t="s">
        <v>1359</v>
      </c>
      <c r="C683" s="4">
        <v>93</v>
      </c>
      <c r="D683" s="3" t="s">
        <v>42</v>
      </c>
      <c r="E683" s="3" t="s">
        <v>8</v>
      </c>
      <c r="F683" s="5">
        <v>18390.21</v>
      </c>
      <c r="G683" s="5">
        <v>30299.7</v>
      </c>
      <c r="H683" s="5">
        <f t="shared" si="20"/>
        <v>11909.490000000002</v>
      </c>
      <c r="I683" s="9">
        <f t="shared" si="21"/>
        <v>0.64759945644992656</v>
      </c>
      <c r="J683" s="3" t="s">
        <v>4603</v>
      </c>
    </row>
    <row r="684" spans="1:10" ht="51">
      <c r="A684" s="3" t="s">
        <v>1360</v>
      </c>
      <c r="B684" s="3" t="s">
        <v>1361</v>
      </c>
      <c r="C684" s="4">
        <v>282</v>
      </c>
      <c r="D684" s="3" t="s">
        <v>298</v>
      </c>
      <c r="E684" s="3" t="s">
        <v>9</v>
      </c>
      <c r="F684" s="5">
        <v>11195.72</v>
      </c>
      <c r="G684" s="5">
        <v>0</v>
      </c>
      <c r="H684" s="5">
        <f t="shared" si="20"/>
        <v>-11195.72</v>
      </c>
      <c r="I684" s="9">
        <f t="shared" si="21"/>
        <v>-1</v>
      </c>
      <c r="J684" s="3" t="s">
        <v>4603</v>
      </c>
    </row>
    <row r="685" spans="1:10" ht="51">
      <c r="A685" s="3" t="s">
        <v>1362</v>
      </c>
      <c r="B685" s="3" t="s">
        <v>1363</v>
      </c>
      <c r="C685" s="4">
        <v>282</v>
      </c>
      <c r="D685" s="3" t="s">
        <v>298</v>
      </c>
      <c r="E685" s="3" t="s">
        <v>9</v>
      </c>
      <c r="F685" s="5">
        <v>47408.76</v>
      </c>
      <c r="G685" s="5">
        <v>0</v>
      </c>
      <c r="H685" s="5">
        <f t="shared" si="20"/>
        <v>-47408.76</v>
      </c>
      <c r="I685" s="9">
        <f t="shared" si="21"/>
        <v>-1</v>
      </c>
      <c r="J685" s="3" t="s">
        <v>4603</v>
      </c>
    </row>
    <row r="686" spans="1:10" ht="25.5">
      <c r="A686" s="3" t="s">
        <v>1364</v>
      </c>
      <c r="B686" s="3" t="s">
        <v>1365</v>
      </c>
      <c r="C686" s="4">
        <v>41</v>
      </c>
      <c r="D686" s="3" t="s">
        <v>106</v>
      </c>
      <c r="E686" s="3" t="s">
        <v>22</v>
      </c>
      <c r="F686" s="5">
        <v>52875.360000000001</v>
      </c>
      <c r="G686" s="5">
        <v>80995.350000000006</v>
      </c>
      <c r="H686" s="5">
        <f t="shared" si="20"/>
        <v>28119.990000000005</v>
      </c>
      <c r="I686" s="9">
        <f t="shared" si="21"/>
        <v>0.531816520965531</v>
      </c>
      <c r="J686" s="3" t="s">
        <v>4603</v>
      </c>
    </row>
    <row r="687" spans="1:10" ht="38.25">
      <c r="A687" s="3" t="s">
        <v>1366</v>
      </c>
      <c r="B687" s="3" t="s">
        <v>1367</v>
      </c>
      <c r="C687" s="4">
        <v>371</v>
      </c>
      <c r="D687" s="3" t="s">
        <v>29</v>
      </c>
      <c r="E687" s="3" t="s">
        <v>30</v>
      </c>
      <c r="F687" s="5">
        <v>4912.32</v>
      </c>
      <c r="G687" s="5">
        <v>1757.88</v>
      </c>
      <c r="H687" s="5">
        <f t="shared" si="20"/>
        <v>-3154.4399999999996</v>
      </c>
      <c r="I687" s="9">
        <f t="shared" si="21"/>
        <v>-0.64214871995309752</v>
      </c>
      <c r="J687" s="3" t="s">
        <v>4603</v>
      </c>
    </row>
    <row r="688" spans="1:10" ht="38.25">
      <c r="A688" s="3" t="s">
        <v>1368</v>
      </c>
      <c r="B688" s="3" t="s">
        <v>1369</v>
      </c>
      <c r="C688" s="4">
        <v>45</v>
      </c>
      <c r="D688" s="3" t="s">
        <v>16</v>
      </c>
      <c r="E688" s="3" t="s">
        <v>8</v>
      </c>
      <c r="F688" s="5">
        <v>20031.810000000001</v>
      </c>
      <c r="G688" s="5">
        <v>22869.84</v>
      </c>
      <c r="H688" s="5">
        <f t="shared" si="20"/>
        <v>2838.0299999999988</v>
      </c>
      <c r="I688" s="9">
        <f t="shared" si="21"/>
        <v>0.14167616406106087</v>
      </c>
      <c r="J688" s="3" t="s">
        <v>4603</v>
      </c>
    </row>
    <row r="689" spans="1:10" ht="38.25">
      <c r="A689" s="3" t="s">
        <v>1370</v>
      </c>
      <c r="B689" s="3" t="s">
        <v>1371</v>
      </c>
      <c r="C689" s="4">
        <v>292</v>
      </c>
      <c r="D689" s="3" t="s">
        <v>619</v>
      </c>
      <c r="E689" s="3" t="s">
        <v>30</v>
      </c>
      <c r="F689" s="5">
        <v>0</v>
      </c>
      <c r="G689" s="5">
        <v>19905.357</v>
      </c>
      <c r="H689" s="5">
        <f t="shared" si="20"/>
        <v>19905.357</v>
      </c>
      <c r="I689" s="9">
        <f t="shared" si="21"/>
        <v>0</v>
      </c>
      <c r="J689" s="3" t="s">
        <v>4603</v>
      </c>
    </row>
    <row r="690" spans="1:10" ht="38.25">
      <c r="A690" s="3" t="s">
        <v>1372</v>
      </c>
      <c r="B690" s="3" t="s">
        <v>1373</v>
      </c>
      <c r="C690" s="4">
        <v>371</v>
      </c>
      <c r="D690" s="3" t="s">
        <v>29</v>
      </c>
      <c r="E690" s="3" t="s">
        <v>30</v>
      </c>
      <c r="F690" s="5">
        <v>2111.52</v>
      </c>
      <c r="G690" s="5">
        <v>0</v>
      </c>
      <c r="H690" s="5">
        <f t="shared" si="20"/>
        <v>-2111.52</v>
      </c>
      <c r="I690" s="9">
        <f t="shared" si="21"/>
        <v>-1</v>
      </c>
      <c r="J690" s="3" t="s">
        <v>4603</v>
      </c>
    </row>
    <row r="691" spans="1:10" ht="38.25">
      <c r="A691" s="3" t="s">
        <v>1374</v>
      </c>
      <c r="B691" s="3" t="s">
        <v>1375</v>
      </c>
      <c r="C691" s="4">
        <v>371</v>
      </c>
      <c r="D691" s="3" t="s">
        <v>29</v>
      </c>
      <c r="E691" s="3" t="s">
        <v>30</v>
      </c>
      <c r="F691" s="5">
        <v>289904.342</v>
      </c>
      <c r="G691" s="5">
        <v>92882.111999999994</v>
      </c>
      <c r="H691" s="5">
        <f t="shared" si="20"/>
        <v>-197022.23</v>
      </c>
      <c r="I691" s="9">
        <f t="shared" si="21"/>
        <v>-0.67961117326073028</v>
      </c>
      <c r="J691" s="3" t="s">
        <v>4604</v>
      </c>
    </row>
    <row r="692" spans="1:10" ht="25.5">
      <c r="A692" s="3" t="s">
        <v>1376</v>
      </c>
      <c r="B692" s="3" t="s">
        <v>1377</v>
      </c>
      <c r="C692" s="4">
        <v>74</v>
      </c>
      <c r="D692" s="3" t="s">
        <v>86</v>
      </c>
      <c r="E692" s="3" t="s">
        <v>8</v>
      </c>
      <c r="F692" s="5">
        <v>161138.57999999999</v>
      </c>
      <c r="G692" s="5">
        <v>101664.93</v>
      </c>
      <c r="H692" s="5">
        <f t="shared" si="20"/>
        <v>-59473.649999999994</v>
      </c>
      <c r="I692" s="9">
        <f t="shared" si="21"/>
        <v>-0.3690838655770704</v>
      </c>
      <c r="J692" s="3" t="s">
        <v>4603</v>
      </c>
    </row>
    <row r="693" spans="1:10" ht="25.5">
      <c r="A693" s="3" t="s">
        <v>1378</v>
      </c>
      <c r="B693" s="3" t="s">
        <v>1379</v>
      </c>
      <c r="C693" s="4">
        <v>317</v>
      </c>
      <c r="D693" s="3" t="s">
        <v>54</v>
      </c>
      <c r="E693" s="3" t="s">
        <v>18</v>
      </c>
      <c r="F693" s="5">
        <v>5855.94</v>
      </c>
      <c r="G693" s="5">
        <v>13253.76</v>
      </c>
      <c r="H693" s="5">
        <f t="shared" si="20"/>
        <v>7397.8200000000006</v>
      </c>
      <c r="I693" s="9">
        <f t="shared" si="21"/>
        <v>1.2633018780930136</v>
      </c>
      <c r="J693" s="3" t="s">
        <v>4603</v>
      </c>
    </row>
    <row r="694" spans="1:10" ht="25.5">
      <c r="A694" s="3" t="s">
        <v>1378</v>
      </c>
      <c r="B694" s="3" t="s">
        <v>1379</v>
      </c>
      <c r="C694" s="4">
        <v>337</v>
      </c>
      <c r="D694" s="3" t="s">
        <v>218</v>
      </c>
      <c r="E694" s="3" t="s">
        <v>13</v>
      </c>
      <c r="F694" s="5">
        <v>5855.94</v>
      </c>
      <c r="G694" s="5">
        <v>13253.76</v>
      </c>
      <c r="H694" s="5">
        <f t="shared" si="20"/>
        <v>7397.8200000000006</v>
      </c>
      <c r="I694" s="9">
        <f t="shared" si="21"/>
        <v>1.2633018780930136</v>
      </c>
      <c r="J694" s="3" t="s">
        <v>4603</v>
      </c>
    </row>
    <row r="695" spans="1:10">
      <c r="A695" s="3" t="s">
        <v>1380</v>
      </c>
      <c r="B695" s="3" t="s">
        <v>1381</v>
      </c>
      <c r="C695" s="4">
        <v>231</v>
      </c>
      <c r="D695" s="3" t="s">
        <v>89</v>
      </c>
      <c r="E695" s="3" t="s">
        <v>8</v>
      </c>
      <c r="F695" s="5">
        <v>23336.52</v>
      </c>
      <c r="G695" s="5">
        <v>25662.45</v>
      </c>
      <c r="H695" s="5">
        <f t="shared" si="20"/>
        <v>2325.9300000000003</v>
      </c>
      <c r="I695" s="9">
        <f t="shared" si="21"/>
        <v>9.9669102334024151E-2</v>
      </c>
      <c r="J695" s="3" t="s">
        <v>4603</v>
      </c>
    </row>
    <row r="696" spans="1:10">
      <c r="A696" s="3" t="s">
        <v>1382</v>
      </c>
      <c r="B696" s="3" t="s">
        <v>1383</v>
      </c>
      <c r="C696" s="4">
        <v>217</v>
      </c>
      <c r="D696" s="3" t="s">
        <v>253</v>
      </c>
      <c r="E696" s="3" t="s">
        <v>13</v>
      </c>
      <c r="F696" s="5">
        <v>29772.66</v>
      </c>
      <c r="G696" s="5">
        <v>19491.84</v>
      </c>
      <c r="H696" s="5">
        <f t="shared" si="20"/>
        <v>-10280.82</v>
      </c>
      <c r="I696" s="9">
        <f t="shared" si="21"/>
        <v>-0.34531076497699564</v>
      </c>
      <c r="J696" s="3" t="s">
        <v>4603</v>
      </c>
    </row>
    <row r="697" spans="1:10">
      <c r="A697" s="3" t="s">
        <v>1384</v>
      </c>
      <c r="B697" s="3" t="s">
        <v>1385</v>
      </c>
      <c r="C697" s="4">
        <v>217</v>
      </c>
      <c r="D697" s="3" t="s">
        <v>253</v>
      </c>
      <c r="E697" s="3" t="s">
        <v>13</v>
      </c>
      <c r="F697" s="5">
        <v>215674.2</v>
      </c>
      <c r="G697" s="5">
        <v>196996.5</v>
      </c>
      <c r="H697" s="5">
        <f t="shared" si="20"/>
        <v>-18677.700000000012</v>
      </c>
      <c r="I697" s="9">
        <f t="shared" si="21"/>
        <v>-8.6601457197940324E-2</v>
      </c>
      <c r="J697" s="3" t="s">
        <v>4603</v>
      </c>
    </row>
    <row r="698" spans="1:10">
      <c r="A698" s="3" t="s">
        <v>1386</v>
      </c>
      <c r="B698" s="3" t="s">
        <v>1387</v>
      </c>
      <c r="C698" s="4">
        <v>217</v>
      </c>
      <c r="D698" s="3" t="s">
        <v>253</v>
      </c>
      <c r="E698" s="3" t="s">
        <v>13</v>
      </c>
      <c r="F698" s="5">
        <v>81156.84</v>
      </c>
      <c r="G698" s="5">
        <v>0</v>
      </c>
      <c r="H698" s="5">
        <f t="shared" si="20"/>
        <v>-81156.84</v>
      </c>
      <c r="I698" s="9">
        <f t="shared" si="21"/>
        <v>-1</v>
      </c>
      <c r="J698" s="3" t="s">
        <v>4603</v>
      </c>
    </row>
    <row r="699" spans="1:10" ht="25.5">
      <c r="A699" s="3" t="s">
        <v>1388</v>
      </c>
      <c r="B699" s="3" t="s">
        <v>1389</v>
      </c>
      <c r="C699" s="4">
        <v>74</v>
      </c>
      <c r="D699" s="3" t="s">
        <v>86</v>
      </c>
      <c r="E699" s="3" t="s">
        <v>8</v>
      </c>
      <c r="F699" s="5">
        <v>199975.47</v>
      </c>
      <c r="G699" s="5">
        <v>105496.8</v>
      </c>
      <c r="H699" s="5">
        <f t="shared" si="20"/>
        <v>-94478.67</v>
      </c>
      <c r="I699" s="9">
        <f t="shared" si="21"/>
        <v>-0.47245129615147297</v>
      </c>
      <c r="J699" s="3" t="s">
        <v>4603</v>
      </c>
    </row>
    <row r="700" spans="1:10" ht="51">
      <c r="A700" s="3" t="s">
        <v>1390</v>
      </c>
      <c r="B700" s="3" t="s">
        <v>1391</v>
      </c>
      <c r="C700" s="4">
        <v>282</v>
      </c>
      <c r="D700" s="3" t="s">
        <v>298</v>
      </c>
      <c r="E700" s="3" t="s">
        <v>9</v>
      </c>
      <c r="F700" s="5">
        <v>25545.72</v>
      </c>
      <c r="G700" s="5">
        <v>0</v>
      </c>
      <c r="H700" s="5">
        <f t="shared" si="20"/>
        <v>-25545.72</v>
      </c>
      <c r="I700" s="9">
        <f t="shared" si="21"/>
        <v>-1</v>
      </c>
      <c r="J700" s="3" t="s">
        <v>4603</v>
      </c>
    </row>
    <row r="701" spans="1:10" ht="38.25">
      <c r="A701" s="3" t="s">
        <v>1392</v>
      </c>
      <c r="B701" s="3" t="s">
        <v>1393</v>
      </c>
      <c r="C701" s="4">
        <v>143</v>
      </c>
      <c r="D701" s="3" t="s">
        <v>21</v>
      </c>
      <c r="E701" s="3" t="s">
        <v>22</v>
      </c>
      <c r="F701" s="5">
        <v>72938.36</v>
      </c>
      <c r="G701" s="5">
        <v>40499.64</v>
      </c>
      <c r="H701" s="5">
        <f t="shared" si="20"/>
        <v>-32438.720000000001</v>
      </c>
      <c r="I701" s="9">
        <f t="shared" si="21"/>
        <v>-0.44474155985958552</v>
      </c>
      <c r="J701" s="3" t="s">
        <v>4603</v>
      </c>
    </row>
    <row r="702" spans="1:10" ht="25.5">
      <c r="A702" s="3" t="s">
        <v>1394</v>
      </c>
      <c r="B702" s="3" t="s">
        <v>1395</v>
      </c>
      <c r="C702" s="4">
        <v>267</v>
      </c>
      <c r="D702" s="3" t="s">
        <v>417</v>
      </c>
      <c r="E702" s="3" t="s">
        <v>13</v>
      </c>
      <c r="F702" s="5">
        <v>12352.08</v>
      </c>
      <c r="G702" s="5">
        <v>27463.89</v>
      </c>
      <c r="H702" s="5">
        <f t="shared" si="20"/>
        <v>15111.81</v>
      </c>
      <c r="I702" s="9">
        <f t="shared" si="21"/>
        <v>1.2234222900110749</v>
      </c>
      <c r="J702" s="3" t="s">
        <v>4603</v>
      </c>
    </row>
    <row r="703" spans="1:10" ht="38.25">
      <c r="A703" s="3" t="s">
        <v>1396</v>
      </c>
      <c r="B703" s="3" t="s">
        <v>1397</v>
      </c>
      <c r="C703" s="4">
        <v>45</v>
      </c>
      <c r="D703" s="3" t="s">
        <v>16</v>
      </c>
      <c r="E703" s="3" t="s">
        <v>8</v>
      </c>
      <c r="F703" s="5">
        <v>0</v>
      </c>
      <c r="G703" s="5">
        <v>27891.96</v>
      </c>
      <c r="H703" s="5">
        <f t="shared" si="20"/>
        <v>27891.96</v>
      </c>
      <c r="I703" s="9">
        <f t="shared" si="21"/>
        <v>0</v>
      </c>
      <c r="J703" s="3" t="s">
        <v>4603</v>
      </c>
    </row>
    <row r="704" spans="1:10" ht="25.5">
      <c r="A704" s="3" t="s">
        <v>1398</v>
      </c>
      <c r="B704" s="3" t="s">
        <v>1399</v>
      </c>
      <c r="C704" s="4">
        <v>328</v>
      </c>
      <c r="D704" s="3" t="s">
        <v>158</v>
      </c>
      <c r="E704" s="3" t="s">
        <v>22</v>
      </c>
      <c r="F704" s="5">
        <v>9464.0499999999993</v>
      </c>
      <c r="G704" s="5">
        <v>0</v>
      </c>
      <c r="H704" s="5">
        <f t="shared" si="20"/>
        <v>-9464.0499999999993</v>
      </c>
      <c r="I704" s="9">
        <f t="shared" si="21"/>
        <v>-1</v>
      </c>
      <c r="J704" s="3" t="s">
        <v>4603</v>
      </c>
    </row>
    <row r="705" spans="1:10">
      <c r="A705" s="3" t="s">
        <v>1400</v>
      </c>
      <c r="B705" s="3" t="s">
        <v>1401</v>
      </c>
      <c r="C705" s="4">
        <v>232</v>
      </c>
      <c r="D705" s="3" t="s">
        <v>95</v>
      </c>
      <c r="E705" s="3" t="s">
        <v>13</v>
      </c>
      <c r="F705" s="5">
        <v>5806.68</v>
      </c>
      <c r="G705" s="5">
        <v>14526.236999999999</v>
      </c>
      <c r="H705" s="5">
        <f t="shared" si="20"/>
        <v>8719.5569999999989</v>
      </c>
      <c r="I705" s="9">
        <f t="shared" si="21"/>
        <v>1.5016424187315298</v>
      </c>
      <c r="J705" s="3" t="s">
        <v>4603</v>
      </c>
    </row>
    <row r="706" spans="1:10" ht="25.5">
      <c r="A706" s="3" t="s">
        <v>1400</v>
      </c>
      <c r="B706" s="3" t="s">
        <v>1401</v>
      </c>
      <c r="C706" s="4">
        <v>317</v>
      </c>
      <c r="D706" s="3" t="s">
        <v>54</v>
      </c>
      <c r="E706" s="3" t="s">
        <v>18</v>
      </c>
      <c r="F706" s="5">
        <v>5806.68</v>
      </c>
      <c r="G706" s="5">
        <v>14526.236999999999</v>
      </c>
      <c r="H706" s="5">
        <f t="shared" si="20"/>
        <v>8719.5569999999989</v>
      </c>
      <c r="I706" s="9">
        <f t="shared" si="21"/>
        <v>1.5016424187315298</v>
      </c>
      <c r="J706" s="3" t="s">
        <v>4603</v>
      </c>
    </row>
    <row r="707" spans="1:10" ht="25.5">
      <c r="A707" s="3" t="s">
        <v>1400</v>
      </c>
      <c r="B707" s="3" t="s">
        <v>1401</v>
      </c>
      <c r="C707" s="4">
        <v>53</v>
      </c>
      <c r="D707" s="3" t="s">
        <v>340</v>
      </c>
      <c r="E707" s="3" t="s">
        <v>13</v>
      </c>
      <c r="F707" s="5">
        <v>5806.68</v>
      </c>
      <c r="G707" s="5">
        <v>14526.236999999999</v>
      </c>
      <c r="H707" s="5">
        <f t="shared" ref="H707:H770" si="22">G707-F707</f>
        <v>8719.5569999999989</v>
      </c>
      <c r="I707" s="9">
        <f t="shared" ref="I707:I770" si="23">IFERROR(G707/F707-1,0)</f>
        <v>1.5016424187315298</v>
      </c>
      <c r="J707" s="3" t="s">
        <v>4603</v>
      </c>
    </row>
    <row r="708" spans="1:10" ht="25.5">
      <c r="A708" s="3" t="s">
        <v>1402</v>
      </c>
      <c r="B708" s="3" t="s">
        <v>1403</v>
      </c>
      <c r="C708" s="4">
        <v>197</v>
      </c>
      <c r="D708" s="3" t="s">
        <v>23</v>
      </c>
      <c r="E708" s="3" t="s">
        <v>22</v>
      </c>
      <c r="F708" s="5">
        <v>39251.64</v>
      </c>
      <c r="G708" s="5">
        <v>0</v>
      </c>
      <c r="H708" s="5">
        <f t="shared" si="22"/>
        <v>-39251.64</v>
      </c>
      <c r="I708" s="9">
        <f t="shared" si="23"/>
        <v>-1</v>
      </c>
      <c r="J708" s="3" t="s">
        <v>4603</v>
      </c>
    </row>
    <row r="709" spans="1:10" ht="25.5">
      <c r="A709" s="3" t="s">
        <v>1404</v>
      </c>
      <c r="B709" s="3" t="s">
        <v>1405</v>
      </c>
      <c r="C709" s="4">
        <v>197</v>
      </c>
      <c r="D709" s="3" t="s">
        <v>23</v>
      </c>
      <c r="E709" s="3" t="s">
        <v>22</v>
      </c>
      <c r="F709" s="5">
        <v>8925.0499999999993</v>
      </c>
      <c r="G709" s="5">
        <v>3861.3</v>
      </c>
      <c r="H709" s="5">
        <f t="shared" si="22"/>
        <v>-5063.7499999999991</v>
      </c>
      <c r="I709" s="9">
        <f t="shared" si="23"/>
        <v>-0.56736376827020574</v>
      </c>
      <c r="J709" s="3" t="s">
        <v>4603</v>
      </c>
    </row>
    <row r="710" spans="1:10" ht="25.5">
      <c r="A710" s="3" t="s">
        <v>1406</v>
      </c>
      <c r="B710" s="3" t="s">
        <v>1407</v>
      </c>
      <c r="C710" s="4">
        <v>261</v>
      </c>
      <c r="D710" s="3" t="s">
        <v>17</v>
      </c>
      <c r="E710" s="3" t="s">
        <v>18</v>
      </c>
      <c r="F710" s="5">
        <v>18285</v>
      </c>
      <c r="G710" s="5">
        <v>2649.9</v>
      </c>
      <c r="H710" s="5">
        <f t="shared" si="22"/>
        <v>-15635.1</v>
      </c>
      <c r="I710" s="9">
        <f t="shared" si="23"/>
        <v>-0.85507793273174737</v>
      </c>
      <c r="J710" s="3" t="s">
        <v>4603</v>
      </c>
    </row>
    <row r="711" spans="1:10" ht="25.5">
      <c r="A711" s="3" t="s">
        <v>1408</v>
      </c>
      <c r="B711" s="3" t="s">
        <v>1409</v>
      </c>
      <c r="C711" s="4">
        <v>19</v>
      </c>
      <c r="D711" s="3" t="s">
        <v>53</v>
      </c>
      <c r="E711" s="3" t="s">
        <v>22</v>
      </c>
      <c r="F711" s="5">
        <v>0</v>
      </c>
      <c r="G711" s="5">
        <v>44422.080000000002</v>
      </c>
      <c r="H711" s="5">
        <f t="shared" si="22"/>
        <v>44422.080000000002</v>
      </c>
      <c r="I711" s="9">
        <f t="shared" si="23"/>
        <v>0</v>
      </c>
      <c r="J711" s="3" t="s">
        <v>4603</v>
      </c>
    </row>
    <row r="712" spans="1:10" ht="51">
      <c r="A712" s="3" t="s">
        <v>1410</v>
      </c>
      <c r="B712" s="3" t="s">
        <v>1411</v>
      </c>
      <c r="C712" s="4">
        <v>282</v>
      </c>
      <c r="D712" s="3" t="s">
        <v>298</v>
      </c>
      <c r="E712" s="3" t="s">
        <v>9</v>
      </c>
      <c r="F712" s="5">
        <v>8028.45</v>
      </c>
      <c r="G712" s="5">
        <v>0</v>
      </c>
      <c r="H712" s="5">
        <f t="shared" si="22"/>
        <v>-8028.45</v>
      </c>
      <c r="I712" s="9">
        <f t="shared" si="23"/>
        <v>-1</v>
      </c>
      <c r="J712" s="3" t="s">
        <v>4603</v>
      </c>
    </row>
    <row r="713" spans="1:10" ht="25.5">
      <c r="A713" s="3" t="s">
        <v>1412</v>
      </c>
      <c r="B713" s="3" t="s">
        <v>1413</v>
      </c>
      <c r="C713" s="4">
        <v>197</v>
      </c>
      <c r="D713" s="3" t="s">
        <v>23</v>
      </c>
      <c r="E713" s="3" t="s">
        <v>22</v>
      </c>
      <c r="F713" s="5">
        <v>5085.8999999999996</v>
      </c>
      <c r="G713" s="5">
        <v>0</v>
      </c>
      <c r="H713" s="5">
        <f t="shared" si="22"/>
        <v>-5085.8999999999996</v>
      </c>
      <c r="I713" s="9">
        <f t="shared" si="23"/>
        <v>-1</v>
      </c>
      <c r="J713" s="3" t="s">
        <v>4603</v>
      </c>
    </row>
    <row r="714" spans="1:10" ht="25.5">
      <c r="A714" s="3" t="s">
        <v>1414</v>
      </c>
      <c r="B714" s="3" t="s">
        <v>1415</v>
      </c>
      <c r="C714" s="4">
        <v>261</v>
      </c>
      <c r="D714" s="3" t="s">
        <v>17</v>
      </c>
      <c r="E714" s="3" t="s">
        <v>18</v>
      </c>
      <c r="F714" s="5">
        <v>26107.68</v>
      </c>
      <c r="G714" s="5">
        <v>0</v>
      </c>
      <c r="H714" s="5">
        <f t="shared" si="22"/>
        <v>-26107.68</v>
      </c>
      <c r="I714" s="9">
        <f t="shared" si="23"/>
        <v>-1</v>
      </c>
      <c r="J714" s="3" t="s">
        <v>4603</v>
      </c>
    </row>
    <row r="715" spans="1:10" ht="25.5">
      <c r="A715" s="3" t="s">
        <v>1416</v>
      </c>
      <c r="B715" s="3" t="s">
        <v>1417</v>
      </c>
      <c r="C715" s="4">
        <v>328</v>
      </c>
      <c r="D715" s="3" t="s">
        <v>158</v>
      </c>
      <c r="E715" s="3" t="s">
        <v>22</v>
      </c>
      <c r="F715" s="5">
        <v>8831.52</v>
      </c>
      <c r="G715" s="5">
        <v>0</v>
      </c>
      <c r="H715" s="5">
        <f t="shared" si="22"/>
        <v>-8831.52</v>
      </c>
      <c r="I715" s="9">
        <f t="shared" si="23"/>
        <v>-1</v>
      </c>
      <c r="J715" s="3" t="s">
        <v>4603</v>
      </c>
    </row>
    <row r="716" spans="1:10" ht="38.25">
      <c r="A716" s="3" t="s">
        <v>1418</v>
      </c>
      <c r="B716" s="3" t="s">
        <v>1419</v>
      </c>
      <c r="C716" s="4">
        <v>34</v>
      </c>
      <c r="D716" s="3" t="s">
        <v>136</v>
      </c>
      <c r="E716" s="3" t="s">
        <v>30</v>
      </c>
      <c r="F716" s="5">
        <v>97450.62</v>
      </c>
      <c r="G716" s="5">
        <v>78851.14</v>
      </c>
      <c r="H716" s="5">
        <f t="shared" si="22"/>
        <v>-18599.479999999996</v>
      </c>
      <c r="I716" s="9">
        <f t="shared" si="23"/>
        <v>-0.19086056096923754</v>
      </c>
      <c r="J716" s="3" t="s">
        <v>4603</v>
      </c>
    </row>
    <row r="717" spans="1:10" ht="25.5">
      <c r="A717" s="3" t="s">
        <v>1420</v>
      </c>
      <c r="B717" s="3" t="s">
        <v>1421</v>
      </c>
      <c r="C717" s="4">
        <v>266</v>
      </c>
      <c r="D717" s="3" t="s">
        <v>111</v>
      </c>
      <c r="E717" s="3" t="s">
        <v>18</v>
      </c>
      <c r="F717" s="5">
        <v>0</v>
      </c>
      <c r="G717" s="5">
        <v>14742.75</v>
      </c>
      <c r="H717" s="5">
        <f t="shared" si="22"/>
        <v>14742.75</v>
      </c>
      <c r="I717" s="9">
        <f t="shared" si="23"/>
        <v>0</v>
      </c>
      <c r="J717" s="3" t="s">
        <v>4603</v>
      </c>
    </row>
    <row r="718" spans="1:10" ht="25.5">
      <c r="A718" s="3" t="s">
        <v>1422</v>
      </c>
      <c r="B718" s="3" t="s">
        <v>1423</v>
      </c>
      <c r="C718" s="4">
        <v>39</v>
      </c>
      <c r="D718" s="3" t="s">
        <v>26</v>
      </c>
      <c r="E718" s="3" t="s">
        <v>9</v>
      </c>
      <c r="F718" s="5">
        <v>6000</v>
      </c>
      <c r="G718" s="5">
        <v>0</v>
      </c>
      <c r="H718" s="5">
        <f t="shared" si="22"/>
        <v>-6000</v>
      </c>
      <c r="I718" s="9">
        <f t="shared" si="23"/>
        <v>-1</v>
      </c>
      <c r="J718" s="3" t="s">
        <v>4603</v>
      </c>
    </row>
    <row r="719" spans="1:10" ht="25.5">
      <c r="A719" s="3" t="s">
        <v>1424</v>
      </c>
      <c r="B719" s="3" t="s">
        <v>1425</v>
      </c>
      <c r="C719" s="4">
        <v>337</v>
      </c>
      <c r="D719" s="3" t="s">
        <v>218</v>
      </c>
      <c r="E719" s="3" t="s">
        <v>13</v>
      </c>
      <c r="F719" s="5">
        <v>0</v>
      </c>
      <c r="G719" s="5">
        <v>9127.68</v>
      </c>
      <c r="H719" s="5">
        <f t="shared" si="22"/>
        <v>9127.68</v>
      </c>
      <c r="I719" s="9">
        <f t="shared" si="23"/>
        <v>0</v>
      </c>
      <c r="J719" s="3" t="s">
        <v>4603</v>
      </c>
    </row>
    <row r="720" spans="1:10" ht="25.5">
      <c r="A720" s="3" t="s">
        <v>1426</v>
      </c>
      <c r="B720" s="3" t="s">
        <v>1427</v>
      </c>
      <c r="C720" s="4">
        <v>23</v>
      </c>
      <c r="D720" s="3" t="s">
        <v>71</v>
      </c>
      <c r="E720" s="3" t="s">
        <v>8</v>
      </c>
      <c r="F720" s="5">
        <v>89782.14</v>
      </c>
      <c r="G720" s="5">
        <v>55777.32</v>
      </c>
      <c r="H720" s="5">
        <f t="shared" si="22"/>
        <v>-34004.82</v>
      </c>
      <c r="I720" s="9">
        <f t="shared" si="23"/>
        <v>-0.37874815637052095</v>
      </c>
      <c r="J720" s="3" t="s">
        <v>4603</v>
      </c>
    </row>
    <row r="721" spans="1:10" ht="25.5">
      <c r="A721" s="3" t="s">
        <v>1428</v>
      </c>
      <c r="B721" s="3" t="s">
        <v>1429</v>
      </c>
      <c r="C721" s="4">
        <v>53</v>
      </c>
      <c r="D721" s="3" t="s">
        <v>340</v>
      </c>
      <c r="E721" s="3" t="s">
        <v>13</v>
      </c>
      <c r="F721" s="5">
        <v>5323.92</v>
      </c>
      <c r="G721" s="5">
        <v>10032.120000000001</v>
      </c>
      <c r="H721" s="5">
        <f t="shared" si="22"/>
        <v>4708.2000000000007</v>
      </c>
      <c r="I721" s="9">
        <f t="shared" si="23"/>
        <v>0.88434837488166629</v>
      </c>
      <c r="J721" s="3" t="s">
        <v>4603</v>
      </c>
    </row>
    <row r="722" spans="1:10">
      <c r="A722" s="3" t="s">
        <v>1430</v>
      </c>
      <c r="B722" s="3" t="s">
        <v>1431</v>
      </c>
      <c r="C722" s="4">
        <v>15</v>
      </c>
      <c r="D722" s="3" t="s">
        <v>33</v>
      </c>
      <c r="E722" s="3" t="s">
        <v>13</v>
      </c>
      <c r="F722" s="5">
        <v>309391.86</v>
      </c>
      <c r="G722" s="5">
        <v>0</v>
      </c>
      <c r="H722" s="5">
        <f t="shared" si="22"/>
        <v>-309391.86</v>
      </c>
      <c r="I722" s="9">
        <f t="shared" si="23"/>
        <v>-1</v>
      </c>
      <c r="J722" s="3" t="s">
        <v>4604</v>
      </c>
    </row>
    <row r="723" spans="1:10" ht="25.5">
      <c r="A723" s="3" t="s">
        <v>1432</v>
      </c>
      <c r="B723" s="3" t="s">
        <v>1433</v>
      </c>
      <c r="C723" s="4">
        <v>317</v>
      </c>
      <c r="D723" s="3" t="s">
        <v>54</v>
      </c>
      <c r="E723" s="3" t="s">
        <v>18</v>
      </c>
      <c r="F723" s="5">
        <v>20838.54</v>
      </c>
      <c r="G723" s="5">
        <v>6565.86</v>
      </c>
      <c r="H723" s="5">
        <f t="shared" si="22"/>
        <v>-14272.68</v>
      </c>
      <c r="I723" s="9">
        <f t="shared" si="23"/>
        <v>-0.68491746542704046</v>
      </c>
      <c r="J723" s="3" t="s">
        <v>4603</v>
      </c>
    </row>
    <row r="724" spans="1:10" ht="38.25">
      <c r="A724" s="3" t="s">
        <v>1434</v>
      </c>
      <c r="B724" s="3" t="s">
        <v>1435</v>
      </c>
      <c r="C724" s="4">
        <v>371</v>
      </c>
      <c r="D724" s="3" t="s">
        <v>29</v>
      </c>
      <c r="E724" s="3" t="s">
        <v>30</v>
      </c>
      <c r="F724" s="5">
        <v>0</v>
      </c>
      <c r="G724" s="5">
        <v>30227.85</v>
      </c>
      <c r="H724" s="5">
        <f t="shared" si="22"/>
        <v>30227.85</v>
      </c>
      <c r="I724" s="9">
        <f t="shared" si="23"/>
        <v>0</v>
      </c>
      <c r="J724" s="3" t="s">
        <v>4603</v>
      </c>
    </row>
    <row r="725" spans="1:10">
      <c r="A725" s="3" t="s">
        <v>1436</v>
      </c>
      <c r="B725" s="3" t="s">
        <v>1437</v>
      </c>
      <c r="C725" s="4">
        <v>15</v>
      </c>
      <c r="D725" s="3" t="s">
        <v>33</v>
      </c>
      <c r="E725" s="3" t="s">
        <v>13</v>
      </c>
      <c r="F725" s="5">
        <v>10768.8</v>
      </c>
      <c r="G725" s="5">
        <v>0</v>
      </c>
      <c r="H725" s="5">
        <f t="shared" si="22"/>
        <v>-10768.8</v>
      </c>
      <c r="I725" s="9">
        <f t="shared" si="23"/>
        <v>-1</v>
      </c>
      <c r="J725" s="3" t="s">
        <v>4603</v>
      </c>
    </row>
    <row r="726" spans="1:10" ht="25.5">
      <c r="A726" s="3" t="s">
        <v>1438</v>
      </c>
      <c r="B726" s="3" t="s">
        <v>1439</v>
      </c>
      <c r="C726" s="4">
        <v>261</v>
      </c>
      <c r="D726" s="3" t="s">
        <v>17</v>
      </c>
      <c r="E726" s="3" t="s">
        <v>18</v>
      </c>
      <c r="F726" s="5">
        <v>20903.52</v>
      </c>
      <c r="G726" s="5">
        <v>0</v>
      </c>
      <c r="H726" s="5">
        <f t="shared" si="22"/>
        <v>-20903.52</v>
      </c>
      <c r="I726" s="9">
        <f t="shared" si="23"/>
        <v>-1</v>
      </c>
      <c r="J726" s="3" t="s">
        <v>4603</v>
      </c>
    </row>
    <row r="727" spans="1:10" ht="25.5">
      <c r="A727" s="3" t="s">
        <v>1440</v>
      </c>
      <c r="B727" s="3" t="s">
        <v>1441</v>
      </c>
      <c r="C727" s="4">
        <v>335</v>
      </c>
      <c r="D727" s="3" t="s">
        <v>7</v>
      </c>
      <c r="E727" s="3" t="s">
        <v>8</v>
      </c>
      <c r="F727" s="5">
        <v>44950.2</v>
      </c>
      <c r="G727" s="5">
        <v>59158.639000000003</v>
      </c>
      <c r="H727" s="5">
        <f t="shared" si="22"/>
        <v>14208.439000000006</v>
      </c>
      <c r="I727" s="9">
        <f t="shared" si="23"/>
        <v>0.31609289836307752</v>
      </c>
      <c r="J727" s="3" t="s">
        <v>4603</v>
      </c>
    </row>
    <row r="728" spans="1:10" ht="25.5">
      <c r="A728" s="3" t="s">
        <v>1442</v>
      </c>
      <c r="B728" s="3" t="s">
        <v>1443</v>
      </c>
      <c r="C728" s="4">
        <v>328</v>
      </c>
      <c r="D728" s="3" t="s">
        <v>158</v>
      </c>
      <c r="E728" s="3" t="s">
        <v>22</v>
      </c>
      <c r="F728" s="5">
        <v>687856.98</v>
      </c>
      <c r="G728" s="5">
        <v>43106.784</v>
      </c>
      <c r="H728" s="5">
        <f t="shared" si="22"/>
        <v>-644750.196</v>
      </c>
      <c r="I728" s="9">
        <f t="shared" si="23"/>
        <v>-0.93733176335580692</v>
      </c>
      <c r="J728" s="3" t="s">
        <v>4603</v>
      </c>
    </row>
    <row r="729" spans="1:10" ht="25.5">
      <c r="A729" s="3" t="s">
        <v>1444</v>
      </c>
      <c r="B729" s="3" t="s">
        <v>1445</v>
      </c>
      <c r="C729" s="4">
        <v>41</v>
      </c>
      <c r="D729" s="3" t="s">
        <v>106</v>
      </c>
      <c r="E729" s="3" t="s">
        <v>22</v>
      </c>
      <c r="F729" s="5">
        <v>5063.16</v>
      </c>
      <c r="G729" s="5">
        <v>7390.5</v>
      </c>
      <c r="H729" s="5">
        <f t="shared" si="22"/>
        <v>2327.34</v>
      </c>
      <c r="I729" s="9">
        <f t="shared" si="23"/>
        <v>0.45966155523428065</v>
      </c>
      <c r="J729" s="3" t="s">
        <v>4603</v>
      </c>
    </row>
    <row r="730" spans="1:10" ht="25.5">
      <c r="A730" s="3" t="s">
        <v>1446</v>
      </c>
      <c r="B730" s="3" t="s">
        <v>1447</v>
      </c>
      <c r="C730" s="4">
        <v>19</v>
      </c>
      <c r="D730" s="3" t="s">
        <v>53</v>
      </c>
      <c r="E730" s="3" t="s">
        <v>22</v>
      </c>
      <c r="F730" s="5">
        <v>16950.150000000001</v>
      </c>
      <c r="G730" s="5">
        <v>27896.22</v>
      </c>
      <c r="H730" s="5">
        <f t="shared" si="22"/>
        <v>10946.07</v>
      </c>
      <c r="I730" s="9">
        <f t="shared" si="23"/>
        <v>0.64578012583959432</v>
      </c>
      <c r="J730" s="3" t="s">
        <v>4603</v>
      </c>
    </row>
    <row r="731" spans="1:10" ht="25.5">
      <c r="A731" s="3" t="s">
        <v>1448</v>
      </c>
      <c r="B731" s="3" t="s">
        <v>1449</v>
      </c>
      <c r="C731" s="4">
        <v>197</v>
      </c>
      <c r="D731" s="3" t="s">
        <v>23</v>
      </c>
      <c r="E731" s="3" t="s">
        <v>22</v>
      </c>
      <c r="F731" s="5">
        <v>12990.33</v>
      </c>
      <c r="G731" s="5">
        <v>17900.04</v>
      </c>
      <c r="H731" s="5">
        <f t="shared" si="22"/>
        <v>4909.7100000000009</v>
      </c>
      <c r="I731" s="9">
        <f t="shared" si="23"/>
        <v>0.37795113749997111</v>
      </c>
      <c r="J731" s="3" t="s">
        <v>4603</v>
      </c>
    </row>
    <row r="732" spans="1:10" ht="38.25">
      <c r="A732" s="3" t="s">
        <v>1448</v>
      </c>
      <c r="B732" s="3" t="s">
        <v>1449</v>
      </c>
      <c r="C732" s="4">
        <v>34</v>
      </c>
      <c r="D732" s="3" t="s">
        <v>136</v>
      </c>
      <c r="E732" s="3" t="s">
        <v>30</v>
      </c>
      <c r="F732" s="5">
        <v>12990.33</v>
      </c>
      <c r="G732" s="5">
        <v>17900.04</v>
      </c>
      <c r="H732" s="5">
        <f t="shared" si="22"/>
        <v>4909.7100000000009</v>
      </c>
      <c r="I732" s="9">
        <f t="shared" si="23"/>
        <v>0.37795113749997111</v>
      </c>
      <c r="J732" s="3" t="s">
        <v>4603</v>
      </c>
    </row>
    <row r="733" spans="1:10" ht="25.5">
      <c r="A733" s="3" t="s">
        <v>1450</v>
      </c>
      <c r="B733" s="3" t="s">
        <v>1451</v>
      </c>
      <c r="C733" s="4">
        <v>197</v>
      </c>
      <c r="D733" s="3" t="s">
        <v>23</v>
      </c>
      <c r="E733" s="3" t="s">
        <v>22</v>
      </c>
      <c r="F733" s="5">
        <v>3434.22</v>
      </c>
      <c r="G733" s="5">
        <v>0</v>
      </c>
      <c r="H733" s="5">
        <f t="shared" si="22"/>
        <v>-3434.22</v>
      </c>
      <c r="I733" s="9">
        <f t="shared" si="23"/>
        <v>-1</v>
      </c>
      <c r="J733" s="3" t="s">
        <v>4603</v>
      </c>
    </row>
    <row r="734" spans="1:10" ht="25.5">
      <c r="A734" s="3" t="s">
        <v>1452</v>
      </c>
      <c r="B734" s="3" t="s">
        <v>1453</v>
      </c>
      <c r="C734" s="4">
        <v>19</v>
      </c>
      <c r="D734" s="3" t="s">
        <v>53</v>
      </c>
      <c r="E734" s="3" t="s">
        <v>22</v>
      </c>
      <c r="F734" s="5">
        <v>13552.56</v>
      </c>
      <c r="G734" s="5">
        <v>4476.12</v>
      </c>
      <c r="H734" s="5">
        <f t="shared" si="22"/>
        <v>-9076.4399999999987</v>
      </c>
      <c r="I734" s="9">
        <f t="shared" si="23"/>
        <v>-0.66972144008216894</v>
      </c>
      <c r="J734" s="3" t="s">
        <v>4603</v>
      </c>
    </row>
    <row r="735" spans="1:10" ht="25.5">
      <c r="A735" s="3" t="s">
        <v>1454</v>
      </c>
      <c r="B735" s="3" t="s">
        <v>1455</v>
      </c>
      <c r="C735" s="4">
        <v>321</v>
      </c>
      <c r="D735" s="3" t="s">
        <v>125</v>
      </c>
      <c r="E735" s="3" t="s">
        <v>22</v>
      </c>
      <c r="F735" s="5">
        <v>36994.85</v>
      </c>
      <c r="G735" s="5">
        <v>0</v>
      </c>
      <c r="H735" s="5">
        <f t="shared" si="22"/>
        <v>-36994.85</v>
      </c>
      <c r="I735" s="9">
        <f t="shared" si="23"/>
        <v>-1</v>
      </c>
      <c r="J735" s="3" t="s">
        <v>4603</v>
      </c>
    </row>
    <row r="736" spans="1:10" ht="25.5">
      <c r="A736" s="3" t="s">
        <v>1456</v>
      </c>
      <c r="B736" s="3" t="s">
        <v>1457</v>
      </c>
      <c r="C736" s="4">
        <v>41</v>
      </c>
      <c r="D736" s="3" t="s">
        <v>106</v>
      </c>
      <c r="E736" s="3" t="s">
        <v>22</v>
      </c>
      <c r="F736" s="5">
        <v>2519.64</v>
      </c>
      <c r="G736" s="5">
        <v>0</v>
      </c>
      <c r="H736" s="5">
        <f t="shared" si="22"/>
        <v>-2519.64</v>
      </c>
      <c r="I736" s="9">
        <f t="shared" si="23"/>
        <v>-1</v>
      </c>
      <c r="J736" s="3" t="s">
        <v>4603</v>
      </c>
    </row>
    <row r="737" spans="1:10" ht="25.5">
      <c r="A737" s="3" t="s">
        <v>1458</v>
      </c>
      <c r="B737" s="3" t="s">
        <v>1459</v>
      </c>
      <c r="C737" s="4">
        <v>53</v>
      </c>
      <c r="D737" s="3" t="s">
        <v>340</v>
      </c>
      <c r="E737" s="3" t="s">
        <v>13</v>
      </c>
      <c r="F737" s="5">
        <v>75941.789999999994</v>
      </c>
      <c r="G737" s="5">
        <v>52236.24</v>
      </c>
      <c r="H737" s="5">
        <f t="shared" si="22"/>
        <v>-23705.549999999996</v>
      </c>
      <c r="I737" s="9">
        <f t="shared" si="23"/>
        <v>-0.31215421706546553</v>
      </c>
      <c r="J737" s="3" t="s">
        <v>4603</v>
      </c>
    </row>
    <row r="738" spans="1:10" ht="25.5">
      <c r="A738" s="3" t="s">
        <v>1460</v>
      </c>
      <c r="B738" s="3" t="s">
        <v>1461</v>
      </c>
      <c r="C738" s="4">
        <v>315</v>
      </c>
      <c r="D738" s="3" t="s">
        <v>79</v>
      </c>
      <c r="E738" s="3" t="s">
        <v>8</v>
      </c>
      <c r="F738" s="5">
        <v>9122.61</v>
      </c>
      <c r="G738" s="5">
        <v>4639.5770000000002</v>
      </c>
      <c r="H738" s="5">
        <f t="shared" si="22"/>
        <v>-4483.0330000000004</v>
      </c>
      <c r="I738" s="9">
        <f t="shared" si="23"/>
        <v>-0.49141999932036995</v>
      </c>
      <c r="J738" s="3" t="s">
        <v>4603</v>
      </c>
    </row>
    <row r="739" spans="1:10" ht="25.5">
      <c r="A739" s="3" t="s">
        <v>1462</v>
      </c>
      <c r="B739" s="3" t="s">
        <v>1463</v>
      </c>
      <c r="C739" s="4">
        <v>93</v>
      </c>
      <c r="D739" s="3" t="s">
        <v>42</v>
      </c>
      <c r="E739" s="3" t="s">
        <v>8</v>
      </c>
      <c r="F739" s="5">
        <v>27435.599999999999</v>
      </c>
      <c r="G739" s="5">
        <v>0</v>
      </c>
      <c r="H739" s="5">
        <f t="shared" si="22"/>
        <v>-27435.599999999999</v>
      </c>
      <c r="I739" s="9">
        <f t="shared" si="23"/>
        <v>-1</v>
      </c>
      <c r="J739" s="3" t="s">
        <v>4603</v>
      </c>
    </row>
    <row r="740" spans="1:10" ht="25.5">
      <c r="A740" s="3" t="s">
        <v>1464</v>
      </c>
      <c r="B740" s="3" t="s">
        <v>164</v>
      </c>
      <c r="C740" s="4">
        <v>328</v>
      </c>
      <c r="D740" s="3" t="s">
        <v>158</v>
      </c>
      <c r="E740" s="3" t="s">
        <v>22</v>
      </c>
      <c r="F740" s="5">
        <v>16675.919999999998</v>
      </c>
      <c r="G740" s="5">
        <v>22354.59</v>
      </c>
      <c r="H740" s="5">
        <f t="shared" si="22"/>
        <v>5678.6700000000019</v>
      </c>
      <c r="I740" s="9">
        <f t="shared" si="23"/>
        <v>0.34053113711267513</v>
      </c>
      <c r="J740" s="3" t="s">
        <v>4603</v>
      </c>
    </row>
    <row r="741" spans="1:10">
      <c r="A741" s="3" t="s">
        <v>1465</v>
      </c>
      <c r="B741" s="3" t="s">
        <v>1466</v>
      </c>
      <c r="C741" s="4">
        <v>315</v>
      </c>
      <c r="D741" s="3" t="s">
        <v>79</v>
      </c>
      <c r="E741" s="3" t="s">
        <v>8</v>
      </c>
      <c r="F741" s="5">
        <v>22235.18</v>
      </c>
      <c r="G741" s="5">
        <v>11294.394</v>
      </c>
      <c r="H741" s="5">
        <f t="shared" si="22"/>
        <v>-10940.786</v>
      </c>
      <c r="I741" s="9">
        <f t="shared" si="23"/>
        <v>-0.49204845654498863</v>
      </c>
      <c r="J741" s="3" t="s">
        <v>4603</v>
      </c>
    </row>
    <row r="742" spans="1:10">
      <c r="A742" s="3" t="s">
        <v>1467</v>
      </c>
      <c r="B742" s="3" t="s">
        <v>1468</v>
      </c>
      <c r="C742" s="4">
        <v>315</v>
      </c>
      <c r="D742" s="3" t="s">
        <v>79</v>
      </c>
      <c r="E742" s="3" t="s">
        <v>8</v>
      </c>
      <c r="F742" s="5">
        <v>5918.13</v>
      </c>
      <c r="G742" s="5">
        <v>9269.33</v>
      </c>
      <c r="H742" s="5">
        <f t="shared" si="22"/>
        <v>3351.2</v>
      </c>
      <c r="I742" s="9">
        <f t="shared" si="23"/>
        <v>0.56625995035594001</v>
      </c>
      <c r="J742" s="3" t="s">
        <v>4603</v>
      </c>
    </row>
    <row r="743" spans="1:10">
      <c r="A743" s="3" t="s">
        <v>1469</v>
      </c>
      <c r="B743" s="3" t="s">
        <v>1470</v>
      </c>
      <c r="C743" s="4">
        <v>315</v>
      </c>
      <c r="D743" s="3" t="s">
        <v>79</v>
      </c>
      <c r="E743" s="3" t="s">
        <v>8</v>
      </c>
      <c r="F743" s="5">
        <v>58302.720000000001</v>
      </c>
      <c r="G743" s="5">
        <v>76639.728000000003</v>
      </c>
      <c r="H743" s="5">
        <f t="shared" si="22"/>
        <v>18337.008000000002</v>
      </c>
      <c r="I743" s="9">
        <f t="shared" si="23"/>
        <v>0.31451376539550813</v>
      </c>
      <c r="J743" s="3" t="s">
        <v>4603</v>
      </c>
    </row>
    <row r="744" spans="1:10">
      <c r="A744" s="3" t="s">
        <v>1471</v>
      </c>
      <c r="B744" s="3" t="s">
        <v>1472</v>
      </c>
      <c r="C744" s="4">
        <v>167</v>
      </c>
      <c r="D744" s="3" t="s">
        <v>335</v>
      </c>
      <c r="E744" s="3" t="s">
        <v>30</v>
      </c>
      <c r="F744" s="5">
        <v>137344.44</v>
      </c>
      <c r="G744" s="5">
        <v>0</v>
      </c>
      <c r="H744" s="5">
        <f t="shared" si="22"/>
        <v>-137344.44</v>
      </c>
      <c r="I744" s="9">
        <f t="shared" si="23"/>
        <v>-1</v>
      </c>
      <c r="J744" s="3" t="s">
        <v>4604</v>
      </c>
    </row>
    <row r="745" spans="1:10">
      <c r="A745" s="3" t="s">
        <v>1473</v>
      </c>
      <c r="B745" s="3" t="s">
        <v>1474</v>
      </c>
      <c r="C745" s="4">
        <v>315</v>
      </c>
      <c r="D745" s="3" t="s">
        <v>79</v>
      </c>
      <c r="E745" s="3" t="s">
        <v>8</v>
      </c>
      <c r="F745" s="5">
        <v>150539.70000000001</v>
      </c>
      <c r="G745" s="5">
        <v>47944.589</v>
      </c>
      <c r="H745" s="5">
        <f t="shared" si="22"/>
        <v>-102595.111</v>
      </c>
      <c r="I745" s="9">
        <f t="shared" si="23"/>
        <v>-0.68151531456486225</v>
      </c>
      <c r="J745" s="3" t="s">
        <v>4603</v>
      </c>
    </row>
    <row r="746" spans="1:10">
      <c r="A746" s="3" t="s">
        <v>1475</v>
      </c>
      <c r="B746" s="3" t="s">
        <v>1476</v>
      </c>
      <c r="C746" s="4">
        <v>315</v>
      </c>
      <c r="D746" s="3" t="s">
        <v>79</v>
      </c>
      <c r="E746" s="3" t="s">
        <v>8</v>
      </c>
      <c r="F746" s="5">
        <v>13921.95</v>
      </c>
      <c r="G746" s="5">
        <v>26269.670999999998</v>
      </c>
      <c r="H746" s="5">
        <f t="shared" si="22"/>
        <v>12347.720999999998</v>
      </c>
      <c r="I746" s="9">
        <f t="shared" si="23"/>
        <v>0.88692467650005913</v>
      </c>
      <c r="J746" s="3" t="s">
        <v>4603</v>
      </c>
    </row>
    <row r="747" spans="1:10" ht="25.5">
      <c r="A747" s="3" t="s">
        <v>1477</v>
      </c>
      <c r="B747" s="3" t="s">
        <v>1478</v>
      </c>
      <c r="C747" s="4">
        <v>299</v>
      </c>
      <c r="D747" s="3" t="s">
        <v>246</v>
      </c>
      <c r="E747" s="3" t="s">
        <v>30</v>
      </c>
      <c r="F747" s="5">
        <v>92570.34</v>
      </c>
      <c r="G747" s="5">
        <v>11029.456</v>
      </c>
      <c r="H747" s="5">
        <f t="shared" si="22"/>
        <v>-81540.883999999991</v>
      </c>
      <c r="I747" s="9">
        <f t="shared" si="23"/>
        <v>-0.88085324089767847</v>
      </c>
      <c r="J747" s="3" t="s">
        <v>4604</v>
      </c>
    </row>
    <row r="748" spans="1:10" ht="25.5">
      <c r="A748" s="3" t="s">
        <v>1479</v>
      </c>
      <c r="B748" s="3" t="s">
        <v>1480</v>
      </c>
      <c r="C748" s="4">
        <v>266</v>
      </c>
      <c r="D748" s="3" t="s">
        <v>111</v>
      </c>
      <c r="E748" s="3" t="s">
        <v>18</v>
      </c>
      <c r="F748" s="5">
        <v>9715.26</v>
      </c>
      <c r="G748" s="5">
        <v>0</v>
      </c>
      <c r="H748" s="5">
        <f t="shared" si="22"/>
        <v>-9715.26</v>
      </c>
      <c r="I748" s="9">
        <f t="shared" si="23"/>
        <v>-1</v>
      </c>
      <c r="J748" s="3" t="s">
        <v>4603</v>
      </c>
    </row>
    <row r="749" spans="1:10" ht="25.5">
      <c r="A749" s="3" t="s">
        <v>1481</v>
      </c>
      <c r="B749" s="3" t="s">
        <v>1482</v>
      </c>
      <c r="C749" s="4">
        <v>317</v>
      </c>
      <c r="D749" s="3" t="s">
        <v>54</v>
      </c>
      <c r="E749" s="3" t="s">
        <v>18</v>
      </c>
      <c r="F749" s="5">
        <v>231011.28</v>
      </c>
      <c r="G749" s="5">
        <v>158871.23000000001</v>
      </c>
      <c r="H749" s="5">
        <f t="shared" si="22"/>
        <v>-72140.049999999988</v>
      </c>
      <c r="I749" s="9">
        <f t="shared" si="23"/>
        <v>-0.31227933977942546</v>
      </c>
      <c r="J749" s="3" t="s">
        <v>4603</v>
      </c>
    </row>
    <row r="750" spans="1:10" ht="25.5">
      <c r="A750" s="3" t="s">
        <v>1483</v>
      </c>
      <c r="B750" s="3" t="s">
        <v>1484</v>
      </c>
      <c r="C750" s="4">
        <v>39</v>
      </c>
      <c r="D750" s="3" t="s">
        <v>26</v>
      </c>
      <c r="E750" s="3" t="s">
        <v>9</v>
      </c>
      <c r="F750" s="5">
        <v>26767.56</v>
      </c>
      <c r="G750" s="5">
        <v>37046.160000000003</v>
      </c>
      <c r="H750" s="5">
        <f t="shared" si="22"/>
        <v>10278.600000000002</v>
      </c>
      <c r="I750" s="9">
        <f t="shared" si="23"/>
        <v>0.38399465621819862</v>
      </c>
      <c r="J750" s="3" t="s">
        <v>4603</v>
      </c>
    </row>
    <row r="751" spans="1:10" ht="25.5">
      <c r="A751" s="3" t="s">
        <v>1485</v>
      </c>
      <c r="B751" s="3" t="s">
        <v>1486</v>
      </c>
      <c r="C751" s="4">
        <v>39</v>
      </c>
      <c r="D751" s="3" t="s">
        <v>26</v>
      </c>
      <c r="E751" s="3" t="s">
        <v>9</v>
      </c>
      <c r="F751" s="5">
        <v>99944.48</v>
      </c>
      <c r="G751" s="5">
        <v>68848.751999999993</v>
      </c>
      <c r="H751" s="5">
        <f t="shared" si="22"/>
        <v>-31095.728000000003</v>
      </c>
      <c r="I751" s="9">
        <f t="shared" si="23"/>
        <v>-0.31113001938676355</v>
      </c>
      <c r="J751" s="3" t="s">
        <v>4603</v>
      </c>
    </row>
    <row r="752" spans="1:10" ht="25.5">
      <c r="A752" s="3" t="s">
        <v>1487</v>
      </c>
      <c r="B752" s="3" t="s">
        <v>1488</v>
      </c>
      <c r="C752" s="4">
        <v>93</v>
      </c>
      <c r="D752" s="3" t="s">
        <v>42</v>
      </c>
      <c r="E752" s="3" t="s">
        <v>8</v>
      </c>
      <c r="F752" s="5">
        <v>16818.3</v>
      </c>
      <c r="G752" s="5">
        <v>6221.7</v>
      </c>
      <c r="H752" s="5">
        <f t="shared" si="22"/>
        <v>-10596.599999999999</v>
      </c>
      <c r="I752" s="9">
        <f t="shared" si="23"/>
        <v>-0.63006368063359552</v>
      </c>
      <c r="J752" s="3" t="s">
        <v>4603</v>
      </c>
    </row>
    <row r="753" spans="1:10" ht="25.5">
      <c r="A753" s="3" t="s">
        <v>1489</v>
      </c>
      <c r="B753" s="3" t="s">
        <v>1490</v>
      </c>
      <c r="C753" s="4">
        <v>93</v>
      </c>
      <c r="D753" s="3" t="s">
        <v>42</v>
      </c>
      <c r="E753" s="3" t="s">
        <v>8</v>
      </c>
      <c r="F753" s="5">
        <v>115379.49</v>
      </c>
      <c r="G753" s="5">
        <v>120879.12</v>
      </c>
      <c r="H753" s="5">
        <f t="shared" si="22"/>
        <v>5499.6299999999901</v>
      </c>
      <c r="I753" s="9">
        <f t="shared" si="23"/>
        <v>4.7665577304943696E-2</v>
      </c>
      <c r="J753" s="3" t="s">
        <v>4603</v>
      </c>
    </row>
    <row r="754" spans="1:10" ht="25.5">
      <c r="A754" s="3" t="s">
        <v>1491</v>
      </c>
      <c r="B754" s="3" t="s">
        <v>1492</v>
      </c>
      <c r="C754" s="4">
        <v>93</v>
      </c>
      <c r="D754" s="3" t="s">
        <v>42</v>
      </c>
      <c r="E754" s="3" t="s">
        <v>8</v>
      </c>
      <c r="F754" s="5">
        <v>157008</v>
      </c>
      <c r="G754" s="5">
        <v>74961.600000000006</v>
      </c>
      <c r="H754" s="5">
        <f t="shared" si="22"/>
        <v>-82046.399999999994</v>
      </c>
      <c r="I754" s="9">
        <f t="shared" si="23"/>
        <v>-0.52256190767349431</v>
      </c>
      <c r="J754" s="3" t="s">
        <v>4603</v>
      </c>
    </row>
    <row r="755" spans="1:10" ht="25.5">
      <c r="A755" s="3" t="s">
        <v>1493</v>
      </c>
      <c r="B755" s="3" t="s">
        <v>1494</v>
      </c>
      <c r="C755" s="4">
        <v>187</v>
      </c>
      <c r="D755" s="3" t="s">
        <v>460</v>
      </c>
      <c r="E755" s="3" t="s">
        <v>8</v>
      </c>
      <c r="F755" s="5">
        <v>23808.81</v>
      </c>
      <c r="G755" s="5">
        <v>13637.61</v>
      </c>
      <c r="H755" s="5">
        <f t="shared" si="22"/>
        <v>-10171.200000000001</v>
      </c>
      <c r="I755" s="9">
        <f t="shared" si="23"/>
        <v>-0.42720320755216246</v>
      </c>
      <c r="J755" s="3" t="s">
        <v>4603</v>
      </c>
    </row>
    <row r="756" spans="1:10" ht="25.5">
      <c r="A756" s="3" t="s">
        <v>1493</v>
      </c>
      <c r="B756" s="3" t="s">
        <v>1494</v>
      </c>
      <c r="C756" s="4">
        <v>74</v>
      </c>
      <c r="D756" s="3" t="s">
        <v>86</v>
      </c>
      <c r="E756" s="3" t="s">
        <v>8</v>
      </c>
      <c r="F756" s="5">
        <v>23808.81</v>
      </c>
      <c r="G756" s="5">
        <v>13637.61</v>
      </c>
      <c r="H756" s="5">
        <f t="shared" si="22"/>
        <v>-10171.200000000001</v>
      </c>
      <c r="I756" s="9">
        <f t="shared" si="23"/>
        <v>-0.42720320755216246</v>
      </c>
      <c r="J756" s="3" t="s">
        <v>4603</v>
      </c>
    </row>
    <row r="757" spans="1:10" ht="25.5">
      <c r="A757" s="3" t="s">
        <v>1495</v>
      </c>
      <c r="B757" s="3" t="s">
        <v>1496</v>
      </c>
      <c r="C757" s="4">
        <v>74</v>
      </c>
      <c r="D757" s="3" t="s">
        <v>86</v>
      </c>
      <c r="E757" s="3" t="s">
        <v>8</v>
      </c>
      <c r="F757" s="5">
        <v>82816.800000000003</v>
      </c>
      <c r="G757" s="5">
        <v>76959.240000000005</v>
      </c>
      <c r="H757" s="5">
        <f t="shared" si="22"/>
        <v>-5857.5599999999977</v>
      </c>
      <c r="I757" s="9">
        <f t="shared" si="23"/>
        <v>-7.0729127423421301E-2</v>
      </c>
      <c r="J757" s="3" t="s">
        <v>4603</v>
      </c>
    </row>
    <row r="758" spans="1:10" ht="25.5">
      <c r="A758" s="3" t="s">
        <v>1497</v>
      </c>
      <c r="B758" s="3" t="s">
        <v>1498</v>
      </c>
      <c r="C758" s="4">
        <v>74</v>
      </c>
      <c r="D758" s="3" t="s">
        <v>86</v>
      </c>
      <c r="E758" s="3" t="s">
        <v>8</v>
      </c>
      <c r="F758" s="5">
        <v>74931.69</v>
      </c>
      <c r="G758" s="5">
        <v>21171</v>
      </c>
      <c r="H758" s="5">
        <f t="shared" si="22"/>
        <v>-53760.69</v>
      </c>
      <c r="I758" s="9">
        <f t="shared" si="23"/>
        <v>-0.71746266499527778</v>
      </c>
      <c r="J758" s="3" t="s">
        <v>4603</v>
      </c>
    </row>
    <row r="759" spans="1:10" ht="25.5">
      <c r="A759" s="3" t="s">
        <v>1499</v>
      </c>
      <c r="B759" s="3" t="s">
        <v>1500</v>
      </c>
      <c r="C759" s="4">
        <v>187</v>
      </c>
      <c r="D759" s="3" t="s">
        <v>460</v>
      </c>
      <c r="E759" s="3" t="s">
        <v>8</v>
      </c>
      <c r="F759" s="5">
        <v>7582.86</v>
      </c>
      <c r="G759" s="5">
        <v>36974.79</v>
      </c>
      <c r="H759" s="5">
        <f t="shared" si="22"/>
        <v>29391.93</v>
      </c>
      <c r="I759" s="9">
        <f t="shared" si="23"/>
        <v>3.8761008379424124</v>
      </c>
      <c r="J759" s="3" t="s">
        <v>4604</v>
      </c>
    </row>
    <row r="760" spans="1:10" ht="25.5">
      <c r="A760" s="3" t="s">
        <v>1501</v>
      </c>
      <c r="B760" s="3" t="s">
        <v>1502</v>
      </c>
      <c r="C760" s="4">
        <v>327</v>
      </c>
      <c r="D760" s="3" t="s">
        <v>76</v>
      </c>
      <c r="E760" s="3" t="s">
        <v>8</v>
      </c>
      <c r="F760" s="5">
        <v>12586.08</v>
      </c>
      <c r="G760" s="5">
        <v>27419.64</v>
      </c>
      <c r="H760" s="5">
        <f t="shared" si="22"/>
        <v>14833.56</v>
      </c>
      <c r="I760" s="9">
        <f t="shared" si="23"/>
        <v>1.1785687044735136</v>
      </c>
      <c r="J760" s="3" t="s">
        <v>4603</v>
      </c>
    </row>
    <row r="761" spans="1:10" ht="25.5">
      <c r="A761" s="3" t="s">
        <v>1501</v>
      </c>
      <c r="B761" s="3" t="s">
        <v>1502</v>
      </c>
      <c r="C761" s="4">
        <v>74</v>
      </c>
      <c r="D761" s="3" t="s">
        <v>86</v>
      </c>
      <c r="E761" s="3" t="s">
        <v>8</v>
      </c>
      <c r="F761" s="5">
        <v>12586.08</v>
      </c>
      <c r="G761" s="5">
        <v>27419.64</v>
      </c>
      <c r="H761" s="5">
        <f t="shared" si="22"/>
        <v>14833.56</v>
      </c>
      <c r="I761" s="9">
        <f t="shared" si="23"/>
        <v>1.1785687044735136</v>
      </c>
      <c r="J761" s="3" t="s">
        <v>4603</v>
      </c>
    </row>
    <row r="762" spans="1:10" ht="25.5">
      <c r="A762" s="3" t="s">
        <v>1503</v>
      </c>
      <c r="B762" s="3" t="s">
        <v>1504</v>
      </c>
      <c r="C762" s="4">
        <v>187</v>
      </c>
      <c r="D762" s="3" t="s">
        <v>460</v>
      </c>
      <c r="E762" s="3" t="s">
        <v>8</v>
      </c>
      <c r="F762" s="5">
        <v>36753</v>
      </c>
      <c r="G762" s="5">
        <v>0</v>
      </c>
      <c r="H762" s="5">
        <f t="shared" si="22"/>
        <v>-36753</v>
      </c>
      <c r="I762" s="9">
        <f t="shared" si="23"/>
        <v>-1</v>
      </c>
      <c r="J762" s="3" t="s">
        <v>4603</v>
      </c>
    </row>
    <row r="763" spans="1:10" ht="25.5">
      <c r="A763" s="3" t="s">
        <v>1505</v>
      </c>
      <c r="B763" s="3" t="s">
        <v>1506</v>
      </c>
      <c r="C763" s="4">
        <v>74</v>
      </c>
      <c r="D763" s="3" t="s">
        <v>86</v>
      </c>
      <c r="E763" s="3" t="s">
        <v>8</v>
      </c>
      <c r="F763" s="5">
        <v>16179.6</v>
      </c>
      <c r="G763" s="5">
        <v>33742.769999999997</v>
      </c>
      <c r="H763" s="5">
        <f t="shared" si="22"/>
        <v>17563.169999999998</v>
      </c>
      <c r="I763" s="9">
        <f t="shared" si="23"/>
        <v>1.0855132388934212</v>
      </c>
      <c r="J763" s="3" t="s">
        <v>4603</v>
      </c>
    </row>
    <row r="764" spans="1:10" ht="25.5">
      <c r="A764" s="3" t="s">
        <v>1507</v>
      </c>
      <c r="B764" s="3" t="s">
        <v>1508</v>
      </c>
      <c r="C764" s="4">
        <v>335</v>
      </c>
      <c r="D764" s="3" t="s">
        <v>7</v>
      </c>
      <c r="E764" s="3" t="s">
        <v>8</v>
      </c>
      <c r="F764" s="5">
        <v>137536.07999999999</v>
      </c>
      <c r="G764" s="5">
        <v>132372</v>
      </c>
      <c r="H764" s="5">
        <f t="shared" si="22"/>
        <v>-5164.0799999999872</v>
      </c>
      <c r="I764" s="9">
        <f t="shared" si="23"/>
        <v>-3.7547093097316631E-2</v>
      </c>
      <c r="J764" s="3" t="s">
        <v>4603</v>
      </c>
    </row>
    <row r="765" spans="1:10" ht="25.5">
      <c r="A765" s="3" t="s">
        <v>1509</v>
      </c>
      <c r="B765" s="3" t="s">
        <v>1510</v>
      </c>
      <c r="C765" s="4">
        <v>23</v>
      </c>
      <c r="D765" s="3" t="s">
        <v>71</v>
      </c>
      <c r="E765" s="3" t="s">
        <v>8</v>
      </c>
      <c r="F765" s="5">
        <v>41453.519999999997</v>
      </c>
      <c r="G765" s="5">
        <v>43628.7</v>
      </c>
      <c r="H765" s="5">
        <f t="shared" si="22"/>
        <v>2175.1800000000003</v>
      </c>
      <c r="I765" s="9">
        <f t="shared" si="23"/>
        <v>5.2472745378438379E-2</v>
      </c>
      <c r="J765" s="3" t="s">
        <v>4603</v>
      </c>
    </row>
    <row r="766" spans="1:10" ht="25.5">
      <c r="A766" s="3" t="s">
        <v>1511</v>
      </c>
      <c r="B766" s="3" t="s">
        <v>1512</v>
      </c>
      <c r="C766" s="4">
        <v>23</v>
      </c>
      <c r="D766" s="3" t="s">
        <v>71</v>
      </c>
      <c r="E766" s="3" t="s">
        <v>8</v>
      </c>
      <c r="F766" s="5">
        <v>17742.240000000002</v>
      </c>
      <c r="G766" s="5">
        <v>2921.04</v>
      </c>
      <c r="H766" s="5">
        <f t="shared" si="22"/>
        <v>-14821.2</v>
      </c>
      <c r="I766" s="9">
        <f t="shared" si="23"/>
        <v>-0.83536238941644347</v>
      </c>
      <c r="J766" s="3" t="s">
        <v>4603</v>
      </c>
    </row>
    <row r="767" spans="1:10" ht="25.5">
      <c r="A767" s="3" t="s">
        <v>1513</v>
      </c>
      <c r="B767" s="3" t="s">
        <v>1514</v>
      </c>
      <c r="C767" s="4">
        <v>39</v>
      </c>
      <c r="D767" s="3" t="s">
        <v>26</v>
      </c>
      <c r="E767" s="3" t="s">
        <v>9</v>
      </c>
      <c r="F767" s="5">
        <v>21333.66</v>
      </c>
      <c r="G767" s="5">
        <v>15849.86</v>
      </c>
      <c r="H767" s="5">
        <f t="shared" si="22"/>
        <v>-5483.7999999999993</v>
      </c>
      <c r="I767" s="9">
        <f t="shared" si="23"/>
        <v>-0.2570491889342944</v>
      </c>
      <c r="J767" s="3" t="s">
        <v>4603</v>
      </c>
    </row>
    <row r="768" spans="1:10" ht="25.5">
      <c r="A768" s="3" t="s">
        <v>1515</v>
      </c>
      <c r="B768" s="3" t="s">
        <v>1516</v>
      </c>
      <c r="C768" s="4">
        <v>39</v>
      </c>
      <c r="D768" s="3" t="s">
        <v>26</v>
      </c>
      <c r="E768" s="3" t="s">
        <v>9</v>
      </c>
      <c r="F768" s="5">
        <v>0</v>
      </c>
      <c r="G768" s="5">
        <v>35709.54</v>
      </c>
      <c r="H768" s="5">
        <f t="shared" si="22"/>
        <v>35709.54</v>
      </c>
      <c r="I768" s="9">
        <f t="shared" si="23"/>
        <v>0</v>
      </c>
      <c r="J768" s="3" t="s">
        <v>4603</v>
      </c>
    </row>
    <row r="769" spans="1:10" ht="25.5">
      <c r="A769" s="3" t="s">
        <v>1517</v>
      </c>
      <c r="B769" s="3" t="s">
        <v>1518</v>
      </c>
      <c r="C769" s="4">
        <v>39</v>
      </c>
      <c r="D769" s="3" t="s">
        <v>26</v>
      </c>
      <c r="E769" s="3" t="s">
        <v>9</v>
      </c>
      <c r="F769" s="5">
        <v>3231.21</v>
      </c>
      <c r="G769" s="5">
        <v>0</v>
      </c>
      <c r="H769" s="5">
        <f t="shared" si="22"/>
        <v>-3231.21</v>
      </c>
      <c r="I769" s="9">
        <f t="shared" si="23"/>
        <v>-1</v>
      </c>
      <c r="J769" s="3" t="s">
        <v>4603</v>
      </c>
    </row>
    <row r="770" spans="1:10" ht="25.5">
      <c r="A770" s="3" t="s">
        <v>1519</v>
      </c>
      <c r="B770" s="3" t="s">
        <v>1520</v>
      </c>
      <c r="C770" s="4">
        <v>328</v>
      </c>
      <c r="D770" s="3" t="s">
        <v>158</v>
      </c>
      <c r="E770" s="3" t="s">
        <v>22</v>
      </c>
      <c r="F770" s="5">
        <v>70443.61</v>
      </c>
      <c r="G770" s="5">
        <v>17278.596000000001</v>
      </c>
      <c r="H770" s="5">
        <f t="shared" si="22"/>
        <v>-53165.013999999996</v>
      </c>
      <c r="I770" s="9">
        <f t="shared" si="23"/>
        <v>-0.75471734057922357</v>
      </c>
      <c r="J770" s="3" t="s">
        <v>4603</v>
      </c>
    </row>
    <row r="771" spans="1:10" ht="25.5">
      <c r="A771" s="3" t="s">
        <v>1519</v>
      </c>
      <c r="B771" s="3" t="s">
        <v>1520</v>
      </c>
      <c r="C771" s="4">
        <v>328</v>
      </c>
      <c r="D771" s="3" t="s">
        <v>158</v>
      </c>
      <c r="E771" s="3" t="s">
        <v>8</v>
      </c>
      <c r="F771" s="5">
        <v>70443.61</v>
      </c>
      <c r="G771" s="5">
        <v>17278.596000000001</v>
      </c>
      <c r="H771" s="5">
        <f t="shared" ref="H771:H834" si="24">G771-F771</f>
        <v>-53165.013999999996</v>
      </c>
      <c r="I771" s="9">
        <f t="shared" ref="I771:I834" si="25">IFERROR(G771/F771-1,0)</f>
        <v>-0.75471734057922357</v>
      </c>
      <c r="J771" s="3" t="s">
        <v>4603</v>
      </c>
    </row>
    <row r="772" spans="1:10" ht="25.5">
      <c r="A772" s="3" t="s">
        <v>1521</v>
      </c>
      <c r="B772" s="3" t="s">
        <v>1522</v>
      </c>
      <c r="C772" s="4">
        <v>194</v>
      </c>
      <c r="D772" s="3" t="s">
        <v>179</v>
      </c>
      <c r="E772" s="3" t="s">
        <v>13</v>
      </c>
      <c r="F772" s="5">
        <v>7870.56</v>
      </c>
      <c r="G772" s="5">
        <v>5166.84</v>
      </c>
      <c r="H772" s="5">
        <f t="shared" si="24"/>
        <v>-2703.7200000000003</v>
      </c>
      <c r="I772" s="9">
        <f t="shared" si="25"/>
        <v>-0.34352320546441428</v>
      </c>
      <c r="J772" s="3" t="s">
        <v>4603</v>
      </c>
    </row>
    <row r="773" spans="1:10" ht="38.25">
      <c r="A773" s="3" t="s">
        <v>1523</v>
      </c>
      <c r="B773" s="3" t="s">
        <v>1524</v>
      </c>
      <c r="C773" s="4">
        <v>45</v>
      </c>
      <c r="D773" s="3" t="s">
        <v>16</v>
      </c>
      <c r="E773" s="3" t="s">
        <v>8</v>
      </c>
      <c r="F773" s="5">
        <v>35666.160000000003</v>
      </c>
      <c r="G773" s="5">
        <v>67140.78</v>
      </c>
      <c r="H773" s="5">
        <f t="shared" si="24"/>
        <v>31474.619999999995</v>
      </c>
      <c r="I773" s="9">
        <f t="shared" si="25"/>
        <v>0.88247851745183659</v>
      </c>
      <c r="J773" s="3" t="s">
        <v>4603</v>
      </c>
    </row>
    <row r="774" spans="1:10" ht="38.25">
      <c r="A774" s="3" t="s">
        <v>1525</v>
      </c>
      <c r="B774" s="3" t="s">
        <v>1526</v>
      </c>
      <c r="C774" s="4">
        <v>45</v>
      </c>
      <c r="D774" s="3" t="s">
        <v>16</v>
      </c>
      <c r="E774" s="3" t="s">
        <v>8</v>
      </c>
      <c r="F774" s="5">
        <v>15039.57</v>
      </c>
      <c r="G774" s="5">
        <v>11759.64</v>
      </c>
      <c r="H774" s="5">
        <f t="shared" si="24"/>
        <v>-3279.9300000000003</v>
      </c>
      <c r="I774" s="9">
        <f t="shared" si="25"/>
        <v>-0.21808668731885283</v>
      </c>
      <c r="J774" s="3" t="s">
        <v>4603</v>
      </c>
    </row>
    <row r="775" spans="1:10" ht="38.25">
      <c r="A775" s="3" t="s">
        <v>1527</v>
      </c>
      <c r="B775" s="3" t="s">
        <v>1528</v>
      </c>
      <c r="C775" s="4">
        <v>45</v>
      </c>
      <c r="D775" s="3" t="s">
        <v>16</v>
      </c>
      <c r="E775" s="3" t="s">
        <v>8</v>
      </c>
      <c r="F775" s="5">
        <v>34623.81</v>
      </c>
      <c r="G775" s="5">
        <v>41726.1</v>
      </c>
      <c r="H775" s="5">
        <f t="shared" si="24"/>
        <v>7102.2900000000009</v>
      </c>
      <c r="I775" s="9">
        <f t="shared" si="25"/>
        <v>0.20512733867243393</v>
      </c>
      <c r="J775" s="3" t="s">
        <v>4603</v>
      </c>
    </row>
    <row r="776" spans="1:10" ht="25.5">
      <c r="A776" s="3" t="s">
        <v>1529</v>
      </c>
      <c r="B776" s="3" t="s">
        <v>1181</v>
      </c>
      <c r="C776" s="4">
        <v>194</v>
      </c>
      <c r="D776" s="3" t="s">
        <v>179</v>
      </c>
      <c r="E776" s="3" t="s">
        <v>13</v>
      </c>
      <c r="F776" s="5">
        <v>49234.53</v>
      </c>
      <c r="G776" s="5">
        <v>17059.68</v>
      </c>
      <c r="H776" s="5">
        <f t="shared" si="24"/>
        <v>-32174.85</v>
      </c>
      <c r="I776" s="9">
        <f t="shared" si="25"/>
        <v>-0.65350171922023015</v>
      </c>
      <c r="J776" s="3" t="s">
        <v>4603</v>
      </c>
    </row>
    <row r="777" spans="1:10" ht="38.25">
      <c r="A777" s="3" t="s">
        <v>1530</v>
      </c>
      <c r="B777" s="3" t="s">
        <v>1531</v>
      </c>
      <c r="C777" s="4">
        <v>45</v>
      </c>
      <c r="D777" s="3" t="s">
        <v>16</v>
      </c>
      <c r="E777" s="3" t="s">
        <v>8</v>
      </c>
      <c r="F777" s="5">
        <v>0</v>
      </c>
      <c r="G777" s="5">
        <v>12778.02</v>
      </c>
      <c r="H777" s="5">
        <f t="shared" si="24"/>
        <v>12778.02</v>
      </c>
      <c r="I777" s="9">
        <f t="shared" si="25"/>
        <v>0</v>
      </c>
      <c r="J777" s="3" t="s">
        <v>4603</v>
      </c>
    </row>
    <row r="778" spans="1:10" ht="25.5">
      <c r="A778" s="3" t="s">
        <v>1532</v>
      </c>
      <c r="B778" s="3" t="s">
        <v>1533</v>
      </c>
      <c r="C778" s="4">
        <v>261</v>
      </c>
      <c r="D778" s="3" t="s">
        <v>17</v>
      </c>
      <c r="E778" s="3" t="s">
        <v>18</v>
      </c>
      <c r="F778" s="5">
        <v>19286.97</v>
      </c>
      <c r="G778" s="5">
        <v>13363.02</v>
      </c>
      <c r="H778" s="5">
        <f t="shared" si="24"/>
        <v>-5923.9500000000007</v>
      </c>
      <c r="I778" s="9">
        <f t="shared" si="25"/>
        <v>-0.30714777904460888</v>
      </c>
      <c r="J778" s="3" t="s">
        <v>4603</v>
      </c>
    </row>
    <row r="779" spans="1:10" ht="38.25">
      <c r="A779" s="3" t="s">
        <v>1534</v>
      </c>
      <c r="B779" s="3" t="s">
        <v>1535</v>
      </c>
      <c r="C779" s="4">
        <v>45</v>
      </c>
      <c r="D779" s="3" t="s">
        <v>16</v>
      </c>
      <c r="E779" s="3" t="s">
        <v>8</v>
      </c>
      <c r="F779" s="5">
        <v>100755.87</v>
      </c>
      <c r="G779" s="5">
        <v>72400.649999999994</v>
      </c>
      <c r="H779" s="5">
        <f t="shared" si="24"/>
        <v>-28355.22</v>
      </c>
      <c r="I779" s="9">
        <f t="shared" si="25"/>
        <v>-0.28142499290612055</v>
      </c>
      <c r="J779" s="3" t="s">
        <v>4603</v>
      </c>
    </row>
    <row r="780" spans="1:10" ht="25.5">
      <c r="A780" s="3" t="s">
        <v>1536</v>
      </c>
      <c r="B780" s="3" t="s">
        <v>1537</v>
      </c>
      <c r="C780" s="4">
        <v>178</v>
      </c>
      <c r="D780" s="3" t="s">
        <v>92</v>
      </c>
      <c r="E780" s="3" t="s">
        <v>8</v>
      </c>
      <c r="F780" s="5">
        <v>68655.66</v>
      </c>
      <c r="G780" s="5">
        <v>74587.679999999993</v>
      </c>
      <c r="H780" s="5">
        <f t="shared" si="24"/>
        <v>5932.0199999999895</v>
      </c>
      <c r="I780" s="9">
        <f t="shared" si="25"/>
        <v>8.6402490340927285E-2</v>
      </c>
      <c r="J780" s="3" t="s">
        <v>4603</v>
      </c>
    </row>
    <row r="781" spans="1:10" ht="38.25">
      <c r="A781" s="3" t="s">
        <v>1538</v>
      </c>
      <c r="B781" s="3" t="s">
        <v>1539</v>
      </c>
      <c r="C781" s="4">
        <v>45</v>
      </c>
      <c r="D781" s="3" t="s">
        <v>16</v>
      </c>
      <c r="E781" s="3" t="s">
        <v>8</v>
      </c>
      <c r="F781" s="5">
        <v>24292.38</v>
      </c>
      <c r="G781" s="5">
        <v>25011.27</v>
      </c>
      <c r="H781" s="5">
        <f t="shared" si="24"/>
        <v>718.88999999999942</v>
      </c>
      <c r="I781" s="9">
        <f t="shared" si="25"/>
        <v>2.9593230469801668E-2</v>
      </c>
      <c r="J781" s="3" t="s">
        <v>4603</v>
      </c>
    </row>
    <row r="782" spans="1:10" ht="38.25">
      <c r="A782" s="3" t="s">
        <v>1540</v>
      </c>
      <c r="B782" s="3" t="s">
        <v>1541</v>
      </c>
      <c r="C782" s="4">
        <v>45</v>
      </c>
      <c r="D782" s="3" t="s">
        <v>16</v>
      </c>
      <c r="E782" s="3" t="s">
        <v>8</v>
      </c>
      <c r="F782" s="5">
        <v>10408.379999999999</v>
      </c>
      <c r="G782" s="5">
        <v>23184.33</v>
      </c>
      <c r="H782" s="5">
        <f t="shared" si="24"/>
        <v>12775.950000000003</v>
      </c>
      <c r="I782" s="9">
        <f t="shared" si="25"/>
        <v>1.2274676750848839</v>
      </c>
      <c r="J782" s="3" t="s">
        <v>4603</v>
      </c>
    </row>
    <row r="783" spans="1:10" ht="25.5">
      <c r="A783" s="3" t="s">
        <v>1542</v>
      </c>
      <c r="B783" s="3" t="s">
        <v>1543</v>
      </c>
      <c r="C783" s="4">
        <v>309</v>
      </c>
      <c r="D783" s="3" t="s">
        <v>821</v>
      </c>
      <c r="E783" s="3" t="s">
        <v>13</v>
      </c>
      <c r="F783" s="5">
        <v>207117.98</v>
      </c>
      <c r="G783" s="5">
        <v>0</v>
      </c>
      <c r="H783" s="5">
        <f t="shared" si="24"/>
        <v>-207117.98</v>
      </c>
      <c r="I783" s="9">
        <f t="shared" si="25"/>
        <v>-1</v>
      </c>
      <c r="J783" s="3" t="s">
        <v>4603</v>
      </c>
    </row>
    <row r="784" spans="1:10" ht="25.5">
      <c r="A784" s="3" t="s">
        <v>1544</v>
      </c>
      <c r="B784" s="3" t="s">
        <v>1545</v>
      </c>
      <c r="C784" s="4">
        <v>61</v>
      </c>
      <c r="D784" s="3" t="s">
        <v>114</v>
      </c>
      <c r="E784" s="3" t="s">
        <v>30</v>
      </c>
      <c r="F784" s="5">
        <v>21763.439999999999</v>
      </c>
      <c r="G784" s="5">
        <v>0</v>
      </c>
      <c r="H784" s="5">
        <f t="shared" si="24"/>
        <v>-21763.439999999999</v>
      </c>
      <c r="I784" s="9">
        <f t="shared" si="25"/>
        <v>-1</v>
      </c>
      <c r="J784" s="3" t="s">
        <v>4603</v>
      </c>
    </row>
    <row r="785" spans="1:10" ht="25.5">
      <c r="A785" s="3" t="s">
        <v>1546</v>
      </c>
      <c r="B785" s="3" t="s">
        <v>1547</v>
      </c>
      <c r="C785" s="4">
        <v>93</v>
      </c>
      <c r="D785" s="3" t="s">
        <v>42</v>
      </c>
      <c r="E785" s="3" t="s">
        <v>8</v>
      </c>
      <c r="F785" s="5">
        <v>0</v>
      </c>
      <c r="G785" s="5">
        <v>11790.66</v>
      </c>
      <c r="H785" s="5">
        <f t="shared" si="24"/>
        <v>11790.66</v>
      </c>
      <c r="I785" s="9">
        <f t="shared" si="25"/>
        <v>0</v>
      </c>
      <c r="J785" s="3" t="s">
        <v>4603</v>
      </c>
    </row>
    <row r="786" spans="1:10" ht="25.5">
      <c r="A786" s="3" t="s">
        <v>1548</v>
      </c>
      <c r="B786" s="3" t="s">
        <v>1549</v>
      </c>
      <c r="C786" s="4">
        <v>93</v>
      </c>
      <c r="D786" s="3" t="s">
        <v>42</v>
      </c>
      <c r="E786" s="3" t="s">
        <v>8</v>
      </c>
      <c r="F786" s="5">
        <v>0</v>
      </c>
      <c r="G786" s="5">
        <v>66437.97</v>
      </c>
      <c r="H786" s="5">
        <f t="shared" si="24"/>
        <v>66437.97</v>
      </c>
      <c r="I786" s="9">
        <f t="shared" si="25"/>
        <v>0</v>
      </c>
      <c r="J786" s="3" t="s">
        <v>4603</v>
      </c>
    </row>
    <row r="787" spans="1:10" ht="25.5">
      <c r="A787" s="3" t="s">
        <v>1550</v>
      </c>
      <c r="B787" s="3" t="s">
        <v>1551</v>
      </c>
      <c r="C787" s="4">
        <v>93</v>
      </c>
      <c r="D787" s="3" t="s">
        <v>42</v>
      </c>
      <c r="E787" s="3" t="s">
        <v>8</v>
      </c>
      <c r="F787" s="5">
        <v>9466.2000000000007</v>
      </c>
      <c r="G787" s="5">
        <v>0</v>
      </c>
      <c r="H787" s="5">
        <f t="shared" si="24"/>
        <v>-9466.2000000000007</v>
      </c>
      <c r="I787" s="9">
        <f t="shared" si="25"/>
        <v>-1</v>
      </c>
      <c r="J787" s="3" t="s">
        <v>4603</v>
      </c>
    </row>
    <row r="788" spans="1:10" ht="25.5">
      <c r="A788" s="3" t="s">
        <v>1552</v>
      </c>
      <c r="B788" s="3" t="s">
        <v>1553</v>
      </c>
      <c r="C788" s="4">
        <v>39</v>
      </c>
      <c r="D788" s="3" t="s">
        <v>26</v>
      </c>
      <c r="E788" s="3" t="s">
        <v>9</v>
      </c>
      <c r="F788" s="5">
        <v>2850</v>
      </c>
      <c r="G788" s="5">
        <v>2227.1</v>
      </c>
      <c r="H788" s="5">
        <f t="shared" si="24"/>
        <v>-622.90000000000009</v>
      </c>
      <c r="I788" s="9">
        <f t="shared" si="25"/>
        <v>-0.21856140350877196</v>
      </c>
      <c r="J788" s="3" t="s">
        <v>4603</v>
      </c>
    </row>
    <row r="789" spans="1:10" ht="25.5">
      <c r="A789" s="3" t="s">
        <v>1554</v>
      </c>
      <c r="B789" s="3" t="s">
        <v>1555</v>
      </c>
      <c r="C789" s="4">
        <v>31</v>
      </c>
      <c r="D789" s="3" t="s">
        <v>172</v>
      </c>
      <c r="E789" s="3" t="s">
        <v>13</v>
      </c>
      <c r="F789" s="5">
        <v>58969.8</v>
      </c>
      <c r="G789" s="5">
        <v>0</v>
      </c>
      <c r="H789" s="5">
        <f t="shared" si="24"/>
        <v>-58969.8</v>
      </c>
      <c r="I789" s="9">
        <f t="shared" si="25"/>
        <v>-1</v>
      </c>
      <c r="J789" s="3" t="s">
        <v>4603</v>
      </c>
    </row>
    <row r="790" spans="1:10" ht="38.25">
      <c r="A790" s="3" t="s">
        <v>1556</v>
      </c>
      <c r="B790" s="3" t="s">
        <v>1557</v>
      </c>
      <c r="C790" s="4">
        <v>45</v>
      </c>
      <c r="D790" s="3" t="s">
        <v>16</v>
      </c>
      <c r="E790" s="3" t="s">
        <v>8</v>
      </c>
      <c r="F790" s="5">
        <v>0</v>
      </c>
      <c r="G790" s="5">
        <v>42386.67</v>
      </c>
      <c r="H790" s="5">
        <f t="shared" si="24"/>
        <v>42386.67</v>
      </c>
      <c r="I790" s="9">
        <f t="shared" si="25"/>
        <v>0</v>
      </c>
      <c r="J790" s="3" t="s">
        <v>4603</v>
      </c>
    </row>
    <row r="791" spans="1:10" ht="25.5">
      <c r="A791" s="3" t="s">
        <v>1558</v>
      </c>
      <c r="B791" s="3" t="s">
        <v>1559</v>
      </c>
      <c r="C791" s="4">
        <v>261</v>
      </c>
      <c r="D791" s="3" t="s">
        <v>17</v>
      </c>
      <c r="E791" s="3" t="s">
        <v>18</v>
      </c>
      <c r="F791" s="5">
        <v>11164.38</v>
      </c>
      <c r="G791" s="5">
        <v>7963.02</v>
      </c>
      <c r="H791" s="5">
        <f t="shared" si="24"/>
        <v>-3201.3599999999988</v>
      </c>
      <c r="I791" s="9">
        <f t="shared" si="25"/>
        <v>-0.28674767429987147</v>
      </c>
      <c r="J791" s="3" t="s">
        <v>4603</v>
      </c>
    </row>
    <row r="792" spans="1:10" ht="25.5">
      <c r="A792" s="3" t="s">
        <v>1560</v>
      </c>
      <c r="B792" s="3" t="s">
        <v>1561</v>
      </c>
      <c r="C792" s="4">
        <v>74</v>
      </c>
      <c r="D792" s="3" t="s">
        <v>86</v>
      </c>
      <c r="E792" s="3" t="s">
        <v>8</v>
      </c>
      <c r="F792" s="5">
        <v>43573.2</v>
      </c>
      <c r="G792" s="5">
        <v>53287.8</v>
      </c>
      <c r="H792" s="5">
        <f t="shared" si="24"/>
        <v>9714.6000000000058</v>
      </c>
      <c r="I792" s="9">
        <f t="shared" si="25"/>
        <v>0.22294896863209512</v>
      </c>
      <c r="J792" s="3" t="s">
        <v>4603</v>
      </c>
    </row>
    <row r="793" spans="1:10" ht="38.25">
      <c r="A793" s="3" t="s">
        <v>1562</v>
      </c>
      <c r="B793" s="3" t="s">
        <v>1563</v>
      </c>
      <c r="C793" s="4">
        <v>301</v>
      </c>
      <c r="D793" s="3" t="s">
        <v>12</v>
      </c>
      <c r="E793" s="3" t="s">
        <v>13</v>
      </c>
      <c r="F793" s="5">
        <v>0</v>
      </c>
      <c r="G793" s="5">
        <v>5741.52</v>
      </c>
      <c r="H793" s="5">
        <f t="shared" si="24"/>
        <v>5741.52</v>
      </c>
      <c r="I793" s="9">
        <f t="shared" si="25"/>
        <v>0</v>
      </c>
      <c r="J793" s="3" t="s">
        <v>4603</v>
      </c>
    </row>
    <row r="794" spans="1:10" ht="25.5">
      <c r="A794" s="3" t="s">
        <v>1564</v>
      </c>
      <c r="B794" s="3" t="s">
        <v>1565</v>
      </c>
      <c r="C794" s="4">
        <v>197</v>
      </c>
      <c r="D794" s="3" t="s">
        <v>23</v>
      </c>
      <c r="E794" s="3" t="s">
        <v>22</v>
      </c>
      <c r="F794" s="5">
        <v>19195.759999999998</v>
      </c>
      <c r="G794" s="5">
        <v>9752.92</v>
      </c>
      <c r="H794" s="5">
        <f t="shared" si="24"/>
        <v>-9442.8399999999983</v>
      </c>
      <c r="I794" s="9">
        <f t="shared" si="25"/>
        <v>-0.49192321637694991</v>
      </c>
      <c r="J794" s="3" t="s">
        <v>4603</v>
      </c>
    </row>
    <row r="795" spans="1:10" ht="25.5">
      <c r="A795" s="3" t="s">
        <v>1566</v>
      </c>
      <c r="B795" s="3" t="s">
        <v>1567</v>
      </c>
      <c r="C795" s="4">
        <v>39</v>
      </c>
      <c r="D795" s="3" t="s">
        <v>26</v>
      </c>
      <c r="E795" s="3" t="s">
        <v>9</v>
      </c>
      <c r="F795" s="5">
        <v>49507.65</v>
      </c>
      <c r="G795" s="5">
        <v>70423.12</v>
      </c>
      <c r="H795" s="5">
        <f t="shared" si="24"/>
        <v>20915.469999999994</v>
      </c>
      <c r="I795" s="9">
        <f t="shared" si="25"/>
        <v>0.42246945674052383</v>
      </c>
      <c r="J795" s="3" t="s">
        <v>4603</v>
      </c>
    </row>
    <row r="796" spans="1:10" ht="51">
      <c r="A796" s="3" t="s">
        <v>1568</v>
      </c>
      <c r="B796" s="3" t="s">
        <v>1569</v>
      </c>
      <c r="C796" s="4">
        <v>282</v>
      </c>
      <c r="D796" s="3" t="s">
        <v>298</v>
      </c>
      <c r="E796" s="3" t="s">
        <v>9</v>
      </c>
      <c r="F796" s="5">
        <v>114972.84</v>
      </c>
      <c r="G796" s="5">
        <v>63925.64</v>
      </c>
      <c r="H796" s="5">
        <f t="shared" si="24"/>
        <v>-51047.199999999997</v>
      </c>
      <c r="I796" s="9">
        <f t="shared" si="25"/>
        <v>-0.4439935553475064</v>
      </c>
      <c r="J796" s="3" t="s">
        <v>4603</v>
      </c>
    </row>
    <row r="797" spans="1:10" ht="25.5">
      <c r="A797" s="3" t="s">
        <v>1570</v>
      </c>
      <c r="B797" s="3" t="s">
        <v>1571</v>
      </c>
      <c r="C797" s="4">
        <v>316</v>
      </c>
      <c r="D797" s="3" t="s">
        <v>167</v>
      </c>
      <c r="E797" s="3" t="s">
        <v>18</v>
      </c>
      <c r="F797" s="5">
        <v>2594.2800000000002</v>
      </c>
      <c r="G797" s="5">
        <v>2343.84</v>
      </c>
      <c r="H797" s="5">
        <f t="shared" si="24"/>
        <v>-250.44000000000005</v>
      </c>
      <c r="I797" s="9">
        <f t="shared" si="25"/>
        <v>-9.653545492390958E-2</v>
      </c>
      <c r="J797" s="3" t="s">
        <v>4603</v>
      </c>
    </row>
    <row r="798" spans="1:10" ht="25.5">
      <c r="A798" s="3" t="s">
        <v>1572</v>
      </c>
      <c r="B798" s="3" t="s">
        <v>1573</v>
      </c>
      <c r="C798" s="4">
        <v>299</v>
      </c>
      <c r="D798" s="3" t="s">
        <v>246</v>
      </c>
      <c r="E798" s="3" t="s">
        <v>30</v>
      </c>
      <c r="F798" s="5">
        <v>3311.34</v>
      </c>
      <c r="G798" s="5">
        <v>6054.12</v>
      </c>
      <c r="H798" s="5">
        <f t="shared" si="24"/>
        <v>2742.7799999999997</v>
      </c>
      <c r="I798" s="9">
        <f t="shared" si="25"/>
        <v>0.82829911757777808</v>
      </c>
      <c r="J798" s="3" t="s">
        <v>4603</v>
      </c>
    </row>
    <row r="799" spans="1:10" ht="25.5">
      <c r="A799" s="3" t="s">
        <v>1574</v>
      </c>
      <c r="B799" s="3" t="s">
        <v>1575</v>
      </c>
      <c r="C799" s="4">
        <v>266</v>
      </c>
      <c r="D799" s="3" t="s">
        <v>111</v>
      </c>
      <c r="E799" s="3" t="s">
        <v>18</v>
      </c>
      <c r="F799" s="5">
        <v>11805</v>
      </c>
      <c r="G799" s="5">
        <v>0</v>
      </c>
      <c r="H799" s="5">
        <f t="shared" si="24"/>
        <v>-11805</v>
      </c>
      <c r="I799" s="9">
        <f t="shared" si="25"/>
        <v>-1</v>
      </c>
      <c r="J799" s="3" t="s">
        <v>4603</v>
      </c>
    </row>
    <row r="800" spans="1:10" ht="25.5">
      <c r="A800" s="3" t="s">
        <v>1576</v>
      </c>
      <c r="B800" s="3" t="s">
        <v>1577</v>
      </c>
      <c r="C800" s="4">
        <v>178</v>
      </c>
      <c r="D800" s="3" t="s">
        <v>92</v>
      </c>
      <c r="E800" s="3" t="s">
        <v>8</v>
      </c>
      <c r="F800" s="5">
        <v>5195.16</v>
      </c>
      <c r="G800" s="5">
        <v>7173.96</v>
      </c>
      <c r="H800" s="5">
        <f t="shared" si="24"/>
        <v>1978.8000000000002</v>
      </c>
      <c r="I800" s="9">
        <f t="shared" si="25"/>
        <v>0.38089298500912383</v>
      </c>
      <c r="J800" s="3" t="s">
        <v>4603</v>
      </c>
    </row>
    <row r="801" spans="1:10" ht="25.5">
      <c r="A801" s="3" t="s">
        <v>1578</v>
      </c>
      <c r="B801" s="3" t="s">
        <v>1579</v>
      </c>
      <c r="C801" s="4">
        <v>317</v>
      </c>
      <c r="D801" s="3" t="s">
        <v>54</v>
      </c>
      <c r="E801" s="3" t="s">
        <v>18</v>
      </c>
      <c r="F801" s="5">
        <v>0</v>
      </c>
      <c r="G801" s="5">
        <v>1462.56</v>
      </c>
      <c r="H801" s="5">
        <f t="shared" si="24"/>
        <v>1462.56</v>
      </c>
      <c r="I801" s="9">
        <f t="shared" si="25"/>
        <v>0</v>
      </c>
      <c r="J801" s="3" t="s">
        <v>4604</v>
      </c>
    </row>
    <row r="802" spans="1:10" ht="51">
      <c r="A802" s="3" t="s">
        <v>1580</v>
      </c>
      <c r="B802" s="3" t="s">
        <v>1581</v>
      </c>
      <c r="C802" s="4">
        <v>282</v>
      </c>
      <c r="D802" s="3" t="s">
        <v>298</v>
      </c>
      <c r="E802" s="3" t="s">
        <v>9</v>
      </c>
      <c r="F802" s="5">
        <v>5972.64</v>
      </c>
      <c r="G802" s="5">
        <v>0</v>
      </c>
      <c r="H802" s="5">
        <f t="shared" si="24"/>
        <v>-5972.64</v>
      </c>
      <c r="I802" s="9">
        <f t="shared" si="25"/>
        <v>-1</v>
      </c>
      <c r="J802" s="3" t="s">
        <v>4603</v>
      </c>
    </row>
    <row r="803" spans="1:10" ht="25.5">
      <c r="A803" s="3" t="s">
        <v>1582</v>
      </c>
      <c r="B803" s="3" t="s">
        <v>1583</v>
      </c>
      <c r="C803" s="4">
        <v>218</v>
      </c>
      <c r="D803" s="3" t="s">
        <v>155</v>
      </c>
      <c r="E803" s="3" t="s">
        <v>13</v>
      </c>
      <c r="F803" s="5">
        <v>3167.28</v>
      </c>
      <c r="G803" s="5">
        <v>14929.2</v>
      </c>
      <c r="H803" s="5">
        <f t="shared" si="24"/>
        <v>11761.92</v>
      </c>
      <c r="I803" s="9">
        <f t="shared" si="25"/>
        <v>3.7135712661968627</v>
      </c>
      <c r="J803" s="3" t="s">
        <v>4603</v>
      </c>
    </row>
    <row r="804" spans="1:10" ht="25.5">
      <c r="A804" s="3" t="s">
        <v>1584</v>
      </c>
      <c r="B804" s="3" t="s">
        <v>1585</v>
      </c>
      <c r="C804" s="4">
        <v>335</v>
      </c>
      <c r="D804" s="3" t="s">
        <v>7</v>
      </c>
      <c r="E804" s="3" t="s">
        <v>8</v>
      </c>
      <c r="F804" s="5">
        <v>76248.600000000006</v>
      </c>
      <c r="G804" s="5">
        <v>58989.432000000001</v>
      </c>
      <c r="H804" s="5">
        <f t="shared" si="24"/>
        <v>-17259.168000000005</v>
      </c>
      <c r="I804" s="9">
        <f t="shared" si="25"/>
        <v>-0.2263539002683328</v>
      </c>
      <c r="J804" s="3" t="s">
        <v>4603</v>
      </c>
    </row>
    <row r="805" spans="1:10" ht="25.5">
      <c r="A805" s="3" t="s">
        <v>1586</v>
      </c>
      <c r="B805" s="3" t="s">
        <v>636</v>
      </c>
      <c r="C805" s="4">
        <v>299</v>
      </c>
      <c r="D805" s="3" t="s">
        <v>246</v>
      </c>
      <c r="E805" s="3" t="s">
        <v>30</v>
      </c>
      <c r="F805" s="5">
        <v>156222.6</v>
      </c>
      <c r="G805" s="5">
        <v>170242.95</v>
      </c>
      <c r="H805" s="5">
        <f t="shared" si="24"/>
        <v>14020.350000000006</v>
      </c>
      <c r="I805" s="9">
        <f t="shared" si="25"/>
        <v>8.9745977854676529E-2</v>
      </c>
      <c r="J805" s="3" t="s">
        <v>4603</v>
      </c>
    </row>
    <row r="806" spans="1:10" ht="51">
      <c r="A806" s="3" t="s">
        <v>1587</v>
      </c>
      <c r="B806" s="3" t="s">
        <v>1588</v>
      </c>
      <c r="C806" s="4">
        <v>282</v>
      </c>
      <c r="D806" s="3" t="s">
        <v>298</v>
      </c>
      <c r="E806" s="3" t="s">
        <v>9</v>
      </c>
      <c r="F806" s="5">
        <v>12993.6</v>
      </c>
      <c r="G806" s="5">
        <v>0</v>
      </c>
      <c r="H806" s="5">
        <f t="shared" si="24"/>
        <v>-12993.6</v>
      </c>
      <c r="I806" s="9">
        <f t="shared" si="25"/>
        <v>-1</v>
      </c>
      <c r="J806" s="3" t="s">
        <v>4603</v>
      </c>
    </row>
    <row r="807" spans="1:10">
      <c r="A807" s="3" t="s">
        <v>1589</v>
      </c>
      <c r="B807" s="3" t="s">
        <v>1590</v>
      </c>
      <c r="C807" s="4">
        <v>240</v>
      </c>
      <c r="D807" s="3" t="s">
        <v>152</v>
      </c>
      <c r="E807" s="3" t="s">
        <v>13</v>
      </c>
      <c r="F807" s="5">
        <v>0</v>
      </c>
      <c r="G807" s="5">
        <v>10931.16</v>
      </c>
      <c r="H807" s="5">
        <f t="shared" si="24"/>
        <v>10931.16</v>
      </c>
      <c r="I807" s="9">
        <f t="shared" si="25"/>
        <v>0</v>
      </c>
      <c r="J807" s="3" t="s">
        <v>4603</v>
      </c>
    </row>
    <row r="808" spans="1:10" ht="25.5">
      <c r="A808" s="3" t="s">
        <v>1591</v>
      </c>
      <c r="B808" s="3" t="s">
        <v>1592</v>
      </c>
      <c r="C808" s="4">
        <v>328</v>
      </c>
      <c r="D808" s="3" t="s">
        <v>158</v>
      </c>
      <c r="E808" s="3" t="s">
        <v>22</v>
      </c>
      <c r="F808" s="5">
        <v>4831.9799999999996</v>
      </c>
      <c r="G808" s="5">
        <v>12223.44</v>
      </c>
      <c r="H808" s="5">
        <f t="shared" si="24"/>
        <v>7391.4600000000009</v>
      </c>
      <c r="I808" s="9">
        <f t="shared" si="25"/>
        <v>1.5296959010591933</v>
      </c>
      <c r="J808" s="3" t="s">
        <v>4603</v>
      </c>
    </row>
    <row r="809" spans="1:10" ht="25.5">
      <c r="A809" s="3" t="s">
        <v>1593</v>
      </c>
      <c r="B809" s="3" t="s">
        <v>1594</v>
      </c>
      <c r="C809" s="4">
        <v>299</v>
      </c>
      <c r="D809" s="3" t="s">
        <v>246</v>
      </c>
      <c r="E809" s="3" t="s">
        <v>30</v>
      </c>
      <c r="F809" s="5">
        <v>26020.44</v>
      </c>
      <c r="G809" s="5">
        <v>0</v>
      </c>
      <c r="H809" s="5">
        <f t="shared" si="24"/>
        <v>-26020.44</v>
      </c>
      <c r="I809" s="9">
        <f t="shared" si="25"/>
        <v>-1</v>
      </c>
      <c r="J809" s="3" t="s">
        <v>4603</v>
      </c>
    </row>
    <row r="810" spans="1:10" ht="25.5">
      <c r="A810" s="3" t="s">
        <v>1595</v>
      </c>
      <c r="B810" s="3" t="s">
        <v>1596</v>
      </c>
      <c r="C810" s="4">
        <v>23</v>
      </c>
      <c r="D810" s="3" t="s">
        <v>71</v>
      </c>
      <c r="E810" s="3" t="s">
        <v>8</v>
      </c>
      <c r="F810" s="5">
        <v>22196.400000000001</v>
      </c>
      <c r="G810" s="5">
        <v>38775.480000000003</v>
      </c>
      <c r="H810" s="5">
        <f t="shared" si="24"/>
        <v>16579.080000000002</v>
      </c>
      <c r="I810" s="9">
        <f t="shared" si="25"/>
        <v>0.74692652862626385</v>
      </c>
      <c r="J810" s="3" t="s">
        <v>4603</v>
      </c>
    </row>
    <row r="811" spans="1:10" ht="38.25">
      <c r="A811" s="3" t="s">
        <v>1597</v>
      </c>
      <c r="B811" s="3" t="s">
        <v>1598</v>
      </c>
      <c r="C811" s="4">
        <v>301</v>
      </c>
      <c r="D811" s="3" t="s">
        <v>12</v>
      </c>
      <c r="E811" s="3" t="s">
        <v>13</v>
      </c>
      <c r="F811" s="5">
        <v>130445.25</v>
      </c>
      <c r="G811" s="5">
        <v>0</v>
      </c>
      <c r="H811" s="5">
        <f t="shared" si="24"/>
        <v>-130445.25</v>
      </c>
      <c r="I811" s="9">
        <f t="shared" si="25"/>
        <v>-1</v>
      </c>
      <c r="J811" s="3" t="s">
        <v>4604</v>
      </c>
    </row>
    <row r="812" spans="1:10" ht="25.5">
      <c r="A812" s="3" t="s">
        <v>1599</v>
      </c>
      <c r="B812" s="3" t="s">
        <v>1600</v>
      </c>
      <c r="C812" s="4">
        <v>321</v>
      </c>
      <c r="D812" s="3" t="s">
        <v>125</v>
      </c>
      <c r="E812" s="3" t="s">
        <v>22</v>
      </c>
      <c r="F812" s="5">
        <v>0</v>
      </c>
      <c r="G812" s="5">
        <v>1878.18</v>
      </c>
      <c r="H812" s="5">
        <f t="shared" si="24"/>
        <v>1878.18</v>
      </c>
      <c r="I812" s="9">
        <f t="shared" si="25"/>
        <v>0</v>
      </c>
      <c r="J812" s="3" t="s">
        <v>4603</v>
      </c>
    </row>
    <row r="813" spans="1:10" ht="25.5">
      <c r="A813" s="3" t="s">
        <v>1601</v>
      </c>
      <c r="B813" s="3" t="s">
        <v>1602</v>
      </c>
      <c r="C813" s="4">
        <v>266</v>
      </c>
      <c r="D813" s="3" t="s">
        <v>111</v>
      </c>
      <c r="E813" s="3" t="s">
        <v>18</v>
      </c>
      <c r="F813" s="5">
        <v>23995.919999999998</v>
      </c>
      <c r="G813" s="5">
        <v>14942.76</v>
      </c>
      <c r="H813" s="5">
        <f t="shared" si="24"/>
        <v>-9053.159999999998</v>
      </c>
      <c r="I813" s="9">
        <f t="shared" si="25"/>
        <v>-0.37727913745336705</v>
      </c>
      <c r="J813" s="3" t="s">
        <v>4603</v>
      </c>
    </row>
    <row r="814" spans="1:10" ht="25.5">
      <c r="A814" s="3" t="s">
        <v>1603</v>
      </c>
      <c r="B814" s="3" t="s">
        <v>1604</v>
      </c>
      <c r="C814" s="4">
        <v>317</v>
      </c>
      <c r="D814" s="3" t="s">
        <v>54</v>
      </c>
      <c r="E814" s="3" t="s">
        <v>18</v>
      </c>
      <c r="F814" s="5">
        <v>4882.8</v>
      </c>
      <c r="G814" s="5">
        <v>0</v>
      </c>
      <c r="H814" s="5">
        <f t="shared" si="24"/>
        <v>-4882.8</v>
      </c>
      <c r="I814" s="9">
        <f t="shared" si="25"/>
        <v>-1</v>
      </c>
      <c r="J814" s="3" t="s">
        <v>4603</v>
      </c>
    </row>
    <row r="815" spans="1:10" ht="25.5">
      <c r="A815" s="3" t="s">
        <v>1605</v>
      </c>
      <c r="B815" s="3" t="s">
        <v>1606</v>
      </c>
      <c r="C815" s="4">
        <v>61</v>
      </c>
      <c r="D815" s="3" t="s">
        <v>114</v>
      </c>
      <c r="E815" s="3" t="s">
        <v>30</v>
      </c>
      <c r="F815" s="5">
        <v>0</v>
      </c>
      <c r="G815" s="5">
        <v>4602.1499999999996</v>
      </c>
      <c r="H815" s="5">
        <f t="shared" si="24"/>
        <v>4602.1499999999996</v>
      </c>
      <c r="I815" s="9">
        <f t="shared" si="25"/>
        <v>0</v>
      </c>
      <c r="J815" s="3" t="s">
        <v>4603</v>
      </c>
    </row>
    <row r="816" spans="1:10" ht="25.5">
      <c r="A816" s="3" t="s">
        <v>1607</v>
      </c>
      <c r="B816" s="3" t="s">
        <v>1608</v>
      </c>
      <c r="C816" s="4">
        <v>93</v>
      </c>
      <c r="D816" s="3" t="s">
        <v>42</v>
      </c>
      <c r="E816" s="3" t="s">
        <v>8</v>
      </c>
      <c r="F816" s="5">
        <v>20516.52</v>
      </c>
      <c r="G816" s="5">
        <v>38007.480000000003</v>
      </c>
      <c r="H816" s="5">
        <f t="shared" si="24"/>
        <v>17490.960000000003</v>
      </c>
      <c r="I816" s="9">
        <f t="shared" si="25"/>
        <v>0.8525305461160082</v>
      </c>
      <c r="J816" s="3" t="s">
        <v>4603</v>
      </c>
    </row>
    <row r="817" spans="1:10" ht="25.5">
      <c r="A817" s="3" t="s">
        <v>1609</v>
      </c>
      <c r="B817" s="3" t="s">
        <v>1610</v>
      </c>
      <c r="C817" s="4">
        <v>39</v>
      </c>
      <c r="D817" s="3" t="s">
        <v>26</v>
      </c>
      <c r="E817" s="3" t="s">
        <v>9</v>
      </c>
      <c r="F817" s="5">
        <v>61246.559999999998</v>
      </c>
      <c r="G817" s="5">
        <v>15175.82</v>
      </c>
      <c r="H817" s="5">
        <f t="shared" si="24"/>
        <v>-46070.74</v>
      </c>
      <c r="I817" s="9">
        <f t="shared" si="25"/>
        <v>-0.75221759393507159</v>
      </c>
      <c r="J817" s="3" t="s">
        <v>4603</v>
      </c>
    </row>
    <row r="818" spans="1:10" ht="25.5">
      <c r="A818" s="3" t="s">
        <v>1611</v>
      </c>
      <c r="B818" s="3" t="s">
        <v>1612</v>
      </c>
      <c r="C818" s="4">
        <v>74</v>
      </c>
      <c r="D818" s="3" t="s">
        <v>86</v>
      </c>
      <c r="E818" s="3" t="s">
        <v>8</v>
      </c>
      <c r="F818" s="5">
        <v>14913.72</v>
      </c>
      <c r="G818" s="5">
        <v>0</v>
      </c>
      <c r="H818" s="5">
        <f t="shared" si="24"/>
        <v>-14913.72</v>
      </c>
      <c r="I818" s="9">
        <f t="shared" si="25"/>
        <v>-1</v>
      </c>
      <c r="J818" s="3" t="s">
        <v>4603</v>
      </c>
    </row>
    <row r="819" spans="1:10">
      <c r="A819" s="3" t="s">
        <v>1613</v>
      </c>
      <c r="B819" s="3" t="s">
        <v>1614</v>
      </c>
      <c r="C819" s="4">
        <v>217</v>
      </c>
      <c r="D819" s="3" t="s">
        <v>253</v>
      </c>
      <c r="E819" s="3" t="s">
        <v>13</v>
      </c>
      <c r="F819" s="5">
        <v>0</v>
      </c>
      <c r="G819" s="5">
        <v>4986.72</v>
      </c>
      <c r="H819" s="5">
        <f t="shared" si="24"/>
        <v>4986.72</v>
      </c>
      <c r="I819" s="9">
        <f t="shared" si="25"/>
        <v>0</v>
      </c>
      <c r="J819" s="3" t="s">
        <v>4603</v>
      </c>
    </row>
    <row r="820" spans="1:10" ht="25.5">
      <c r="A820" s="3" t="s">
        <v>1615</v>
      </c>
      <c r="B820" s="3" t="s">
        <v>1616</v>
      </c>
      <c r="C820" s="4">
        <v>74</v>
      </c>
      <c r="D820" s="3" t="s">
        <v>86</v>
      </c>
      <c r="E820" s="3" t="s">
        <v>8</v>
      </c>
      <c r="F820" s="5">
        <v>3143.52</v>
      </c>
      <c r="G820" s="5">
        <v>2503.44</v>
      </c>
      <c r="H820" s="5">
        <f t="shared" si="24"/>
        <v>-640.07999999999993</v>
      </c>
      <c r="I820" s="9">
        <f t="shared" si="25"/>
        <v>-0.2036188731103985</v>
      </c>
      <c r="J820" s="3" t="s">
        <v>4603</v>
      </c>
    </row>
    <row r="821" spans="1:10" ht="25.5">
      <c r="A821" s="3" t="s">
        <v>1617</v>
      </c>
      <c r="B821" s="3" t="s">
        <v>1618</v>
      </c>
      <c r="C821" s="4">
        <v>299</v>
      </c>
      <c r="D821" s="3" t="s">
        <v>246</v>
      </c>
      <c r="E821" s="3" t="s">
        <v>30</v>
      </c>
      <c r="F821" s="5">
        <v>32231.759999999998</v>
      </c>
      <c r="G821" s="5">
        <v>0</v>
      </c>
      <c r="H821" s="5">
        <f t="shared" si="24"/>
        <v>-32231.759999999998</v>
      </c>
      <c r="I821" s="9">
        <f t="shared" si="25"/>
        <v>-1</v>
      </c>
      <c r="J821" s="3" t="s">
        <v>4603</v>
      </c>
    </row>
    <row r="822" spans="1:10" ht="25.5">
      <c r="A822" s="3" t="s">
        <v>1619</v>
      </c>
      <c r="B822" s="3" t="s">
        <v>1620</v>
      </c>
      <c r="C822" s="4">
        <v>317</v>
      </c>
      <c r="D822" s="3" t="s">
        <v>54</v>
      </c>
      <c r="E822" s="3" t="s">
        <v>18</v>
      </c>
      <c r="F822" s="5">
        <v>13678.56</v>
      </c>
      <c r="G822" s="5">
        <v>13914.48</v>
      </c>
      <c r="H822" s="5">
        <f t="shared" si="24"/>
        <v>235.92000000000007</v>
      </c>
      <c r="I822" s="9">
        <f t="shared" si="25"/>
        <v>1.7247429553988169E-2</v>
      </c>
      <c r="J822" s="3" t="s">
        <v>4603</v>
      </c>
    </row>
    <row r="823" spans="1:10" ht="25.5">
      <c r="A823" s="3" t="s">
        <v>1621</v>
      </c>
      <c r="B823" s="3" t="s">
        <v>1622</v>
      </c>
      <c r="C823" s="4">
        <v>194</v>
      </c>
      <c r="D823" s="3" t="s">
        <v>179</v>
      </c>
      <c r="E823" s="3" t="s">
        <v>13</v>
      </c>
      <c r="F823" s="5">
        <v>25576.080000000002</v>
      </c>
      <c r="G823" s="5">
        <v>0</v>
      </c>
      <c r="H823" s="5">
        <f t="shared" si="24"/>
        <v>-25576.080000000002</v>
      </c>
      <c r="I823" s="9">
        <f t="shared" si="25"/>
        <v>-1</v>
      </c>
      <c r="J823" s="3" t="s">
        <v>4603</v>
      </c>
    </row>
    <row r="824" spans="1:10" ht="51">
      <c r="A824" s="3" t="s">
        <v>1623</v>
      </c>
      <c r="B824" s="3" t="s">
        <v>1624</v>
      </c>
      <c r="C824" s="4">
        <v>282</v>
      </c>
      <c r="D824" s="3" t="s">
        <v>298</v>
      </c>
      <c r="E824" s="3" t="s">
        <v>9</v>
      </c>
      <c r="F824" s="5">
        <v>4172.3999999999996</v>
      </c>
      <c r="G824" s="5">
        <v>0</v>
      </c>
      <c r="H824" s="5">
        <f t="shared" si="24"/>
        <v>-4172.3999999999996</v>
      </c>
      <c r="I824" s="9">
        <f t="shared" si="25"/>
        <v>-1</v>
      </c>
      <c r="J824" s="3" t="s">
        <v>4603</v>
      </c>
    </row>
    <row r="825" spans="1:10" ht="25.5">
      <c r="A825" s="3" t="s">
        <v>1625</v>
      </c>
      <c r="B825" s="3" t="s">
        <v>1626</v>
      </c>
      <c r="C825" s="4">
        <v>317</v>
      </c>
      <c r="D825" s="3" t="s">
        <v>54</v>
      </c>
      <c r="E825" s="3" t="s">
        <v>18</v>
      </c>
      <c r="F825" s="5">
        <v>0</v>
      </c>
      <c r="G825" s="5">
        <v>6566.1</v>
      </c>
      <c r="H825" s="5">
        <f t="shared" si="24"/>
        <v>6566.1</v>
      </c>
      <c r="I825" s="9">
        <f t="shared" si="25"/>
        <v>0</v>
      </c>
      <c r="J825" s="3" t="s">
        <v>4603</v>
      </c>
    </row>
    <row r="826" spans="1:10" ht="25.5">
      <c r="A826" s="3" t="s">
        <v>1627</v>
      </c>
      <c r="B826" s="3" t="s">
        <v>1628</v>
      </c>
      <c r="C826" s="4">
        <v>335</v>
      </c>
      <c r="D826" s="3" t="s">
        <v>7</v>
      </c>
      <c r="E826" s="3" t="s">
        <v>8</v>
      </c>
      <c r="F826" s="5">
        <v>229118.58</v>
      </c>
      <c r="G826" s="5">
        <v>241209.891</v>
      </c>
      <c r="H826" s="5">
        <f t="shared" si="24"/>
        <v>12091.311000000016</v>
      </c>
      <c r="I826" s="9">
        <f t="shared" si="25"/>
        <v>5.2773157899285161E-2</v>
      </c>
      <c r="J826" s="3" t="s">
        <v>4603</v>
      </c>
    </row>
    <row r="827" spans="1:10" ht="25.5">
      <c r="A827" s="3" t="s">
        <v>1629</v>
      </c>
      <c r="B827" s="3" t="s">
        <v>1630</v>
      </c>
      <c r="C827" s="4">
        <v>328</v>
      </c>
      <c r="D827" s="3" t="s">
        <v>158</v>
      </c>
      <c r="E827" s="3" t="s">
        <v>22</v>
      </c>
      <c r="F827" s="5">
        <v>2924.52</v>
      </c>
      <c r="G827" s="5">
        <v>0</v>
      </c>
      <c r="H827" s="5">
        <f t="shared" si="24"/>
        <v>-2924.52</v>
      </c>
      <c r="I827" s="9">
        <f t="shared" si="25"/>
        <v>-1</v>
      </c>
      <c r="J827" s="3" t="s">
        <v>4603</v>
      </c>
    </row>
    <row r="828" spans="1:10" ht="25.5">
      <c r="A828" s="3" t="s">
        <v>1631</v>
      </c>
      <c r="B828" s="3" t="s">
        <v>1632</v>
      </c>
      <c r="C828" s="4">
        <v>321</v>
      </c>
      <c r="D828" s="3" t="s">
        <v>125</v>
      </c>
      <c r="E828" s="3" t="s">
        <v>22</v>
      </c>
      <c r="F828" s="5">
        <v>0</v>
      </c>
      <c r="G828" s="5">
        <v>1706.76</v>
      </c>
      <c r="H828" s="5">
        <f t="shared" si="24"/>
        <v>1706.76</v>
      </c>
      <c r="I828" s="9">
        <f t="shared" si="25"/>
        <v>0</v>
      </c>
      <c r="J828" s="3" t="s">
        <v>4603</v>
      </c>
    </row>
    <row r="829" spans="1:10" ht="25.5">
      <c r="A829" s="3" t="s">
        <v>1633</v>
      </c>
      <c r="B829" s="3" t="s">
        <v>1634</v>
      </c>
      <c r="C829" s="4">
        <v>39</v>
      </c>
      <c r="D829" s="3" t="s">
        <v>26</v>
      </c>
      <c r="E829" s="3" t="s">
        <v>9</v>
      </c>
      <c r="F829" s="5">
        <v>0</v>
      </c>
      <c r="G829" s="5">
        <v>5428.48</v>
      </c>
      <c r="H829" s="5">
        <f t="shared" si="24"/>
        <v>5428.48</v>
      </c>
      <c r="I829" s="9">
        <f t="shared" si="25"/>
        <v>0</v>
      </c>
      <c r="J829" s="3" t="s">
        <v>4603</v>
      </c>
    </row>
    <row r="830" spans="1:10" ht="25.5">
      <c r="A830" s="3" t="s">
        <v>1635</v>
      </c>
      <c r="B830" s="3" t="s">
        <v>1636</v>
      </c>
      <c r="C830" s="4">
        <v>197</v>
      </c>
      <c r="D830" s="3" t="s">
        <v>23</v>
      </c>
      <c r="E830" s="3" t="s">
        <v>22</v>
      </c>
      <c r="F830" s="5">
        <v>0</v>
      </c>
      <c r="G830" s="5">
        <v>3727.8</v>
      </c>
      <c r="H830" s="5">
        <f t="shared" si="24"/>
        <v>3727.8</v>
      </c>
      <c r="I830" s="9">
        <f t="shared" si="25"/>
        <v>0</v>
      </c>
      <c r="J830" s="3" t="s">
        <v>4603</v>
      </c>
    </row>
    <row r="831" spans="1:10" ht="25.5">
      <c r="A831" s="3" t="s">
        <v>1637</v>
      </c>
      <c r="B831" s="3" t="s">
        <v>1638</v>
      </c>
      <c r="C831" s="4">
        <v>299</v>
      </c>
      <c r="D831" s="3" t="s">
        <v>246</v>
      </c>
      <c r="E831" s="3" t="s">
        <v>30</v>
      </c>
      <c r="F831" s="5">
        <v>7474.68</v>
      </c>
      <c r="G831" s="5">
        <v>0</v>
      </c>
      <c r="H831" s="5">
        <f t="shared" si="24"/>
        <v>-7474.68</v>
      </c>
      <c r="I831" s="9">
        <f t="shared" si="25"/>
        <v>-1</v>
      </c>
      <c r="J831" s="3" t="s">
        <v>4603</v>
      </c>
    </row>
    <row r="832" spans="1:10" ht="38.25">
      <c r="A832" s="3" t="s">
        <v>1639</v>
      </c>
      <c r="B832" s="3" t="s">
        <v>1640</v>
      </c>
      <c r="C832" s="4">
        <v>292</v>
      </c>
      <c r="D832" s="3" t="s">
        <v>619</v>
      </c>
      <c r="E832" s="3" t="s">
        <v>30</v>
      </c>
      <c r="F832" s="5">
        <v>0</v>
      </c>
      <c r="G832" s="5">
        <v>6152.58</v>
      </c>
      <c r="H832" s="5">
        <f t="shared" si="24"/>
        <v>6152.58</v>
      </c>
      <c r="I832" s="9">
        <f t="shared" si="25"/>
        <v>0</v>
      </c>
      <c r="J832" s="3" t="s">
        <v>4603</v>
      </c>
    </row>
    <row r="833" spans="1:10" ht="25.5">
      <c r="A833" s="3" t="s">
        <v>1641</v>
      </c>
      <c r="B833" s="3" t="s">
        <v>1642</v>
      </c>
      <c r="C833" s="4">
        <v>316</v>
      </c>
      <c r="D833" s="3" t="s">
        <v>167</v>
      </c>
      <c r="E833" s="3" t="s">
        <v>18</v>
      </c>
      <c r="F833" s="5">
        <v>0</v>
      </c>
      <c r="G833" s="5">
        <v>30931.200000000001</v>
      </c>
      <c r="H833" s="5">
        <f t="shared" si="24"/>
        <v>30931.200000000001</v>
      </c>
      <c r="I833" s="9">
        <f t="shared" si="25"/>
        <v>0</v>
      </c>
      <c r="J833" s="3" t="s">
        <v>4603</v>
      </c>
    </row>
    <row r="834" spans="1:10" ht="25.5">
      <c r="A834" s="3" t="s">
        <v>1643</v>
      </c>
      <c r="B834" s="3" t="s">
        <v>1644</v>
      </c>
      <c r="C834" s="4">
        <v>61</v>
      </c>
      <c r="D834" s="3" t="s">
        <v>114</v>
      </c>
      <c r="E834" s="3" t="s">
        <v>30</v>
      </c>
      <c r="F834" s="5">
        <v>11953.59</v>
      </c>
      <c r="G834" s="5">
        <v>14794.35</v>
      </c>
      <c r="H834" s="5">
        <f t="shared" si="24"/>
        <v>2840.76</v>
      </c>
      <c r="I834" s="9">
        <f t="shared" si="25"/>
        <v>0.23764910792489946</v>
      </c>
      <c r="J834" s="3" t="s">
        <v>4603</v>
      </c>
    </row>
    <row r="835" spans="1:10" ht="38.25">
      <c r="A835" s="3" t="s">
        <v>1645</v>
      </c>
      <c r="B835" s="3" t="s">
        <v>190</v>
      </c>
      <c r="C835" s="4">
        <v>11</v>
      </c>
      <c r="D835" s="3" t="s">
        <v>55</v>
      </c>
      <c r="E835" s="3" t="s">
        <v>18</v>
      </c>
      <c r="F835" s="5">
        <v>27119.4</v>
      </c>
      <c r="G835" s="5">
        <v>55389.3</v>
      </c>
      <c r="H835" s="5">
        <f t="shared" ref="H835:H898" si="26">G835-F835</f>
        <v>28269.9</v>
      </c>
      <c r="I835" s="9">
        <f t="shared" ref="I835:I898" si="27">IFERROR(G835/F835-1,0)</f>
        <v>1.0424235049447996</v>
      </c>
      <c r="J835" s="3" t="s">
        <v>4604</v>
      </c>
    </row>
    <row r="836" spans="1:10" ht="25.5">
      <c r="A836" s="3" t="s">
        <v>1646</v>
      </c>
      <c r="B836" s="3" t="s">
        <v>1647</v>
      </c>
      <c r="C836" s="4">
        <v>61</v>
      </c>
      <c r="D836" s="3" t="s">
        <v>114</v>
      </c>
      <c r="E836" s="3" t="s">
        <v>30</v>
      </c>
      <c r="F836" s="5">
        <v>8194.7999999999993</v>
      </c>
      <c r="G836" s="5">
        <v>0</v>
      </c>
      <c r="H836" s="5">
        <f t="shared" si="26"/>
        <v>-8194.7999999999993</v>
      </c>
      <c r="I836" s="9">
        <f t="shared" si="27"/>
        <v>-1</v>
      </c>
      <c r="J836" s="3" t="s">
        <v>4603</v>
      </c>
    </row>
    <row r="837" spans="1:10" ht="38.25">
      <c r="A837" s="3" t="s">
        <v>1648</v>
      </c>
      <c r="B837" s="3" t="s">
        <v>1649</v>
      </c>
      <c r="C837" s="4">
        <v>45</v>
      </c>
      <c r="D837" s="3" t="s">
        <v>16</v>
      </c>
      <c r="E837" s="3" t="s">
        <v>8</v>
      </c>
      <c r="F837" s="5">
        <v>32459.07</v>
      </c>
      <c r="G837" s="5">
        <v>0</v>
      </c>
      <c r="H837" s="5">
        <f t="shared" si="26"/>
        <v>-32459.07</v>
      </c>
      <c r="I837" s="9">
        <f t="shared" si="27"/>
        <v>-1</v>
      </c>
      <c r="J837" s="3" t="s">
        <v>4604</v>
      </c>
    </row>
    <row r="838" spans="1:10" ht="38.25">
      <c r="A838" s="3" t="s">
        <v>1650</v>
      </c>
      <c r="B838" s="3" t="s">
        <v>1651</v>
      </c>
      <c r="C838" s="4">
        <v>371</v>
      </c>
      <c r="D838" s="3" t="s">
        <v>29</v>
      </c>
      <c r="E838" s="3" t="s">
        <v>30</v>
      </c>
      <c r="F838" s="5">
        <v>25340.16</v>
      </c>
      <c r="G838" s="5">
        <v>0</v>
      </c>
      <c r="H838" s="5">
        <f t="shared" si="26"/>
        <v>-25340.16</v>
      </c>
      <c r="I838" s="9">
        <f t="shared" si="27"/>
        <v>-1</v>
      </c>
      <c r="J838" s="3" t="s">
        <v>4603</v>
      </c>
    </row>
    <row r="839" spans="1:10" ht="25.5">
      <c r="A839" s="3" t="s">
        <v>1652</v>
      </c>
      <c r="B839" s="3" t="s">
        <v>1653</v>
      </c>
      <c r="C839" s="4">
        <v>19</v>
      </c>
      <c r="D839" s="3" t="s">
        <v>53</v>
      </c>
      <c r="E839" s="3" t="s">
        <v>22</v>
      </c>
      <c r="F839" s="5">
        <v>0</v>
      </c>
      <c r="G839" s="5">
        <v>17177.86</v>
      </c>
      <c r="H839" s="5">
        <f t="shared" si="26"/>
        <v>17177.86</v>
      </c>
      <c r="I839" s="9">
        <f t="shared" si="27"/>
        <v>0</v>
      </c>
      <c r="J839" s="3" t="s">
        <v>4603</v>
      </c>
    </row>
    <row r="840" spans="1:10" ht="38.25">
      <c r="A840" s="3" t="s">
        <v>1654</v>
      </c>
      <c r="B840" s="3" t="s">
        <v>1655</v>
      </c>
      <c r="C840" s="4">
        <v>292</v>
      </c>
      <c r="D840" s="3" t="s">
        <v>619</v>
      </c>
      <c r="E840" s="3" t="s">
        <v>30</v>
      </c>
      <c r="F840" s="5">
        <v>5480.52</v>
      </c>
      <c r="G840" s="5">
        <v>2085.9</v>
      </c>
      <c r="H840" s="5">
        <f t="shared" si="26"/>
        <v>-3394.6200000000003</v>
      </c>
      <c r="I840" s="9">
        <f t="shared" si="27"/>
        <v>-0.61939742944100196</v>
      </c>
      <c r="J840" s="3" t="s">
        <v>4603</v>
      </c>
    </row>
    <row r="841" spans="1:10" ht="25.5">
      <c r="A841" s="3" t="s">
        <v>1656</v>
      </c>
      <c r="B841" s="3" t="s">
        <v>1657</v>
      </c>
      <c r="C841" s="4">
        <v>93</v>
      </c>
      <c r="D841" s="3" t="s">
        <v>42</v>
      </c>
      <c r="E841" s="3" t="s">
        <v>8</v>
      </c>
      <c r="F841" s="5">
        <v>81080.88</v>
      </c>
      <c r="G841" s="5">
        <v>37689</v>
      </c>
      <c r="H841" s="5">
        <f t="shared" si="26"/>
        <v>-43391.880000000005</v>
      </c>
      <c r="I841" s="9">
        <f t="shared" si="27"/>
        <v>-0.53516784721626109</v>
      </c>
      <c r="J841" s="3" t="s">
        <v>4603</v>
      </c>
    </row>
    <row r="842" spans="1:10" ht="25.5">
      <c r="A842" s="3" t="s">
        <v>1658</v>
      </c>
      <c r="B842" s="3" t="s">
        <v>178</v>
      </c>
      <c r="C842" s="4">
        <v>194</v>
      </c>
      <c r="D842" s="3" t="s">
        <v>179</v>
      </c>
      <c r="E842" s="3" t="s">
        <v>13</v>
      </c>
      <c r="F842" s="5">
        <v>28779.9</v>
      </c>
      <c r="G842" s="5">
        <v>27003.93</v>
      </c>
      <c r="H842" s="5">
        <f t="shared" si="26"/>
        <v>-1775.9700000000012</v>
      </c>
      <c r="I842" s="9">
        <f t="shared" si="27"/>
        <v>-6.1708692524991449E-2</v>
      </c>
      <c r="J842" s="3" t="s">
        <v>4604</v>
      </c>
    </row>
    <row r="843" spans="1:10" ht="38.25">
      <c r="A843" s="3" t="s">
        <v>1658</v>
      </c>
      <c r="B843" s="3" t="s">
        <v>178</v>
      </c>
      <c r="C843" s="4">
        <v>301</v>
      </c>
      <c r="D843" s="3" t="s">
        <v>12</v>
      </c>
      <c r="E843" s="3" t="s">
        <v>13</v>
      </c>
      <c r="F843" s="5">
        <v>28779.9</v>
      </c>
      <c r="G843" s="5">
        <v>27003.93</v>
      </c>
      <c r="H843" s="5">
        <f t="shared" si="26"/>
        <v>-1775.9700000000012</v>
      </c>
      <c r="I843" s="9">
        <f t="shared" si="27"/>
        <v>-6.1708692524991449E-2</v>
      </c>
      <c r="J843" s="3" t="s">
        <v>4604</v>
      </c>
    </row>
    <row r="844" spans="1:10" ht="38.25">
      <c r="A844" s="3" t="s">
        <v>1659</v>
      </c>
      <c r="B844" s="3" t="s">
        <v>1660</v>
      </c>
      <c r="C844" s="4">
        <v>371</v>
      </c>
      <c r="D844" s="3" t="s">
        <v>29</v>
      </c>
      <c r="E844" s="3" t="s">
        <v>30</v>
      </c>
      <c r="F844" s="5">
        <v>87187.199999999997</v>
      </c>
      <c r="G844" s="5">
        <v>15462.468000000001</v>
      </c>
      <c r="H844" s="5">
        <f t="shared" si="26"/>
        <v>-71724.731999999989</v>
      </c>
      <c r="I844" s="9">
        <f t="shared" si="27"/>
        <v>-0.82265208654481392</v>
      </c>
      <c r="J844" s="3" t="s">
        <v>4603</v>
      </c>
    </row>
    <row r="845" spans="1:10" ht="38.25">
      <c r="A845" s="3" t="s">
        <v>1661</v>
      </c>
      <c r="B845" s="3" t="s">
        <v>1662</v>
      </c>
      <c r="C845" s="4">
        <v>301</v>
      </c>
      <c r="D845" s="3" t="s">
        <v>12</v>
      </c>
      <c r="E845" s="3" t="s">
        <v>13</v>
      </c>
      <c r="F845" s="5">
        <v>3308.4</v>
      </c>
      <c r="G845" s="5">
        <v>1148.4000000000001</v>
      </c>
      <c r="H845" s="5">
        <f t="shared" si="26"/>
        <v>-2160</v>
      </c>
      <c r="I845" s="9">
        <f t="shared" si="27"/>
        <v>-0.65288356909684442</v>
      </c>
      <c r="J845" s="3" t="s">
        <v>4603</v>
      </c>
    </row>
    <row r="846" spans="1:10" ht="25.5">
      <c r="A846" s="3" t="s">
        <v>1661</v>
      </c>
      <c r="B846" s="3" t="s">
        <v>1662</v>
      </c>
      <c r="C846" s="4">
        <v>53</v>
      </c>
      <c r="D846" s="3" t="s">
        <v>340</v>
      </c>
      <c r="E846" s="3" t="s">
        <v>13</v>
      </c>
      <c r="F846" s="5">
        <v>3308.4</v>
      </c>
      <c r="G846" s="5">
        <v>1148.4000000000001</v>
      </c>
      <c r="H846" s="5">
        <f t="shared" si="26"/>
        <v>-2160</v>
      </c>
      <c r="I846" s="9">
        <f t="shared" si="27"/>
        <v>-0.65288356909684442</v>
      </c>
      <c r="J846" s="3" t="s">
        <v>4603</v>
      </c>
    </row>
    <row r="847" spans="1:10" ht="51">
      <c r="A847" s="3" t="s">
        <v>1663</v>
      </c>
      <c r="B847" s="3" t="s">
        <v>1664</v>
      </c>
      <c r="C847" s="4">
        <v>282</v>
      </c>
      <c r="D847" s="3" t="s">
        <v>298</v>
      </c>
      <c r="E847" s="3" t="s">
        <v>9</v>
      </c>
      <c r="F847" s="5">
        <v>0</v>
      </c>
      <c r="G847" s="5">
        <v>6446.67</v>
      </c>
      <c r="H847" s="5">
        <f t="shared" si="26"/>
        <v>6446.67</v>
      </c>
      <c r="I847" s="9">
        <f t="shared" si="27"/>
        <v>0</v>
      </c>
      <c r="J847" s="3" t="s">
        <v>4603</v>
      </c>
    </row>
    <row r="848" spans="1:10">
      <c r="A848" s="3" t="s">
        <v>1665</v>
      </c>
      <c r="B848" s="3" t="s">
        <v>1666</v>
      </c>
      <c r="C848" s="4">
        <v>217</v>
      </c>
      <c r="D848" s="3" t="s">
        <v>253</v>
      </c>
      <c r="E848" s="3" t="s">
        <v>13</v>
      </c>
      <c r="F848" s="5">
        <v>18097.68</v>
      </c>
      <c r="G848" s="5">
        <v>3911.76</v>
      </c>
      <c r="H848" s="5">
        <f t="shared" si="26"/>
        <v>-14185.92</v>
      </c>
      <c r="I848" s="9">
        <f t="shared" si="27"/>
        <v>-0.78385295794820109</v>
      </c>
      <c r="J848" s="3" t="s">
        <v>4603</v>
      </c>
    </row>
    <row r="849" spans="1:10" ht="25.5">
      <c r="A849" s="3" t="s">
        <v>1667</v>
      </c>
      <c r="B849" s="3" t="s">
        <v>1668</v>
      </c>
      <c r="C849" s="4">
        <v>187</v>
      </c>
      <c r="D849" s="3" t="s">
        <v>460</v>
      </c>
      <c r="E849" s="3" t="s">
        <v>8</v>
      </c>
      <c r="F849" s="5">
        <v>0</v>
      </c>
      <c r="G849" s="5">
        <v>14449.74</v>
      </c>
      <c r="H849" s="5">
        <f t="shared" si="26"/>
        <v>14449.74</v>
      </c>
      <c r="I849" s="9">
        <f t="shared" si="27"/>
        <v>0</v>
      </c>
      <c r="J849" s="3" t="s">
        <v>4603</v>
      </c>
    </row>
    <row r="850" spans="1:10" ht="25.5">
      <c r="A850" s="3" t="s">
        <v>1669</v>
      </c>
      <c r="B850" s="3" t="s">
        <v>1670</v>
      </c>
      <c r="C850" s="4">
        <v>194</v>
      </c>
      <c r="D850" s="3" t="s">
        <v>179</v>
      </c>
      <c r="E850" s="3" t="s">
        <v>13</v>
      </c>
      <c r="F850" s="5">
        <v>28494.720000000001</v>
      </c>
      <c r="G850" s="5">
        <v>34865.22</v>
      </c>
      <c r="H850" s="5">
        <f t="shared" si="26"/>
        <v>6370.5</v>
      </c>
      <c r="I850" s="9">
        <f t="shared" si="27"/>
        <v>0.22356773465399904</v>
      </c>
      <c r="J850" s="3" t="s">
        <v>4603</v>
      </c>
    </row>
    <row r="851" spans="1:10" ht="38.25">
      <c r="A851" s="3" t="s">
        <v>1669</v>
      </c>
      <c r="B851" s="3" t="s">
        <v>1670</v>
      </c>
      <c r="C851" s="4">
        <v>301</v>
      </c>
      <c r="D851" s="3" t="s">
        <v>12</v>
      </c>
      <c r="E851" s="3" t="s">
        <v>13</v>
      </c>
      <c r="F851" s="5">
        <v>28494.720000000001</v>
      </c>
      <c r="G851" s="5">
        <v>34865.22</v>
      </c>
      <c r="H851" s="5">
        <f t="shared" si="26"/>
        <v>6370.5</v>
      </c>
      <c r="I851" s="9">
        <f t="shared" si="27"/>
        <v>0.22356773465399904</v>
      </c>
      <c r="J851" s="3" t="s">
        <v>4603</v>
      </c>
    </row>
    <row r="852" spans="1:10">
      <c r="A852" s="3" t="s">
        <v>1671</v>
      </c>
      <c r="B852" s="3" t="s">
        <v>1672</v>
      </c>
      <c r="C852" s="4">
        <v>231</v>
      </c>
      <c r="D852" s="3" t="s">
        <v>89</v>
      </c>
      <c r="E852" s="3" t="s">
        <v>8</v>
      </c>
      <c r="F852" s="5">
        <v>89613.96</v>
      </c>
      <c r="G852" s="5">
        <v>92507.25</v>
      </c>
      <c r="H852" s="5">
        <f t="shared" si="26"/>
        <v>2893.2899999999936</v>
      </c>
      <c r="I852" s="9">
        <f t="shared" si="27"/>
        <v>3.2286152737809992E-2</v>
      </c>
      <c r="J852" s="3" t="s">
        <v>4603</v>
      </c>
    </row>
    <row r="853" spans="1:10" ht="38.25">
      <c r="A853" s="3" t="s">
        <v>1673</v>
      </c>
      <c r="B853" s="3" t="s">
        <v>1674</v>
      </c>
      <c r="C853" s="4">
        <v>34</v>
      </c>
      <c r="D853" s="3" t="s">
        <v>136</v>
      </c>
      <c r="E853" s="3" t="s">
        <v>30</v>
      </c>
      <c r="F853" s="5">
        <v>28176.06</v>
      </c>
      <c r="G853" s="5">
        <v>0</v>
      </c>
      <c r="H853" s="5">
        <f t="shared" si="26"/>
        <v>-28176.06</v>
      </c>
      <c r="I853" s="9">
        <f t="shared" si="27"/>
        <v>-1</v>
      </c>
      <c r="J853" s="3" t="s">
        <v>4603</v>
      </c>
    </row>
    <row r="854" spans="1:10" ht="38.25">
      <c r="A854" s="3" t="s">
        <v>1675</v>
      </c>
      <c r="B854" s="3" t="s">
        <v>1676</v>
      </c>
      <c r="C854" s="4">
        <v>11</v>
      </c>
      <c r="D854" s="3" t="s">
        <v>55</v>
      </c>
      <c r="E854" s="3" t="s">
        <v>18</v>
      </c>
      <c r="F854" s="5">
        <v>16800.72</v>
      </c>
      <c r="G854" s="5">
        <v>16662.394</v>
      </c>
      <c r="H854" s="5">
        <f t="shared" si="26"/>
        <v>-138.32600000000093</v>
      </c>
      <c r="I854" s="9">
        <f t="shared" si="27"/>
        <v>-8.2333376188640228E-3</v>
      </c>
      <c r="J854" s="3" t="s">
        <v>4603</v>
      </c>
    </row>
    <row r="855" spans="1:10" ht="25.5">
      <c r="A855" s="3" t="s">
        <v>1675</v>
      </c>
      <c r="B855" s="3" t="s">
        <v>1676</v>
      </c>
      <c r="C855" s="4">
        <v>320</v>
      </c>
      <c r="D855" s="3" t="s">
        <v>188</v>
      </c>
      <c r="E855" s="3" t="s">
        <v>30</v>
      </c>
      <c r="F855" s="5">
        <v>16800.72</v>
      </c>
      <c r="G855" s="5">
        <v>16662.394</v>
      </c>
      <c r="H855" s="5">
        <f t="shared" si="26"/>
        <v>-138.32600000000093</v>
      </c>
      <c r="I855" s="9">
        <f t="shared" si="27"/>
        <v>-8.2333376188640228E-3</v>
      </c>
      <c r="J855" s="3" t="s">
        <v>4603</v>
      </c>
    </row>
    <row r="856" spans="1:10">
      <c r="A856" s="3" t="s">
        <v>1677</v>
      </c>
      <c r="B856" s="3" t="s">
        <v>1678</v>
      </c>
      <c r="C856" s="4">
        <v>15</v>
      </c>
      <c r="D856" s="3" t="s">
        <v>33</v>
      </c>
      <c r="E856" s="3" t="s">
        <v>13</v>
      </c>
      <c r="F856" s="5">
        <v>59625</v>
      </c>
      <c r="G856" s="5">
        <v>4785.12</v>
      </c>
      <c r="H856" s="5">
        <f t="shared" si="26"/>
        <v>-54839.88</v>
      </c>
      <c r="I856" s="9">
        <f t="shared" si="27"/>
        <v>-0.91974641509433963</v>
      </c>
      <c r="J856" s="3" t="s">
        <v>4603</v>
      </c>
    </row>
    <row r="857" spans="1:10" ht="25.5">
      <c r="A857" s="3" t="s">
        <v>1679</v>
      </c>
      <c r="B857" s="3" t="s">
        <v>1680</v>
      </c>
      <c r="C857" s="4">
        <v>317</v>
      </c>
      <c r="D857" s="3" t="s">
        <v>54</v>
      </c>
      <c r="E857" s="3" t="s">
        <v>18</v>
      </c>
      <c r="F857" s="5">
        <v>5406.3</v>
      </c>
      <c r="G857" s="5">
        <v>14410.68</v>
      </c>
      <c r="H857" s="5">
        <f t="shared" si="26"/>
        <v>9004.380000000001</v>
      </c>
      <c r="I857" s="9">
        <f t="shared" si="27"/>
        <v>1.6655346540147606</v>
      </c>
      <c r="J857" s="3" t="s">
        <v>4603</v>
      </c>
    </row>
    <row r="858" spans="1:10" ht="38.25">
      <c r="A858" s="3" t="s">
        <v>1681</v>
      </c>
      <c r="B858" s="3" t="s">
        <v>1682</v>
      </c>
      <c r="C858" s="4">
        <v>11</v>
      </c>
      <c r="D858" s="3" t="s">
        <v>55</v>
      </c>
      <c r="E858" s="3" t="s">
        <v>18</v>
      </c>
      <c r="F858" s="5">
        <v>36108.239999999998</v>
      </c>
      <c r="G858" s="5">
        <v>39224.400000000001</v>
      </c>
      <c r="H858" s="5">
        <f t="shared" si="26"/>
        <v>3116.1600000000035</v>
      </c>
      <c r="I858" s="9">
        <f t="shared" si="27"/>
        <v>8.6300523093897796E-2</v>
      </c>
      <c r="J858" s="3" t="s">
        <v>4603</v>
      </c>
    </row>
    <row r="859" spans="1:10" ht="38.25">
      <c r="A859" s="3" t="s">
        <v>1683</v>
      </c>
      <c r="B859" s="3" t="s">
        <v>1684</v>
      </c>
      <c r="C859" s="4">
        <v>371</v>
      </c>
      <c r="D859" s="3" t="s">
        <v>29</v>
      </c>
      <c r="E859" s="3" t="s">
        <v>30</v>
      </c>
      <c r="F859" s="5">
        <v>4223.04</v>
      </c>
      <c r="G859" s="5">
        <v>0</v>
      </c>
      <c r="H859" s="5">
        <f t="shared" si="26"/>
        <v>-4223.04</v>
      </c>
      <c r="I859" s="9">
        <f t="shared" si="27"/>
        <v>-1</v>
      </c>
      <c r="J859" s="3" t="s">
        <v>4603</v>
      </c>
    </row>
    <row r="860" spans="1:10" ht="25.5">
      <c r="A860" s="3" t="s">
        <v>1685</v>
      </c>
      <c r="B860" s="3" t="s">
        <v>1686</v>
      </c>
      <c r="C860" s="4">
        <v>270</v>
      </c>
      <c r="D860" s="3" t="s">
        <v>312</v>
      </c>
      <c r="E860" s="3" t="s">
        <v>30</v>
      </c>
      <c r="F860" s="5">
        <v>17289.060000000001</v>
      </c>
      <c r="G860" s="5">
        <v>30833.88</v>
      </c>
      <c r="H860" s="5">
        <f t="shared" si="26"/>
        <v>13544.82</v>
      </c>
      <c r="I860" s="9">
        <f t="shared" si="27"/>
        <v>0.78343299173003045</v>
      </c>
      <c r="J860" s="3" t="s">
        <v>4603</v>
      </c>
    </row>
    <row r="861" spans="1:10" ht="38.25">
      <c r="A861" s="3" t="s">
        <v>1685</v>
      </c>
      <c r="B861" s="3" t="s">
        <v>1686</v>
      </c>
      <c r="C861" s="4">
        <v>34</v>
      </c>
      <c r="D861" s="3" t="s">
        <v>136</v>
      </c>
      <c r="E861" s="3" t="s">
        <v>30</v>
      </c>
      <c r="F861" s="5">
        <v>17289.060000000001</v>
      </c>
      <c r="G861" s="5">
        <v>30833.88</v>
      </c>
      <c r="H861" s="5">
        <f t="shared" si="26"/>
        <v>13544.82</v>
      </c>
      <c r="I861" s="9">
        <f t="shared" si="27"/>
        <v>0.78343299173003045</v>
      </c>
      <c r="J861" s="3" t="s">
        <v>4603</v>
      </c>
    </row>
    <row r="862" spans="1:10" ht="25.5">
      <c r="A862" s="3" t="s">
        <v>1687</v>
      </c>
      <c r="B862" s="3" t="s">
        <v>1688</v>
      </c>
      <c r="C862" s="4">
        <v>93</v>
      </c>
      <c r="D862" s="3" t="s">
        <v>42</v>
      </c>
      <c r="E862" s="3" t="s">
        <v>8</v>
      </c>
      <c r="F862" s="5">
        <v>0</v>
      </c>
      <c r="G862" s="5">
        <v>2360.91</v>
      </c>
      <c r="H862" s="5">
        <f t="shared" si="26"/>
        <v>2360.91</v>
      </c>
      <c r="I862" s="9">
        <f t="shared" si="27"/>
        <v>0</v>
      </c>
      <c r="J862" s="3" t="s">
        <v>4604</v>
      </c>
    </row>
    <row r="863" spans="1:10" ht="25.5">
      <c r="A863" s="3" t="s">
        <v>1689</v>
      </c>
      <c r="B863" s="3" t="s">
        <v>1690</v>
      </c>
      <c r="C863" s="4">
        <v>270</v>
      </c>
      <c r="D863" s="3" t="s">
        <v>312</v>
      </c>
      <c r="E863" s="3" t="s">
        <v>30</v>
      </c>
      <c r="F863" s="5">
        <v>5594.13</v>
      </c>
      <c r="G863" s="5">
        <v>2769.84</v>
      </c>
      <c r="H863" s="5">
        <f t="shared" si="26"/>
        <v>-2824.29</v>
      </c>
      <c r="I863" s="9">
        <f t="shared" si="27"/>
        <v>-0.50486670849622728</v>
      </c>
      <c r="J863" s="3" t="s">
        <v>4603</v>
      </c>
    </row>
    <row r="864" spans="1:10" ht="25.5">
      <c r="A864" s="3" t="s">
        <v>1691</v>
      </c>
      <c r="B864" s="3" t="s">
        <v>1692</v>
      </c>
      <c r="C864" s="4">
        <v>316</v>
      </c>
      <c r="D864" s="3" t="s">
        <v>167</v>
      </c>
      <c r="E864" s="3" t="s">
        <v>18</v>
      </c>
      <c r="F864" s="5">
        <v>2428.1999999999998</v>
      </c>
      <c r="G864" s="5">
        <v>3896.76</v>
      </c>
      <c r="H864" s="5">
        <f t="shared" si="26"/>
        <v>1468.5600000000004</v>
      </c>
      <c r="I864" s="9">
        <f t="shared" si="27"/>
        <v>0.60479367432666198</v>
      </c>
      <c r="J864" s="3" t="s">
        <v>4603</v>
      </c>
    </row>
    <row r="865" spans="1:10" ht="38.25">
      <c r="A865" s="3" t="s">
        <v>1693</v>
      </c>
      <c r="B865" s="3" t="s">
        <v>1694</v>
      </c>
      <c r="C865" s="4">
        <v>45</v>
      </c>
      <c r="D865" s="3" t="s">
        <v>16</v>
      </c>
      <c r="E865" s="3" t="s">
        <v>8</v>
      </c>
      <c r="F865" s="5">
        <v>5542.8</v>
      </c>
      <c r="G865" s="5">
        <v>18855.84</v>
      </c>
      <c r="H865" s="5">
        <f t="shared" si="26"/>
        <v>13313.04</v>
      </c>
      <c r="I865" s="9">
        <f t="shared" si="27"/>
        <v>2.4018618748646894</v>
      </c>
      <c r="J865" s="3" t="s">
        <v>4603</v>
      </c>
    </row>
    <row r="866" spans="1:10" ht="25.5">
      <c r="A866" s="3" t="s">
        <v>1695</v>
      </c>
      <c r="B866" s="3" t="s">
        <v>1696</v>
      </c>
      <c r="C866" s="4">
        <v>266</v>
      </c>
      <c r="D866" s="3" t="s">
        <v>111</v>
      </c>
      <c r="E866" s="3" t="s">
        <v>18</v>
      </c>
      <c r="F866" s="5">
        <v>81563.399999999994</v>
      </c>
      <c r="G866" s="5">
        <v>208415.21900000001</v>
      </c>
      <c r="H866" s="5">
        <f t="shared" si="26"/>
        <v>126851.81900000002</v>
      </c>
      <c r="I866" s="9">
        <f t="shared" si="27"/>
        <v>1.5552541826358395</v>
      </c>
      <c r="J866" s="3" t="s">
        <v>4603</v>
      </c>
    </row>
    <row r="867" spans="1:10">
      <c r="A867" s="3" t="s">
        <v>1697</v>
      </c>
      <c r="B867" s="3" t="s">
        <v>1698</v>
      </c>
      <c r="C867" s="4">
        <v>15</v>
      </c>
      <c r="D867" s="3" t="s">
        <v>33</v>
      </c>
      <c r="E867" s="3" t="s">
        <v>13</v>
      </c>
      <c r="F867" s="5">
        <v>0</v>
      </c>
      <c r="G867" s="5">
        <v>21517.919999999998</v>
      </c>
      <c r="H867" s="5">
        <f t="shared" si="26"/>
        <v>21517.919999999998</v>
      </c>
      <c r="I867" s="9">
        <f t="shared" si="27"/>
        <v>0</v>
      </c>
      <c r="J867" s="3" t="s">
        <v>4604</v>
      </c>
    </row>
    <row r="868" spans="1:10" ht="25.5">
      <c r="A868" s="3" t="s">
        <v>1699</v>
      </c>
      <c r="B868" s="3" t="s">
        <v>226</v>
      </c>
      <c r="C868" s="4">
        <v>270</v>
      </c>
      <c r="D868" s="3" t="s">
        <v>312</v>
      </c>
      <c r="E868" s="3" t="s">
        <v>30</v>
      </c>
      <c r="F868" s="5">
        <v>14820</v>
      </c>
      <c r="G868" s="5">
        <v>7188.06</v>
      </c>
      <c r="H868" s="5">
        <f t="shared" si="26"/>
        <v>-7631.94</v>
      </c>
      <c r="I868" s="9">
        <f t="shared" si="27"/>
        <v>-0.51497570850202434</v>
      </c>
      <c r="J868" s="3" t="s">
        <v>4603</v>
      </c>
    </row>
    <row r="869" spans="1:10" ht="38.25">
      <c r="A869" s="3" t="s">
        <v>1699</v>
      </c>
      <c r="B869" s="3" t="s">
        <v>226</v>
      </c>
      <c r="C869" s="4">
        <v>301</v>
      </c>
      <c r="D869" s="3" t="s">
        <v>12</v>
      </c>
      <c r="E869" s="3" t="s">
        <v>13</v>
      </c>
      <c r="F869" s="5">
        <v>14820</v>
      </c>
      <c r="G869" s="5">
        <v>7188.06</v>
      </c>
      <c r="H869" s="5">
        <f t="shared" si="26"/>
        <v>-7631.94</v>
      </c>
      <c r="I869" s="9">
        <f t="shared" si="27"/>
        <v>-0.51497570850202434</v>
      </c>
      <c r="J869" s="3" t="s">
        <v>4603</v>
      </c>
    </row>
    <row r="870" spans="1:10" ht="25.5">
      <c r="A870" s="3" t="s">
        <v>1699</v>
      </c>
      <c r="B870" s="3" t="s">
        <v>226</v>
      </c>
      <c r="C870" s="4">
        <v>320</v>
      </c>
      <c r="D870" s="3" t="s">
        <v>188</v>
      </c>
      <c r="E870" s="3" t="s">
        <v>13</v>
      </c>
      <c r="F870" s="5">
        <v>14820</v>
      </c>
      <c r="G870" s="5">
        <v>7188.06</v>
      </c>
      <c r="H870" s="5">
        <f t="shared" si="26"/>
        <v>-7631.94</v>
      </c>
      <c r="I870" s="9">
        <f t="shared" si="27"/>
        <v>-0.51497570850202434</v>
      </c>
      <c r="J870" s="3" t="s">
        <v>4603</v>
      </c>
    </row>
    <row r="871" spans="1:10" ht="25.5">
      <c r="A871" s="3" t="s">
        <v>1699</v>
      </c>
      <c r="B871" s="3" t="s">
        <v>226</v>
      </c>
      <c r="C871" s="4">
        <v>320</v>
      </c>
      <c r="D871" s="3" t="s">
        <v>188</v>
      </c>
      <c r="E871" s="3" t="s">
        <v>30</v>
      </c>
      <c r="F871" s="5">
        <v>14820</v>
      </c>
      <c r="G871" s="5">
        <v>7188.06</v>
      </c>
      <c r="H871" s="5">
        <f t="shared" si="26"/>
        <v>-7631.94</v>
      </c>
      <c r="I871" s="9">
        <f t="shared" si="27"/>
        <v>-0.51497570850202434</v>
      </c>
      <c r="J871" s="3" t="s">
        <v>4603</v>
      </c>
    </row>
    <row r="872" spans="1:10">
      <c r="A872" s="3" t="s">
        <v>1700</v>
      </c>
      <c r="B872" s="3" t="s">
        <v>1701</v>
      </c>
      <c r="C872" s="4">
        <v>167</v>
      </c>
      <c r="D872" s="3" t="s">
        <v>335</v>
      </c>
      <c r="E872" s="3" t="s">
        <v>30</v>
      </c>
      <c r="F872" s="5">
        <v>8978.8799999999992</v>
      </c>
      <c r="G872" s="5">
        <v>28239.281999999999</v>
      </c>
      <c r="H872" s="5">
        <f t="shared" si="26"/>
        <v>19260.402000000002</v>
      </c>
      <c r="I872" s="9">
        <f t="shared" si="27"/>
        <v>2.1450784507644607</v>
      </c>
      <c r="J872" s="3" t="s">
        <v>4603</v>
      </c>
    </row>
    <row r="873" spans="1:10" ht="25.5">
      <c r="A873" s="3" t="s">
        <v>1702</v>
      </c>
      <c r="B873" s="3" t="s">
        <v>1703</v>
      </c>
      <c r="C873" s="4">
        <v>178</v>
      </c>
      <c r="D873" s="3" t="s">
        <v>92</v>
      </c>
      <c r="E873" s="3" t="s">
        <v>8</v>
      </c>
      <c r="F873" s="5">
        <v>12849.96</v>
      </c>
      <c r="G873" s="5">
        <v>23523.72</v>
      </c>
      <c r="H873" s="5">
        <f t="shared" si="26"/>
        <v>10673.760000000002</v>
      </c>
      <c r="I873" s="9">
        <f t="shared" si="27"/>
        <v>0.83064538722299552</v>
      </c>
      <c r="J873" s="3" t="s">
        <v>4603</v>
      </c>
    </row>
    <row r="874" spans="1:10">
      <c r="A874" s="3" t="s">
        <v>1702</v>
      </c>
      <c r="B874" s="3" t="s">
        <v>1703</v>
      </c>
      <c r="C874" s="4">
        <v>231</v>
      </c>
      <c r="D874" s="3" t="s">
        <v>89</v>
      </c>
      <c r="E874" s="3" t="s">
        <v>8</v>
      </c>
      <c r="F874" s="5">
        <v>12849.96</v>
      </c>
      <c r="G874" s="5">
        <v>23523.72</v>
      </c>
      <c r="H874" s="5">
        <f t="shared" si="26"/>
        <v>10673.760000000002</v>
      </c>
      <c r="I874" s="9">
        <f t="shared" si="27"/>
        <v>0.83064538722299552</v>
      </c>
      <c r="J874" s="3" t="s">
        <v>4603</v>
      </c>
    </row>
    <row r="875" spans="1:10">
      <c r="A875" s="3" t="s">
        <v>1704</v>
      </c>
      <c r="B875" s="3" t="s">
        <v>1705</v>
      </c>
      <c r="C875" s="4">
        <v>231</v>
      </c>
      <c r="D875" s="3" t="s">
        <v>89</v>
      </c>
      <c r="E875" s="3" t="s">
        <v>8</v>
      </c>
      <c r="F875" s="5">
        <v>7366.8</v>
      </c>
      <c r="G875" s="5">
        <v>0</v>
      </c>
      <c r="H875" s="5">
        <f t="shared" si="26"/>
        <v>-7366.8</v>
      </c>
      <c r="I875" s="9">
        <f t="shared" si="27"/>
        <v>-1</v>
      </c>
      <c r="J875" s="3" t="s">
        <v>4603</v>
      </c>
    </row>
    <row r="876" spans="1:10" ht="25.5">
      <c r="A876" s="3" t="s">
        <v>1706</v>
      </c>
      <c r="B876" s="3" t="s">
        <v>1707</v>
      </c>
      <c r="C876" s="4">
        <v>178</v>
      </c>
      <c r="D876" s="3" t="s">
        <v>92</v>
      </c>
      <c r="E876" s="3" t="s">
        <v>8</v>
      </c>
      <c r="F876" s="5">
        <v>92247.96</v>
      </c>
      <c r="G876" s="5">
        <v>0</v>
      </c>
      <c r="H876" s="5">
        <f t="shared" si="26"/>
        <v>-92247.96</v>
      </c>
      <c r="I876" s="9">
        <f t="shared" si="27"/>
        <v>-1</v>
      </c>
      <c r="J876" s="3" t="s">
        <v>4603</v>
      </c>
    </row>
    <row r="877" spans="1:10">
      <c r="A877" s="3" t="s">
        <v>1708</v>
      </c>
      <c r="B877" s="3" t="s">
        <v>1709</v>
      </c>
      <c r="C877" s="4">
        <v>231</v>
      </c>
      <c r="D877" s="3" t="s">
        <v>89</v>
      </c>
      <c r="E877" s="3" t="s">
        <v>8</v>
      </c>
      <c r="F877" s="5">
        <v>55383</v>
      </c>
      <c r="G877" s="5">
        <v>66370.23</v>
      </c>
      <c r="H877" s="5">
        <f t="shared" si="26"/>
        <v>10987.229999999996</v>
      </c>
      <c r="I877" s="9">
        <f t="shared" si="27"/>
        <v>0.19838632793456479</v>
      </c>
      <c r="J877" s="3" t="s">
        <v>4603</v>
      </c>
    </row>
    <row r="878" spans="1:10" ht="51">
      <c r="A878" s="3" t="s">
        <v>1710</v>
      </c>
      <c r="B878" s="3" t="s">
        <v>1711</v>
      </c>
      <c r="C878" s="4">
        <v>282</v>
      </c>
      <c r="D878" s="3" t="s">
        <v>298</v>
      </c>
      <c r="E878" s="3" t="s">
        <v>9</v>
      </c>
      <c r="F878" s="5">
        <v>7896.84</v>
      </c>
      <c r="G878" s="5">
        <v>0</v>
      </c>
      <c r="H878" s="5">
        <f t="shared" si="26"/>
        <v>-7896.84</v>
      </c>
      <c r="I878" s="9">
        <f t="shared" si="27"/>
        <v>-1</v>
      </c>
      <c r="J878" s="3" t="s">
        <v>4603</v>
      </c>
    </row>
    <row r="879" spans="1:10" ht="25.5">
      <c r="A879" s="3" t="s">
        <v>1712</v>
      </c>
      <c r="B879" s="3" t="s">
        <v>1713</v>
      </c>
      <c r="C879" s="4">
        <v>197</v>
      </c>
      <c r="D879" s="3" t="s">
        <v>23</v>
      </c>
      <c r="E879" s="3" t="s">
        <v>22</v>
      </c>
      <c r="F879" s="5">
        <v>7736.73</v>
      </c>
      <c r="G879" s="5">
        <v>0</v>
      </c>
      <c r="H879" s="5">
        <f t="shared" si="26"/>
        <v>-7736.73</v>
      </c>
      <c r="I879" s="9">
        <f t="shared" si="27"/>
        <v>-1</v>
      </c>
      <c r="J879" s="3" t="s">
        <v>4603</v>
      </c>
    </row>
    <row r="880" spans="1:10" ht="38.25">
      <c r="A880" s="3" t="s">
        <v>1714</v>
      </c>
      <c r="B880" s="3" t="s">
        <v>1715</v>
      </c>
      <c r="C880" s="4">
        <v>301</v>
      </c>
      <c r="D880" s="3" t="s">
        <v>12</v>
      </c>
      <c r="E880" s="3" t="s">
        <v>13</v>
      </c>
      <c r="F880" s="5">
        <v>11405.52</v>
      </c>
      <c r="G880" s="5">
        <v>23117.759999999998</v>
      </c>
      <c r="H880" s="5">
        <f t="shared" si="26"/>
        <v>11712.239999999998</v>
      </c>
      <c r="I880" s="9">
        <f t="shared" si="27"/>
        <v>1.0268922416514106</v>
      </c>
      <c r="J880" s="3" t="s">
        <v>4603</v>
      </c>
    </row>
    <row r="881" spans="1:10" ht="38.25">
      <c r="A881" s="3" t="s">
        <v>1716</v>
      </c>
      <c r="B881" s="3" t="s">
        <v>1717</v>
      </c>
      <c r="C881" s="4">
        <v>371</v>
      </c>
      <c r="D881" s="3" t="s">
        <v>29</v>
      </c>
      <c r="E881" s="3" t="s">
        <v>30</v>
      </c>
      <c r="F881" s="5">
        <v>0</v>
      </c>
      <c r="G881" s="5">
        <v>94950.792000000001</v>
      </c>
      <c r="H881" s="5">
        <f t="shared" si="26"/>
        <v>94950.792000000001</v>
      </c>
      <c r="I881" s="9">
        <f t="shared" si="27"/>
        <v>0</v>
      </c>
      <c r="J881" s="3" t="s">
        <v>4603</v>
      </c>
    </row>
    <row r="882" spans="1:10">
      <c r="A882" s="3" t="s">
        <v>1718</v>
      </c>
      <c r="B882" s="3" t="s">
        <v>1719</v>
      </c>
      <c r="C882" s="4">
        <v>231</v>
      </c>
      <c r="D882" s="3" t="s">
        <v>89</v>
      </c>
      <c r="E882" s="3" t="s">
        <v>8</v>
      </c>
      <c r="F882" s="5">
        <v>52281.36</v>
      </c>
      <c r="G882" s="5">
        <v>53634</v>
      </c>
      <c r="H882" s="5">
        <f t="shared" si="26"/>
        <v>1352.6399999999994</v>
      </c>
      <c r="I882" s="9">
        <f t="shared" si="27"/>
        <v>2.5872318547183859E-2</v>
      </c>
      <c r="J882" s="3" t="s">
        <v>4603</v>
      </c>
    </row>
    <row r="883" spans="1:10">
      <c r="A883" s="3" t="s">
        <v>1720</v>
      </c>
      <c r="B883" s="3" t="s">
        <v>1721</v>
      </c>
      <c r="C883" s="4">
        <v>167</v>
      </c>
      <c r="D883" s="3" t="s">
        <v>335</v>
      </c>
      <c r="E883" s="3" t="s">
        <v>30</v>
      </c>
      <c r="F883" s="5">
        <v>0</v>
      </c>
      <c r="G883" s="5">
        <v>61786.921000000002</v>
      </c>
      <c r="H883" s="5">
        <f t="shared" si="26"/>
        <v>61786.921000000002</v>
      </c>
      <c r="I883" s="9">
        <f t="shared" si="27"/>
        <v>0</v>
      </c>
      <c r="J883" s="3" t="s">
        <v>4603</v>
      </c>
    </row>
    <row r="884" spans="1:10" ht="38.25">
      <c r="A884" s="3" t="s">
        <v>1722</v>
      </c>
      <c r="B884" s="3" t="s">
        <v>1723</v>
      </c>
      <c r="C884" s="4">
        <v>34</v>
      </c>
      <c r="D884" s="3" t="s">
        <v>136</v>
      </c>
      <c r="E884" s="3" t="s">
        <v>30</v>
      </c>
      <c r="F884" s="5">
        <v>19811.91</v>
      </c>
      <c r="G884" s="5">
        <v>0</v>
      </c>
      <c r="H884" s="5">
        <f t="shared" si="26"/>
        <v>-19811.91</v>
      </c>
      <c r="I884" s="9">
        <f t="shared" si="27"/>
        <v>-1</v>
      </c>
      <c r="J884" s="3" t="s">
        <v>4603</v>
      </c>
    </row>
    <row r="885" spans="1:10">
      <c r="A885" s="3" t="s">
        <v>1724</v>
      </c>
      <c r="B885" s="3" t="s">
        <v>1725</v>
      </c>
      <c r="C885" s="4">
        <v>231</v>
      </c>
      <c r="D885" s="3" t="s">
        <v>89</v>
      </c>
      <c r="E885" s="3" t="s">
        <v>8</v>
      </c>
      <c r="F885" s="5">
        <v>63830.64</v>
      </c>
      <c r="G885" s="5">
        <v>67348.56</v>
      </c>
      <c r="H885" s="5">
        <f t="shared" si="26"/>
        <v>3517.9199999999983</v>
      </c>
      <c r="I885" s="9">
        <f t="shared" si="27"/>
        <v>5.5113343685728289E-2</v>
      </c>
      <c r="J885" s="3" t="s">
        <v>4603</v>
      </c>
    </row>
    <row r="886" spans="1:10" ht="25.5">
      <c r="A886" s="3" t="s">
        <v>1726</v>
      </c>
      <c r="B886" s="3" t="s">
        <v>1727</v>
      </c>
      <c r="C886" s="4">
        <v>15</v>
      </c>
      <c r="D886" s="3" t="s">
        <v>33</v>
      </c>
      <c r="E886" s="3" t="s">
        <v>13</v>
      </c>
      <c r="F886" s="5">
        <v>465453.42</v>
      </c>
      <c r="G886" s="5">
        <v>435574.01799999998</v>
      </c>
      <c r="H886" s="5">
        <f t="shared" si="26"/>
        <v>-29879.402000000002</v>
      </c>
      <c r="I886" s="9">
        <f t="shared" si="27"/>
        <v>-6.4194182953903334E-2</v>
      </c>
      <c r="J886" s="3" t="s">
        <v>4603</v>
      </c>
    </row>
    <row r="887" spans="1:10" ht="25.5">
      <c r="A887" s="3" t="s">
        <v>1729</v>
      </c>
      <c r="B887" s="3" t="s">
        <v>1730</v>
      </c>
      <c r="C887" s="4">
        <v>299</v>
      </c>
      <c r="D887" s="3" t="s">
        <v>246</v>
      </c>
      <c r="E887" s="3" t="s">
        <v>30</v>
      </c>
      <c r="F887" s="5">
        <v>13368.9</v>
      </c>
      <c r="G887" s="5">
        <v>0</v>
      </c>
      <c r="H887" s="5">
        <f t="shared" si="26"/>
        <v>-13368.9</v>
      </c>
      <c r="I887" s="9">
        <f t="shared" si="27"/>
        <v>-1</v>
      </c>
      <c r="J887" s="3" t="s">
        <v>4603</v>
      </c>
    </row>
    <row r="888" spans="1:10">
      <c r="A888" s="3" t="s">
        <v>1731</v>
      </c>
      <c r="B888" s="3" t="s">
        <v>1732</v>
      </c>
      <c r="C888" s="4">
        <v>167</v>
      </c>
      <c r="D888" s="3" t="s">
        <v>335</v>
      </c>
      <c r="E888" s="3" t="s">
        <v>30</v>
      </c>
      <c r="F888" s="5">
        <v>2111.52</v>
      </c>
      <c r="G888" s="5">
        <v>11323.32</v>
      </c>
      <c r="H888" s="5">
        <f t="shared" si="26"/>
        <v>9211.7999999999993</v>
      </c>
      <c r="I888" s="9">
        <f t="shared" si="27"/>
        <v>4.3626392361900432</v>
      </c>
      <c r="J888" s="3" t="s">
        <v>4603</v>
      </c>
    </row>
    <row r="889" spans="1:10" ht="25.5">
      <c r="A889" s="3" t="s">
        <v>1733</v>
      </c>
      <c r="B889" s="3" t="s">
        <v>1734</v>
      </c>
      <c r="C889" s="4">
        <v>23</v>
      </c>
      <c r="D889" s="3" t="s">
        <v>71</v>
      </c>
      <c r="E889" s="3" t="s">
        <v>8</v>
      </c>
      <c r="F889" s="5">
        <v>0</v>
      </c>
      <c r="G889" s="5">
        <v>114033.52800000001</v>
      </c>
      <c r="H889" s="5">
        <f t="shared" si="26"/>
        <v>114033.52800000001</v>
      </c>
      <c r="I889" s="9">
        <f t="shared" si="27"/>
        <v>0</v>
      </c>
      <c r="J889" s="3" t="s">
        <v>4603</v>
      </c>
    </row>
    <row r="890" spans="1:10" ht="25.5">
      <c r="A890" s="3" t="s">
        <v>1735</v>
      </c>
      <c r="B890" s="3" t="s">
        <v>1736</v>
      </c>
      <c r="C890" s="4">
        <v>261</v>
      </c>
      <c r="D890" s="3" t="s">
        <v>17</v>
      </c>
      <c r="E890" s="3" t="s">
        <v>18</v>
      </c>
      <c r="F890" s="5">
        <v>0</v>
      </c>
      <c r="G890" s="5">
        <v>9285.7199999999993</v>
      </c>
      <c r="H890" s="5">
        <f t="shared" si="26"/>
        <v>9285.7199999999993</v>
      </c>
      <c r="I890" s="9">
        <f t="shared" si="27"/>
        <v>0</v>
      </c>
      <c r="J890" s="3" t="s">
        <v>4603</v>
      </c>
    </row>
    <row r="891" spans="1:10">
      <c r="A891" s="3" t="s">
        <v>1737</v>
      </c>
      <c r="B891" s="3" t="s">
        <v>1738</v>
      </c>
      <c r="C891" s="4">
        <v>167</v>
      </c>
      <c r="D891" s="3" t="s">
        <v>335</v>
      </c>
      <c r="E891" s="3" t="s">
        <v>30</v>
      </c>
      <c r="F891" s="5">
        <v>5537.28</v>
      </c>
      <c r="G891" s="5">
        <v>0</v>
      </c>
      <c r="H891" s="5">
        <f t="shared" si="26"/>
        <v>-5537.28</v>
      </c>
      <c r="I891" s="9">
        <f t="shared" si="27"/>
        <v>-1</v>
      </c>
      <c r="J891" s="3" t="s">
        <v>4603</v>
      </c>
    </row>
    <row r="892" spans="1:10" ht="25.5">
      <c r="A892" s="3" t="s">
        <v>1739</v>
      </c>
      <c r="B892" s="3" t="s">
        <v>1740</v>
      </c>
      <c r="C892" s="4">
        <v>261</v>
      </c>
      <c r="D892" s="3" t="s">
        <v>17</v>
      </c>
      <c r="E892" s="3" t="s">
        <v>18</v>
      </c>
      <c r="F892" s="5">
        <v>2953.68</v>
      </c>
      <c r="G892" s="5">
        <v>0</v>
      </c>
      <c r="H892" s="5">
        <f t="shared" si="26"/>
        <v>-2953.68</v>
      </c>
      <c r="I892" s="9">
        <f t="shared" si="27"/>
        <v>-1</v>
      </c>
      <c r="J892" s="3" t="s">
        <v>4603</v>
      </c>
    </row>
    <row r="893" spans="1:10" ht="25.5">
      <c r="A893" s="3" t="s">
        <v>1741</v>
      </c>
      <c r="B893" s="3" t="s">
        <v>1742</v>
      </c>
      <c r="C893" s="4">
        <v>23</v>
      </c>
      <c r="D893" s="3" t="s">
        <v>71</v>
      </c>
      <c r="E893" s="3" t="s">
        <v>8</v>
      </c>
      <c r="F893" s="5">
        <v>21693</v>
      </c>
      <c r="G893" s="5">
        <v>45405.93</v>
      </c>
      <c r="H893" s="5">
        <f t="shared" si="26"/>
        <v>23712.93</v>
      </c>
      <c r="I893" s="9">
        <f t="shared" si="27"/>
        <v>1.0931143686903608</v>
      </c>
      <c r="J893" s="3" t="s">
        <v>4603</v>
      </c>
    </row>
    <row r="894" spans="1:10" ht="38.25">
      <c r="A894" s="3" t="s">
        <v>1743</v>
      </c>
      <c r="B894" s="3" t="s">
        <v>1744</v>
      </c>
      <c r="C894" s="4">
        <v>45</v>
      </c>
      <c r="D894" s="3" t="s">
        <v>16</v>
      </c>
      <c r="E894" s="3" t="s">
        <v>8</v>
      </c>
      <c r="F894" s="5">
        <v>0</v>
      </c>
      <c r="G894" s="5">
        <v>45903.72</v>
      </c>
      <c r="H894" s="5">
        <f t="shared" si="26"/>
        <v>45903.72</v>
      </c>
      <c r="I894" s="9">
        <f t="shared" si="27"/>
        <v>0</v>
      </c>
      <c r="J894" s="3" t="s">
        <v>4603</v>
      </c>
    </row>
    <row r="895" spans="1:10" ht="25.5">
      <c r="A895" s="3" t="s">
        <v>1745</v>
      </c>
      <c r="B895" s="3" t="s">
        <v>1746</v>
      </c>
      <c r="C895" s="4">
        <v>197</v>
      </c>
      <c r="D895" s="3" t="s">
        <v>23</v>
      </c>
      <c r="E895" s="3" t="s">
        <v>22</v>
      </c>
      <c r="F895" s="5">
        <v>22345.32</v>
      </c>
      <c r="G895" s="5">
        <v>0</v>
      </c>
      <c r="H895" s="5">
        <f t="shared" si="26"/>
        <v>-22345.32</v>
      </c>
      <c r="I895" s="9">
        <f t="shared" si="27"/>
        <v>-1</v>
      </c>
      <c r="J895" s="3" t="s">
        <v>4603</v>
      </c>
    </row>
    <row r="896" spans="1:10" ht="25.5">
      <c r="A896" s="3" t="s">
        <v>1747</v>
      </c>
      <c r="B896" s="3" t="s">
        <v>1748</v>
      </c>
      <c r="C896" s="4">
        <v>93</v>
      </c>
      <c r="D896" s="3" t="s">
        <v>42</v>
      </c>
      <c r="E896" s="3" t="s">
        <v>8</v>
      </c>
      <c r="F896" s="5">
        <v>0</v>
      </c>
      <c r="G896" s="5">
        <v>45118.74</v>
      </c>
      <c r="H896" s="5">
        <f t="shared" si="26"/>
        <v>45118.74</v>
      </c>
      <c r="I896" s="9">
        <f t="shared" si="27"/>
        <v>0</v>
      </c>
      <c r="J896" s="3" t="s">
        <v>4603</v>
      </c>
    </row>
    <row r="897" spans="1:10" ht="25.5">
      <c r="A897" s="3" t="s">
        <v>1749</v>
      </c>
      <c r="B897" s="3" t="s">
        <v>1750</v>
      </c>
      <c r="C897" s="4">
        <v>317</v>
      </c>
      <c r="D897" s="3" t="s">
        <v>54</v>
      </c>
      <c r="E897" s="3" t="s">
        <v>18</v>
      </c>
      <c r="F897" s="5">
        <v>481423.2</v>
      </c>
      <c r="G897" s="5">
        <v>144096</v>
      </c>
      <c r="H897" s="5">
        <f t="shared" si="26"/>
        <v>-337327.2</v>
      </c>
      <c r="I897" s="9">
        <f t="shared" si="27"/>
        <v>-0.70068746167613027</v>
      </c>
      <c r="J897" s="3" t="s">
        <v>4603</v>
      </c>
    </row>
    <row r="898" spans="1:10" ht="25.5">
      <c r="A898" s="3" t="s">
        <v>1751</v>
      </c>
      <c r="B898" s="3" t="s">
        <v>1752</v>
      </c>
      <c r="C898" s="4">
        <v>23</v>
      </c>
      <c r="D898" s="3" t="s">
        <v>71</v>
      </c>
      <c r="E898" s="3" t="s">
        <v>8</v>
      </c>
      <c r="F898" s="5">
        <v>0</v>
      </c>
      <c r="G898" s="5">
        <v>18084.32</v>
      </c>
      <c r="H898" s="5">
        <f t="shared" si="26"/>
        <v>18084.32</v>
      </c>
      <c r="I898" s="9">
        <f t="shared" si="27"/>
        <v>0</v>
      </c>
      <c r="J898" s="3" t="s">
        <v>4603</v>
      </c>
    </row>
    <row r="899" spans="1:10">
      <c r="A899" s="3" t="s">
        <v>1753</v>
      </c>
      <c r="B899" s="3" t="s">
        <v>1754</v>
      </c>
      <c r="C899" s="4">
        <v>231</v>
      </c>
      <c r="D899" s="3" t="s">
        <v>89</v>
      </c>
      <c r="E899" s="3" t="s">
        <v>8</v>
      </c>
      <c r="F899" s="5">
        <v>5003.16</v>
      </c>
      <c r="G899" s="5">
        <v>0</v>
      </c>
      <c r="H899" s="5">
        <f t="shared" ref="H899:H962" si="28">G899-F899</f>
        <v>-5003.16</v>
      </c>
      <c r="I899" s="9">
        <f t="shared" ref="I899:I962" si="29">IFERROR(G899/F899-1,0)</f>
        <v>-1</v>
      </c>
      <c r="J899" s="3" t="s">
        <v>4603</v>
      </c>
    </row>
    <row r="900" spans="1:10" ht="25.5">
      <c r="A900" s="3" t="s">
        <v>1755</v>
      </c>
      <c r="B900" s="3" t="s">
        <v>1756</v>
      </c>
      <c r="C900" s="4">
        <v>23</v>
      </c>
      <c r="D900" s="3" t="s">
        <v>71</v>
      </c>
      <c r="E900" s="3" t="s">
        <v>8</v>
      </c>
      <c r="F900" s="5">
        <v>41249.040000000001</v>
      </c>
      <c r="G900" s="5">
        <v>95970.06</v>
      </c>
      <c r="H900" s="5">
        <f t="shared" si="28"/>
        <v>54721.02</v>
      </c>
      <c r="I900" s="9">
        <f t="shared" si="29"/>
        <v>1.3266010554427448</v>
      </c>
      <c r="J900" s="3" t="s">
        <v>4603</v>
      </c>
    </row>
    <row r="901" spans="1:10" ht="38.25">
      <c r="A901" s="3" t="s">
        <v>1757</v>
      </c>
      <c r="B901" s="3" t="s">
        <v>273</v>
      </c>
      <c r="C901" s="4">
        <v>371</v>
      </c>
      <c r="D901" s="3" t="s">
        <v>29</v>
      </c>
      <c r="E901" s="3" t="s">
        <v>30</v>
      </c>
      <c r="F901" s="5">
        <v>0</v>
      </c>
      <c r="G901" s="5">
        <v>20248.542000000001</v>
      </c>
      <c r="H901" s="5">
        <f t="shared" si="28"/>
        <v>20248.542000000001</v>
      </c>
      <c r="I901" s="9">
        <f t="shared" si="29"/>
        <v>0</v>
      </c>
      <c r="J901" s="3" t="s">
        <v>4603</v>
      </c>
    </row>
    <row r="902" spans="1:10" ht="25.5">
      <c r="A902" s="3" t="s">
        <v>1758</v>
      </c>
      <c r="B902" s="3" t="s">
        <v>1759</v>
      </c>
      <c r="C902" s="4">
        <v>194</v>
      </c>
      <c r="D902" s="3" t="s">
        <v>179</v>
      </c>
      <c r="E902" s="3" t="s">
        <v>13</v>
      </c>
      <c r="F902" s="5">
        <v>969834.6</v>
      </c>
      <c r="G902" s="5">
        <v>526147.68000000005</v>
      </c>
      <c r="H902" s="5">
        <f t="shared" si="28"/>
        <v>-443686.91999999993</v>
      </c>
      <c r="I902" s="9">
        <f t="shared" si="29"/>
        <v>-0.45748720451920355</v>
      </c>
      <c r="J902" s="3" t="s">
        <v>4603</v>
      </c>
    </row>
    <row r="903" spans="1:10" ht="51">
      <c r="A903" s="3" t="s">
        <v>1760</v>
      </c>
      <c r="B903" s="3" t="s">
        <v>1761</v>
      </c>
      <c r="C903" s="4">
        <v>282</v>
      </c>
      <c r="D903" s="3" t="s">
        <v>298</v>
      </c>
      <c r="E903" s="3" t="s">
        <v>9</v>
      </c>
      <c r="F903" s="5">
        <v>35343.870000000003</v>
      </c>
      <c r="G903" s="5">
        <v>8664</v>
      </c>
      <c r="H903" s="5">
        <f t="shared" si="28"/>
        <v>-26679.870000000003</v>
      </c>
      <c r="I903" s="9">
        <f t="shared" si="29"/>
        <v>-0.75486555377212516</v>
      </c>
      <c r="J903" s="3" t="s">
        <v>4603</v>
      </c>
    </row>
    <row r="904" spans="1:10" ht="25.5">
      <c r="A904" s="3" t="s">
        <v>1762</v>
      </c>
      <c r="B904" s="3" t="s">
        <v>166</v>
      </c>
      <c r="C904" s="4">
        <v>53</v>
      </c>
      <c r="D904" s="3" t="s">
        <v>340</v>
      </c>
      <c r="E904" s="3" t="s">
        <v>13</v>
      </c>
      <c r="F904" s="5">
        <v>11688.96</v>
      </c>
      <c r="G904" s="5">
        <v>81242.22</v>
      </c>
      <c r="H904" s="5">
        <f t="shared" si="28"/>
        <v>69553.260000000009</v>
      </c>
      <c r="I904" s="9">
        <f t="shared" si="29"/>
        <v>5.9503377545992118</v>
      </c>
      <c r="J904" s="3" t="s">
        <v>4604</v>
      </c>
    </row>
    <row r="905" spans="1:10">
      <c r="A905" s="3" t="s">
        <v>1763</v>
      </c>
      <c r="B905" s="3" t="s">
        <v>1764</v>
      </c>
      <c r="C905" s="4">
        <v>167</v>
      </c>
      <c r="D905" s="3" t="s">
        <v>335</v>
      </c>
      <c r="E905" s="3" t="s">
        <v>30</v>
      </c>
      <c r="F905" s="5">
        <v>13197</v>
      </c>
      <c r="G905" s="5">
        <v>34032.959999999999</v>
      </c>
      <c r="H905" s="5">
        <f t="shared" si="28"/>
        <v>20835.96</v>
      </c>
      <c r="I905" s="9">
        <f t="shared" si="29"/>
        <v>1.5788406456012729</v>
      </c>
      <c r="J905" s="3" t="s">
        <v>4603</v>
      </c>
    </row>
    <row r="906" spans="1:10" ht="25.5">
      <c r="A906" s="3" t="s">
        <v>1765</v>
      </c>
      <c r="B906" s="3" t="s">
        <v>1766</v>
      </c>
      <c r="C906" s="4">
        <v>93</v>
      </c>
      <c r="D906" s="3" t="s">
        <v>42</v>
      </c>
      <c r="E906" s="3" t="s">
        <v>8</v>
      </c>
      <c r="F906" s="5">
        <v>28432.77</v>
      </c>
      <c r="G906" s="5">
        <v>22425.84</v>
      </c>
      <c r="H906" s="5">
        <f t="shared" si="28"/>
        <v>-6006.93</v>
      </c>
      <c r="I906" s="9">
        <f t="shared" si="29"/>
        <v>-0.21126784340744853</v>
      </c>
      <c r="J906" s="3" t="s">
        <v>4603</v>
      </c>
    </row>
    <row r="907" spans="1:10" ht="25.5">
      <c r="A907" s="3" t="s">
        <v>1767</v>
      </c>
      <c r="B907" s="3" t="s">
        <v>1768</v>
      </c>
      <c r="C907" s="4">
        <v>93</v>
      </c>
      <c r="D907" s="3" t="s">
        <v>42</v>
      </c>
      <c r="E907" s="3" t="s">
        <v>8</v>
      </c>
      <c r="F907" s="5">
        <v>2292.66</v>
      </c>
      <c r="G907" s="5">
        <v>0</v>
      </c>
      <c r="H907" s="5">
        <f t="shared" si="28"/>
        <v>-2292.66</v>
      </c>
      <c r="I907" s="9">
        <f t="shared" si="29"/>
        <v>-1</v>
      </c>
      <c r="J907" s="3" t="s">
        <v>4603</v>
      </c>
    </row>
    <row r="908" spans="1:10" ht="38.25">
      <c r="A908" s="3" t="s">
        <v>1769</v>
      </c>
      <c r="B908" s="3" t="s">
        <v>1770</v>
      </c>
      <c r="C908" s="4">
        <v>34</v>
      </c>
      <c r="D908" s="3" t="s">
        <v>136</v>
      </c>
      <c r="E908" s="3" t="s">
        <v>30</v>
      </c>
      <c r="F908" s="5">
        <v>37748.61</v>
      </c>
      <c r="G908" s="5">
        <v>29466.240000000002</v>
      </c>
      <c r="H908" s="5">
        <f t="shared" si="28"/>
        <v>-8282.369999999999</v>
      </c>
      <c r="I908" s="9">
        <f t="shared" si="29"/>
        <v>-0.21940860868784307</v>
      </c>
      <c r="J908" s="3" t="s">
        <v>4603</v>
      </c>
    </row>
    <row r="909" spans="1:10" ht="25.5">
      <c r="A909" s="3" t="s">
        <v>1771</v>
      </c>
      <c r="B909" s="3" t="s">
        <v>1772</v>
      </c>
      <c r="C909" s="4">
        <v>261</v>
      </c>
      <c r="D909" s="3" t="s">
        <v>17</v>
      </c>
      <c r="E909" s="3" t="s">
        <v>18</v>
      </c>
      <c r="F909" s="5">
        <v>58577.22</v>
      </c>
      <c r="G909" s="5">
        <v>0</v>
      </c>
      <c r="H909" s="5">
        <f t="shared" si="28"/>
        <v>-58577.22</v>
      </c>
      <c r="I909" s="9">
        <f t="shared" si="29"/>
        <v>-1</v>
      </c>
      <c r="J909" s="3" t="s">
        <v>4603</v>
      </c>
    </row>
    <row r="910" spans="1:10" ht="25.5">
      <c r="A910" s="3" t="s">
        <v>1773</v>
      </c>
      <c r="B910" s="3" t="s">
        <v>1774</v>
      </c>
      <c r="C910" s="4">
        <v>93</v>
      </c>
      <c r="D910" s="3" t="s">
        <v>42</v>
      </c>
      <c r="E910" s="3" t="s">
        <v>8</v>
      </c>
      <c r="F910" s="5">
        <v>26319.24</v>
      </c>
      <c r="G910" s="5">
        <v>78934.679999999993</v>
      </c>
      <c r="H910" s="5">
        <f t="shared" si="28"/>
        <v>52615.439999999988</v>
      </c>
      <c r="I910" s="9">
        <f t="shared" si="29"/>
        <v>1.9991245947831318</v>
      </c>
      <c r="J910" s="3" t="s">
        <v>4603</v>
      </c>
    </row>
    <row r="911" spans="1:10" ht="25.5">
      <c r="A911" s="3" t="s">
        <v>1775</v>
      </c>
      <c r="B911" s="3" t="s">
        <v>1776</v>
      </c>
      <c r="C911" s="4">
        <v>93</v>
      </c>
      <c r="D911" s="3" t="s">
        <v>42</v>
      </c>
      <c r="E911" s="3" t="s">
        <v>8</v>
      </c>
      <c r="F911" s="5">
        <v>15909.6</v>
      </c>
      <c r="G911" s="5">
        <v>6671.64</v>
      </c>
      <c r="H911" s="5">
        <f t="shared" si="28"/>
        <v>-9237.9599999999991</v>
      </c>
      <c r="I911" s="9">
        <f t="shared" si="29"/>
        <v>-0.58065319052647457</v>
      </c>
      <c r="J911" s="3" t="s">
        <v>4604</v>
      </c>
    </row>
    <row r="912" spans="1:10" ht="38.25">
      <c r="A912" s="3" t="s">
        <v>1777</v>
      </c>
      <c r="B912" s="3" t="s">
        <v>1022</v>
      </c>
      <c r="C912" s="4">
        <v>34</v>
      </c>
      <c r="D912" s="3" t="s">
        <v>136</v>
      </c>
      <c r="E912" s="3" t="s">
        <v>30</v>
      </c>
      <c r="F912" s="5">
        <v>10666.29</v>
      </c>
      <c r="G912" s="5">
        <v>11738.25</v>
      </c>
      <c r="H912" s="5">
        <f t="shared" si="28"/>
        <v>1071.9599999999991</v>
      </c>
      <c r="I912" s="9">
        <f t="shared" si="29"/>
        <v>0.10049979889914851</v>
      </c>
      <c r="J912" s="3" t="s">
        <v>4603</v>
      </c>
    </row>
    <row r="913" spans="1:10" ht="38.25">
      <c r="A913" s="3" t="s">
        <v>1778</v>
      </c>
      <c r="B913" s="3" t="s">
        <v>1779</v>
      </c>
      <c r="C913" s="4">
        <v>371</v>
      </c>
      <c r="D913" s="3" t="s">
        <v>29</v>
      </c>
      <c r="E913" s="3" t="s">
        <v>30</v>
      </c>
      <c r="F913" s="5">
        <v>29450.880000000001</v>
      </c>
      <c r="G913" s="5">
        <v>0</v>
      </c>
      <c r="H913" s="5">
        <f t="shared" si="28"/>
        <v>-29450.880000000001</v>
      </c>
      <c r="I913" s="9">
        <f t="shared" si="29"/>
        <v>-1</v>
      </c>
      <c r="J913" s="3" t="s">
        <v>4603</v>
      </c>
    </row>
    <row r="914" spans="1:10">
      <c r="A914" s="3" t="s">
        <v>1780</v>
      </c>
      <c r="B914" s="3" t="s">
        <v>1781</v>
      </c>
      <c r="C914" s="4">
        <v>15</v>
      </c>
      <c r="D914" s="3" t="s">
        <v>33</v>
      </c>
      <c r="E914" s="3" t="s">
        <v>13</v>
      </c>
      <c r="F914" s="5">
        <v>0</v>
      </c>
      <c r="G914" s="5">
        <v>8798.8799999999992</v>
      </c>
      <c r="H914" s="5">
        <f t="shared" si="28"/>
        <v>8798.8799999999992</v>
      </c>
      <c r="I914" s="9">
        <f t="shared" si="29"/>
        <v>0</v>
      </c>
      <c r="J914" s="3" t="s">
        <v>4603</v>
      </c>
    </row>
    <row r="915" spans="1:10">
      <c r="A915" s="3" t="s">
        <v>1782</v>
      </c>
      <c r="B915" s="3" t="s">
        <v>1783</v>
      </c>
      <c r="C915" s="4">
        <v>342</v>
      </c>
      <c r="D915" s="3" t="s">
        <v>1784</v>
      </c>
      <c r="E915" s="3" t="s">
        <v>9</v>
      </c>
      <c r="F915" s="5">
        <v>131666.4</v>
      </c>
      <c r="G915" s="5">
        <v>38205.599999999999</v>
      </c>
      <c r="H915" s="5">
        <f t="shared" si="28"/>
        <v>-93460.799999999988</v>
      </c>
      <c r="I915" s="9">
        <f t="shared" si="29"/>
        <v>-0.70983029839047773</v>
      </c>
      <c r="J915" s="3" t="s">
        <v>4604</v>
      </c>
    </row>
    <row r="916" spans="1:10">
      <c r="A916" s="3" t="s">
        <v>1782</v>
      </c>
      <c r="B916" s="3" t="s">
        <v>1783</v>
      </c>
      <c r="C916" s="4">
        <v>342</v>
      </c>
      <c r="D916" s="3" t="s">
        <v>1784</v>
      </c>
      <c r="E916" s="3" t="s">
        <v>22</v>
      </c>
      <c r="F916" s="5">
        <v>131666.4</v>
      </c>
      <c r="G916" s="5">
        <v>38205.599999999999</v>
      </c>
      <c r="H916" s="5">
        <f t="shared" si="28"/>
        <v>-93460.799999999988</v>
      </c>
      <c r="I916" s="9">
        <f t="shared" si="29"/>
        <v>-0.70983029839047773</v>
      </c>
      <c r="J916" s="3" t="s">
        <v>4604</v>
      </c>
    </row>
    <row r="917" spans="1:10" ht="25.5">
      <c r="A917" s="3" t="s">
        <v>1785</v>
      </c>
      <c r="B917" s="3" t="s">
        <v>1786</v>
      </c>
      <c r="C917" s="4">
        <v>261</v>
      </c>
      <c r="D917" s="3" t="s">
        <v>17</v>
      </c>
      <c r="E917" s="3" t="s">
        <v>18</v>
      </c>
      <c r="F917" s="5">
        <v>10714.11</v>
      </c>
      <c r="G917" s="5">
        <v>26603.79</v>
      </c>
      <c r="H917" s="5">
        <f t="shared" si="28"/>
        <v>15889.68</v>
      </c>
      <c r="I917" s="9">
        <f t="shared" si="29"/>
        <v>1.4830611222024039</v>
      </c>
      <c r="J917" s="3" t="s">
        <v>4603</v>
      </c>
    </row>
    <row r="918" spans="1:10" ht="38.25">
      <c r="A918" s="3" t="s">
        <v>1787</v>
      </c>
      <c r="B918" s="3" t="s">
        <v>1788</v>
      </c>
      <c r="C918" s="4">
        <v>45</v>
      </c>
      <c r="D918" s="3" t="s">
        <v>16</v>
      </c>
      <c r="E918" s="3" t="s">
        <v>8</v>
      </c>
      <c r="F918" s="5">
        <v>21705.51</v>
      </c>
      <c r="G918" s="5">
        <v>0</v>
      </c>
      <c r="H918" s="5">
        <f t="shared" si="28"/>
        <v>-21705.51</v>
      </c>
      <c r="I918" s="9">
        <f t="shared" si="29"/>
        <v>-1</v>
      </c>
      <c r="J918" s="3" t="s">
        <v>4603</v>
      </c>
    </row>
    <row r="919" spans="1:10" ht="51">
      <c r="A919" s="3" t="s">
        <v>1789</v>
      </c>
      <c r="B919" s="3" t="s">
        <v>1790</v>
      </c>
      <c r="C919" s="4">
        <v>282</v>
      </c>
      <c r="D919" s="3" t="s">
        <v>298</v>
      </c>
      <c r="E919" s="3" t="s">
        <v>9</v>
      </c>
      <c r="F919" s="5">
        <v>14067.84</v>
      </c>
      <c r="G919" s="5">
        <v>0</v>
      </c>
      <c r="H919" s="5">
        <f t="shared" si="28"/>
        <v>-14067.84</v>
      </c>
      <c r="I919" s="9">
        <f t="shared" si="29"/>
        <v>-1</v>
      </c>
      <c r="J919" s="3" t="s">
        <v>4604</v>
      </c>
    </row>
    <row r="920" spans="1:10" ht="38.25">
      <c r="A920" s="3" t="s">
        <v>1791</v>
      </c>
      <c r="B920" s="3" t="s">
        <v>1792</v>
      </c>
      <c r="C920" s="4">
        <v>45</v>
      </c>
      <c r="D920" s="3" t="s">
        <v>16</v>
      </c>
      <c r="E920" s="3" t="s">
        <v>8</v>
      </c>
      <c r="F920" s="5">
        <v>18753</v>
      </c>
      <c r="G920" s="5">
        <v>14689.8</v>
      </c>
      <c r="H920" s="5">
        <f t="shared" si="28"/>
        <v>-4063.2000000000007</v>
      </c>
      <c r="I920" s="9">
        <f t="shared" si="29"/>
        <v>-0.21666933290673496</v>
      </c>
      <c r="J920" s="3" t="s">
        <v>4603</v>
      </c>
    </row>
    <row r="921" spans="1:10" ht="38.25">
      <c r="A921" s="3" t="s">
        <v>1793</v>
      </c>
      <c r="B921" s="3" t="s">
        <v>1794</v>
      </c>
      <c r="C921" s="4">
        <v>38</v>
      </c>
      <c r="D921" s="3" t="s">
        <v>229</v>
      </c>
      <c r="E921" s="3" t="s">
        <v>30</v>
      </c>
      <c r="F921" s="5">
        <v>64678.559999999998</v>
      </c>
      <c r="G921" s="5">
        <v>56032.77</v>
      </c>
      <c r="H921" s="5">
        <f t="shared" si="28"/>
        <v>-8645.7900000000009</v>
      </c>
      <c r="I921" s="9">
        <f t="shared" si="29"/>
        <v>-0.13367319866119465</v>
      </c>
      <c r="J921" s="3" t="s">
        <v>4603</v>
      </c>
    </row>
    <row r="922" spans="1:10" ht="25.5">
      <c r="A922" s="3" t="s">
        <v>1795</v>
      </c>
      <c r="B922" s="3" t="s">
        <v>1796</v>
      </c>
      <c r="C922" s="4">
        <v>61</v>
      </c>
      <c r="D922" s="3" t="s">
        <v>114</v>
      </c>
      <c r="E922" s="3" t="s">
        <v>30</v>
      </c>
      <c r="F922" s="5">
        <v>4583.16</v>
      </c>
      <c r="G922" s="5">
        <v>0</v>
      </c>
      <c r="H922" s="5">
        <f t="shared" si="28"/>
        <v>-4583.16</v>
      </c>
      <c r="I922" s="9">
        <f t="shared" si="29"/>
        <v>-1</v>
      </c>
      <c r="J922" s="3" t="s">
        <v>4603</v>
      </c>
    </row>
    <row r="923" spans="1:10" ht="38.25">
      <c r="A923" s="3" t="s">
        <v>1797</v>
      </c>
      <c r="B923" s="3" t="s">
        <v>1798</v>
      </c>
      <c r="C923" s="4">
        <v>45</v>
      </c>
      <c r="D923" s="3" t="s">
        <v>16</v>
      </c>
      <c r="E923" s="3" t="s">
        <v>8</v>
      </c>
      <c r="F923" s="5">
        <v>24152.28</v>
      </c>
      <c r="G923" s="5">
        <v>23880.78</v>
      </c>
      <c r="H923" s="5">
        <f t="shared" si="28"/>
        <v>-271.5</v>
      </c>
      <c r="I923" s="9">
        <f t="shared" si="29"/>
        <v>-1.1241174746235094E-2</v>
      </c>
      <c r="J923" s="3" t="s">
        <v>4603</v>
      </c>
    </row>
    <row r="924" spans="1:10" ht="38.25">
      <c r="A924" s="3" t="s">
        <v>1799</v>
      </c>
      <c r="B924" s="3" t="s">
        <v>1800</v>
      </c>
      <c r="C924" s="4">
        <v>371</v>
      </c>
      <c r="D924" s="3" t="s">
        <v>29</v>
      </c>
      <c r="E924" s="3" t="s">
        <v>30</v>
      </c>
      <c r="F924" s="5">
        <v>41656.86</v>
      </c>
      <c r="G924" s="5">
        <v>0</v>
      </c>
      <c r="H924" s="5">
        <f t="shared" si="28"/>
        <v>-41656.86</v>
      </c>
      <c r="I924" s="9">
        <f t="shared" si="29"/>
        <v>-1</v>
      </c>
      <c r="J924" s="3" t="s">
        <v>4603</v>
      </c>
    </row>
    <row r="925" spans="1:10" ht="25.5">
      <c r="A925" s="3" t="s">
        <v>1801</v>
      </c>
      <c r="B925" s="3" t="s">
        <v>1802</v>
      </c>
      <c r="C925" s="4">
        <v>335</v>
      </c>
      <c r="D925" s="3" t="s">
        <v>7</v>
      </c>
      <c r="E925" s="3" t="s">
        <v>8</v>
      </c>
      <c r="F925" s="5">
        <v>14120.61</v>
      </c>
      <c r="G925" s="5">
        <v>12380.94</v>
      </c>
      <c r="H925" s="5">
        <f t="shared" si="28"/>
        <v>-1739.67</v>
      </c>
      <c r="I925" s="9">
        <f t="shared" si="29"/>
        <v>-0.12320076823876591</v>
      </c>
      <c r="J925" s="3" t="s">
        <v>4603</v>
      </c>
    </row>
    <row r="926" spans="1:10" ht="25.5">
      <c r="A926" s="3" t="s">
        <v>1803</v>
      </c>
      <c r="B926" s="3" t="s">
        <v>1804</v>
      </c>
      <c r="C926" s="4">
        <v>296</v>
      </c>
      <c r="D926" s="3" t="s">
        <v>137</v>
      </c>
      <c r="E926" s="3" t="s">
        <v>30</v>
      </c>
      <c r="F926" s="5">
        <v>18998.64</v>
      </c>
      <c r="G926" s="5">
        <v>9693.24</v>
      </c>
      <c r="H926" s="5">
        <f t="shared" si="28"/>
        <v>-9305.4</v>
      </c>
      <c r="I926" s="9">
        <f t="shared" si="29"/>
        <v>-0.48979295360088937</v>
      </c>
      <c r="J926" s="3" t="s">
        <v>4603</v>
      </c>
    </row>
    <row r="927" spans="1:10" ht="38.25">
      <c r="A927" s="3" t="s">
        <v>1803</v>
      </c>
      <c r="B927" s="3" t="s">
        <v>1804</v>
      </c>
      <c r="C927" s="4">
        <v>34</v>
      </c>
      <c r="D927" s="3" t="s">
        <v>136</v>
      </c>
      <c r="E927" s="3" t="s">
        <v>30</v>
      </c>
      <c r="F927" s="5">
        <v>18998.64</v>
      </c>
      <c r="G927" s="5">
        <v>9693.24</v>
      </c>
      <c r="H927" s="5">
        <f t="shared" si="28"/>
        <v>-9305.4</v>
      </c>
      <c r="I927" s="9">
        <f t="shared" si="29"/>
        <v>-0.48979295360088937</v>
      </c>
      <c r="J927" s="3" t="s">
        <v>4603</v>
      </c>
    </row>
    <row r="928" spans="1:10" ht="25.5">
      <c r="A928" s="3" t="s">
        <v>1805</v>
      </c>
      <c r="B928" s="3" t="s">
        <v>1806</v>
      </c>
      <c r="C928" s="4">
        <v>261</v>
      </c>
      <c r="D928" s="3" t="s">
        <v>17</v>
      </c>
      <c r="E928" s="3" t="s">
        <v>18</v>
      </c>
      <c r="F928" s="5">
        <v>69048.990000000005</v>
      </c>
      <c r="G928" s="5">
        <v>0</v>
      </c>
      <c r="H928" s="5">
        <f t="shared" si="28"/>
        <v>-69048.990000000005</v>
      </c>
      <c r="I928" s="9">
        <f t="shared" si="29"/>
        <v>-1</v>
      </c>
      <c r="J928" s="3" t="s">
        <v>4603</v>
      </c>
    </row>
    <row r="929" spans="1:10" ht="38.25">
      <c r="A929" s="3" t="s">
        <v>1807</v>
      </c>
      <c r="B929" s="3" t="s">
        <v>1808</v>
      </c>
      <c r="C929" s="4">
        <v>38</v>
      </c>
      <c r="D929" s="3" t="s">
        <v>229</v>
      </c>
      <c r="E929" s="3" t="s">
        <v>30</v>
      </c>
      <c r="F929" s="5">
        <v>26099.01</v>
      </c>
      <c r="G929" s="5">
        <v>18830.61</v>
      </c>
      <c r="H929" s="5">
        <f t="shared" si="28"/>
        <v>-7268.3999999999978</v>
      </c>
      <c r="I929" s="9">
        <f t="shared" si="29"/>
        <v>-0.27849332216049572</v>
      </c>
      <c r="J929" s="3" t="s">
        <v>4603</v>
      </c>
    </row>
    <row r="930" spans="1:10" ht="38.25">
      <c r="A930" s="3" t="s">
        <v>1809</v>
      </c>
      <c r="B930" s="3" t="s">
        <v>1810</v>
      </c>
      <c r="C930" s="4">
        <v>292</v>
      </c>
      <c r="D930" s="3" t="s">
        <v>619</v>
      </c>
      <c r="E930" s="3" t="s">
        <v>30</v>
      </c>
      <c r="F930" s="5">
        <v>46350.12</v>
      </c>
      <c r="G930" s="5">
        <v>0</v>
      </c>
      <c r="H930" s="5">
        <f t="shared" si="28"/>
        <v>-46350.12</v>
      </c>
      <c r="I930" s="9">
        <f t="shared" si="29"/>
        <v>-1</v>
      </c>
      <c r="J930" s="3" t="s">
        <v>4603</v>
      </c>
    </row>
    <row r="931" spans="1:10" ht="38.25">
      <c r="A931" s="3" t="s">
        <v>1811</v>
      </c>
      <c r="B931" s="3" t="s">
        <v>1812</v>
      </c>
      <c r="C931" s="4">
        <v>292</v>
      </c>
      <c r="D931" s="3" t="s">
        <v>619</v>
      </c>
      <c r="E931" s="3" t="s">
        <v>30</v>
      </c>
      <c r="F931" s="5">
        <v>0</v>
      </c>
      <c r="G931" s="5">
        <v>7336.02</v>
      </c>
      <c r="H931" s="5">
        <f t="shared" si="28"/>
        <v>7336.02</v>
      </c>
      <c r="I931" s="9">
        <f t="shared" si="29"/>
        <v>0</v>
      </c>
      <c r="J931" s="3" t="s">
        <v>4603</v>
      </c>
    </row>
    <row r="932" spans="1:10" ht="25.5">
      <c r="A932" s="3" t="s">
        <v>1811</v>
      </c>
      <c r="B932" s="3" t="s">
        <v>1813</v>
      </c>
      <c r="C932" s="4">
        <v>266</v>
      </c>
      <c r="D932" s="3" t="s">
        <v>111</v>
      </c>
      <c r="E932" s="3" t="s">
        <v>18</v>
      </c>
      <c r="F932" s="5">
        <v>9610.74</v>
      </c>
      <c r="G932" s="5">
        <v>0</v>
      </c>
      <c r="H932" s="5">
        <f t="shared" si="28"/>
        <v>-9610.74</v>
      </c>
      <c r="I932" s="9">
        <f t="shared" si="29"/>
        <v>-1</v>
      </c>
      <c r="J932" s="3" t="s">
        <v>4603</v>
      </c>
    </row>
    <row r="933" spans="1:10" ht="51">
      <c r="A933" s="3" t="s">
        <v>1811</v>
      </c>
      <c r="B933" s="3" t="s">
        <v>1814</v>
      </c>
      <c r="C933" s="4">
        <v>282</v>
      </c>
      <c r="D933" s="3" t="s">
        <v>298</v>
      </c>
      <c r="E933" s="3" t="s">
        <v>9</v>
      </c>
      <c r="F933" s="5">
        <v>2537.64</v>
      </c>
      <c r="G933" s="5">
        <v>0</v>
      </c>
      <c r="H933" s="5">
        <f t="shared" si="28"/>
        <v>-2537.64</v>
      </c>
      <c r="I933" s="9">
        <f t="shared" si="29"/>
        <v>-1</v>
      </c>
      <c r="J933" s="3" t="s">
        <v>4603</v>
      </c>
    </row>
    <row r="934" spans="1:10" ht="38.25">
      <c r="A934" s="3" t="s">
        <v>1811</v>
      </c>
      <c r="B934" s="3" t="s">
        <v>1815</v>
      </c>
      <c r="C934" s="4">
        <v>143</v>
      </c>
      <c r="D934" s="3" t="s">
        <v>21</v>
      </c>
      <c r="E934" s="3" t="s">
        <v>22</v>
      </c>
      <c r="F934" s="5">
        <v>0</v>
      </c>
      <c r="G934" s="5">
        <v>6453.84</v>
      </c>
      <c r="H934" s="5">
        <f t="shared" si="28"/>
        <v>6453.84</v>
      </c>
      <c r="I934" s="9">
        <f t="shared" si="29"/>
        <v>0</v>
      </c>
      <c r="J934" s="3" t="s">
        <v>4603</v>
      </c>
    </row>
    <row r="935" spans="1:10" ht="25.5">
      <c r="A935" s="3" t="s">
        <v>1811</v>
      </c>
      <c r="B935" s="3" t="s">
        <v>1816</v>
      </c>
      <c r="C935" s="4">
        <v>266</v>
      </c>
      <c r="D935" s="3" t="s">
        <v>111</v>
      </c>
      <c r="E935" s="3" t="s">
        <v>18</v>
      </c>
      <c r="F935" s="5">
        <v>4760.76</v>
      </c>
      <c r="G935" s="5">
        <v>14480.94</v>
      </c>
      <c r="H935" s="5">
        <f t="shared" si="28"/>
        <v>9720.18</v>
      </c>
      <c r="I935" s="9">
        <f t="shared" si="29"/>
        <v>2.0417286315630276</v>
      </c>
      <c r="J935" s="3" t="s">
        <v>4603</v>
      </c>
    </row>
    <row r="936" spans="1:10" ht="25.5">
      <c r="A936" s="3" t="s">
        <v>1811</v>
      </c>
      <c r="B936" s="3" t="s">
        <v>1817</v>
      </c>
      <c r="C936" s="4">
        <v>39</v>
      </c>
      <c r="D936" s="3" t="s">
        <v>26</v>
      </c>
      <c r="E936" s="3" t="s">
        <v>9</v>
      </c>
      <c r="F936" s="5">
        <v>45189.15</v>
      </c>
      <c r="G936" s="5">
        <v>0</v>
      </c>
      <c r="H936" s="5">
        <f t="shared" si="28"/>
        <v>-45189.15</v>
      </c>
      <c r="I936" s="9">
        <f t="shared" si="29"/>
        <v>-1</v>
      </c>
      <c r="J936" s="3" t="s">
        <v>4603</v>
      </c>
    </row>
    <row r="937" spans="1:10" ht="25.5">
      <c r="A937" s="3" t="s">
        <v>1811</v>
      </c>
      <c r="B937" s="3" t="s">
        <v>1818</v>
      </c>
      <c r="C937" s="4">
        <v>167</v>
      </c>
      <c r="D937" s="3" t="s">
        <v>335</v>
      </c>
      <c r="E937" s="3" t="s">
        <v>30</v>
      </c>
      <c r="F937" s="5">
        <v>14016.51</v>
      </c>
      <c r="G937" s="5">
        <v>28892.400000000001</v>
      </c>
      <c r="H937" s="5">
        <f t="shared" si="28"/>
        <v>14875.890000000001</v>
      </c>
      <c r="I937" s="9">
        <f t="shared" si="29"/>
        <v>1.0613119813705412</v>
      </c>
      <c r="J937" s="3" t="s">
        <v>4603</v>
      </c>
    </row>
    <row r="938" spans="1:10" ht="25.5">
      <c r="A938" s="3" t="s">
        <v>1811</v>
      </c>
      <c r="B938" s="3" t="s">
        <v>1819</v>
      </c>
      <c r="C938" s="4">
        <v>297</v>
      </c>
      <c r="D938" s="3" t="s">
        <v>209</v>
      </c>
      <c r="E938" s="3" t="s">
        <v>22</v>
      </c>
      <c r="F938" s="5">
        <v>13961.36</v>
      </c>
      <c r="G938" s="5">
        <v>21400.374</v>
      </c>
      <c r="H938" s="5">
        <f t="shared" si="28"/>
        <v>7439.0139999999992</v>
      </c>
      <c r="I938" s="9">
        <f t="shared" si="29"/>
        <v>0.53282875020771603</v>
      </c>
      <c r="J938" s="3" t="s">
        <v>4603</v>
      </c>
    </row>
    <row r="939" spans="1:10" ht="25.5">
      <c r="A939" s="3" t="s">
        <v>1811</v>
      </c>
      <c r="B939" s="3" t="s">
        <v>1820</v>
      </c>
      <c r="C939" s="4">
        <v>187</v>
      </c>
      <c r="D939" s="3" t="s">
        <v>460</v>
      </c>
      <c r="E939" s="3" t="s">
        <v>8</v>
      </c>
      <c r="F939" s="5">
        <v>0</v>
      </c>
      <c r="G939" s="5">
        <v>6508.14</v>
      </c>
      <c r="H939" s="5">
        <f t="shared" si="28"/>
        <v>6508.14</v>
      </c>
      <c r="I939" s="9">
        <f t="shared" si="29"/>
        <v>0</v>
      </c>
      <c r="J939" s="3" t="s">
        <v>4603</v>
      </c>
    </row>
    <row r="940" spans="1:10" ht="25.5">
      <c r="A940" s="3" t="s">
        <v>1811</v>
      </c>
      <c r="B940" s="3" t="s">
        <v>1821</v>
      </c>
      <c r="C940" s="4">
        <v>217</v>
      </c>
      <c r="D940" s="3" t="s">
        <v>253</v>
      </c>
      <c r="E940" s="3" t="s">
        <v>13</v>
      </c>
      <c r="F940" s="5">
        <v>17060.04</v>
      </c>
      <c r="G940" s="5">
        <v>0</v>
      </c>
      <c r="H940" s="5">
        <f t="shared" si="28"/>
        <v>-17060.04</v>
      </c>
      <c r="I940" s="9">
        <f t="shared" si="29"/>
        <v>-1</v>
      </c>
      <c r="J940" s="3" t="s">
        <v>4603</v>
      </c>
    </row>
    <row r="941" spans="1:10" ht="25.5">
      <c r="A941" s="3" t="s">
        <v>1811</v>
      </c>
      <c r="B941" s="3" t="s">
        <v>1822</v>
      </c>
      <c r="C941" s="4">
        <v>217</v>
      </c>
      <c r="D941" s="3" t="s">
        <v>253</v>
      </c>
      <c r="E941" s="3" t="s">
        <v>13</v>
      </c>
      <c r="F941" s="5">
        <v>6585.12</v>
      </c>
      <c r="G941" s="5">
        <v>0</v>
      </c>
      <c r="H941" s="5">
        <f t="shared" si="28"/>
        <v>-6585.12</v>
      </c>
      <c r="I941" s="9">
        <f t="shared" si="29"/>
        <v>-1</v>
      </c>
      <c r="J941" s="3" t="s">
        <v>4603</v>
      </c>
    </row>
    <row r="942" spans="1:10" ht="38.25">
      <c r="A942" s="3" t="s">
        <v>1811</v>
      </c>
      <c r="B942" s="3" t="s">
        <v>1823</v>
      </c>
      <c r="C942" s="4">
        <v>371</v>
      </c>
      <c r="D942" s="3" t="s">
        <v>29</v>
      </c>
      <c r="E942" s="3" t="s">
        <v>30</v>
      </c>
      <c r="F942" s="5">
        <v>3311.28</v>
      </c>
      <c r="G942" s="5">
        <v>8814.18</v>
      </c>
      <c r="H942" s="5">
        <f t="shared" si="28"/>
        <v>5502.9</v>
      </c>
      <c r="I942" s="9">
        <f t="shared" si="29"/>
        <v>1.661864898166268</v>
      </c>
      <c r="J942" s="3" t="s">
        <v>4603</v>
      </c>
    </row>
    <row r="943" spans="1:10" ht="25.5">
      <c r="A943" s="3" t="s">
        <v>1811</v>
      </c>
      <c r="B943" s="3" t="s">
        <v>1824</v>
      </c>
      <c r="C943" s="4">
        <v>23</v>
      </c>
      <c r="D943" s="3" t="s">
        <v>71</v>
      </c>
      <c r="E943" s="3" t="s">
        <v>8</v>
      </c>
      <c r="F943" s="5">
        <v>0</v>
      </c>
      <c r="G943" s="5">
        <v>4977.72</v>
      </c>
      <c r="H943" s="5">
        <f t="shared" si="28"/>
        <v>4977.72</v>
      </c>
      <c r="I943" s="9">
        <f t="shared" si="29"/>
        <v>0</v>
      </c>
      <c r="J943" s="3" t="s">
        <v>4603</v>
      </c>
    </row>
    <row r="944" spans="1:10" ht="38.25">
      <c r="A944" s="3" t="s">
        <v>1811</v>
      </c>
      <c r="B944" s="3" t="s">
        <v>1825</v>
      </c>
      <c r="C944" s="4">
        <v>331</v>
      </c>
      <c r="D944" s="3" t="s">
        <v>1728</v>
      </c>
      <c r="E944" s="3" t="s">
        <v>9</v>
      </c>
      <c r="F944" s="5">
        <v>0</v>
      </c>
      <c r="G944" s="5">
        <v>4152.24</v>
      </c>
      <c r="H944" s="5">
        <f t="shared" si="28"/>
        <v>4152.24</v>
      </c>
      <c r="I944" s="9">
        <f t="shared" si="29"/>
        <v>0</v>
      </c>
      <c r="J944" s="3" t="s">
        <v>4603</v>
      </c>
    </row>
    <row r="945" spans="1:10" ht="25.5">
      <c r="A945" s="3" t="s">
        <v>1811</v>
      </c>
      <c r="B945" s="3" t="s">
        <v>1826</v>
      </c>
      <c r="C945" s="4">
        <v>296</v>
      </c>
      <c r="D945" s="3" t="s">
        <v>137</v>
      </c>
      <c r="E945" s="3" t="s">
        <v>18</v>
      </c>
      <c r="F945" s="5">
        <v>0</v>
      </c>
      <c r="G945" s="5">
        <v>5072.6409999999996</v>
      </c>
      <c r="H945" s="5">
        <f t="shared" si="28"/>
        <v>5072.6409999999996</v>
      </c>
      <c r="I945" s="9">
        <f t="shared" si="29"/>
        <v>0</v>
      </c>
      <c r="J945" s="3" t="s">
        <v>4603</v>
      </c>
    </row>
    <row r="946" spans="1:10" ht="25.5">
      <c r="A946" s="3" t="s">
        <v>1811</v>
      </c>
      <c r="B946" s="3" t="s">
        <v>1827</v>
      </c>
      <c r="C946" s="4">
        <v>334</v>
      </c>
      <c r="D946" s="3" t="s">
        <v>585</v>
      </c>
      <c r="E946" s="3" t="s">
        <v>8</v>
      </c>
      <c r="F946" s="5">
        <v>0</v>
      </c>
      <c r="G946" s="5">
        <v>5953.86</v>
      </c>
      <c r="H946" s="5">
        <f t="shared" si="28"/>
        <v>5953.86</v>
      </c>
      <c r="I946" s="9">
        <f t="shared" si="29"/>
        <v>0</v>
      </c>
      <c r="J946" s="3" t="s">
        <v>4603</v>
      </c>
    </row>
    <row r="947" spans="1:10" ht="25.5">
      <c r="A947" s="3" t="s">
        <v>1811</v>
      </c>
      <c r="B947" s="3" t="s">
        <v>1828</v>
      </c>
      <c r="C947" s="4">
        <v>297</v>
      </c>
      <c r="D947" s="3" t="s">
        <v>209</v>
      </c>
      <c r="E947" s="3" t="s">
        <v>22</v>
      </c>
      <c r="F947" s="5">
        <v>0</v>
      </c>
      <c r="G947" s="5">
        <v>6088.2</v>
      </c>
      <c r="H947" s="5">
        <f t="shared" si="28"/>
        <v>6088.2</v>
      </c>
      <c r="I947" s="9">
        <f t="shared" si="29"/>
        <v>0</v>
      </c>
      <c r="J947" s="3" t="s">
        <v>4603</v>
      </c>
    </row>
    <row r="948" spans="1:10" ht="38.25">
      <c r="A948" s="3" t="s">
        <v>1811</v>
      </c>
      <c r="B948" s="3" t="s">
        <v>1829</v>
      </c>
      <c r="C948" s="4">
        <v>31</v>
      </c>
      <c r="D948" s="3" t="s">
        <v>172</v>
      </c>
      <c r="E948" s="3" t="s">
        <v>13</v>
      </c>
      <c r="F948" s="5">
        <v>3167.28</v>
      </c>
      <c r="G948" s="5">
        <v>12222.21</v>
      </c>
      <c r="H948" s="5">
        <f t="shared" si="28"/>
        <v>9054.9299999999985</v>
      </c>
      <c r="I948" s="9">
        <f t="shared" si="29"/>
        <v>2.8588978555732356</v>
      </c>
      <c r="J948" s="3" t="s">
        <v>4603</v>
      </c>
    </row>
    <row r="949" spans="1:10" ht="25.5">
      <c r="A949" s="3" t="s">
        <v>1811</v>
      </c>
      <c r="B949" s="3" t="s">
        <v>1830</v>
      </c>
      <c r="C949" s="4">
        <v>317</v>
      </c>
      <c r="D949" s="3" t="s">
        <v>54</v>
      </c>
      <c r="E949" s="3" t="s">
        <v>18</v>
      </c>
      <c r="F949" s="5">
        <v>3419.4</v>
      </c>
      <c r="G949" s="5">
        <v>0</v>
      </c>
      <c r="H949" s="5">
        <f t="shared" si="28"/>
        <v>-3419.4</v>
      </c>
      <c r="I949" s="9">
        <f t="shared" si="29"/>
        <v>-1</v>
      </c>
      <c r="J949" s="3" t="s">
        <v>4603</v>
      </c>
    </row>
    <row r="950" spans="1:10" ht="25.5">
      <c r="A950" s="3" t="s">
        <v>1811</v>
      </c>
      <c r="B950" s="3" t="s">
        <v>1831</v>
      </c>
      <c r="C950" s="4">
        <v>299</v>
      </c>
      <c r="D950" s="3" t="s">
        <v>246</v>
      </c>
      <c r="E950" s="3" t="s">
        <v>30</v>
      </c>
      <c r="F950" s="5">
        <v>7504.8</v>
      </c>
      <c r="G950" s="5">
        <v>0</v>
      </c>
      <c r="H950" s="5">
        <f t="shared" si="28"/>
        <v>-7504.8</v>
      </c>
      <c r="I950" s="9">
        <f t="shared" si="29"/>
        <v>-1</v>
      </c>
      <c r="J950" s="3" t="s">
        <v>4603</v>
      </c>
    </row>
    <row r="951" spans="1:10" ht="25.5">
      <c r="A951" s="3" t="s">
        <v>1811</v>
      </c>
      <c r="B951" s="3" t="s">
        <v>1832</v>
      </c>
      <c r="C951" s="4">
        <v>178</v>
      </c>
      <c r="D951" s="3" t="s">
        <v>92</v>
      </c>
      <c r="E951" s="3" t="s">
        <v>8</v>
      </c>
      <c r="F951" s="5">
        <v>7918.8</v>
      </c>
      <c r="G951" s="5">
        <v>0</v>
      </c>
      <c r="H951" s="5">
        <f t="shared" si="28"/>
        <v>-7918.8</v>
      </c>
      <c r="I951" s="9">
        <f t="shared" si="29"/>
        <v>-1</v>
      </c>
      <c r="J951" s="3" t="s">
        <v>4603</v>
      </c>
    </row>
    <row r="952" spans="1:10" ht="25.5">
      <c r="A952" s="3" t="s">
        <v>1811</v>
      </c>
      <c r="B952" s="3" t="s">
        <v>1833</v>
      </c>
      <c r="C952" s="4">
        <v>19</v>
      </c>
      <c r="D952" s="3" t="s">
        <v>53</v>
      </c>
      <c r="E952" s="3" t="s">
        <v>22</v>
      </c>
      <c r="F952" s="5">
        <v>0</v>
      </c>
      <c r="G952" s="5">
        <v>16262.93</v>
      </c>
      <c r="H952" s="5">
        <f t="shared" si="28"/>
        <v>16262.93</v>
      </c>
      <c r="I952" s="9">
        <f t="shared" si="29"/>
        <v>0</v>
      </c>
      <c r="J952" s="3" t="s">
        <v>4604</v>
      </c>
    </row>
    <row r="953" spans="1:10" ht="25.5">
      <c r="A953" s="3" t="s">
        <v>1811</v>
      </c>
      <c r="B953" s="3" t="s">
        <v>1834</v>
      </c>
      <c r="C953" s="4">
        <v>273</v>
      </c>
      <c r="D953" s="3" t="s">
        <v>771</v>
      </c>
      <c r="E953" s="3" t="s">
        <v>13</v>
      </c>
      <c r="F953" s="5">
        <v>14016.18</v>
      </c>
      <c r="G953" s="5">
        <v>0</v>
      </c>
      <c r="H953" s="5">
        <f t="shared" si="28"/>
        <v>-14016.18</v>
      </c>
      <c r="I953" s="9">
        <f t="shared" si="29"/>
        <v>-1</v>
      </c>
      <c r="J953" s="3" t="s">
        <v>4604</v>
      </c>
    </row>
    <row r="954" spans="1:10" ht="25.5">
      <c r="A954" s="3" t="s">
        <v>1811</v>
      </c>
      <c r="B954" s="3" t="s">
        <v>1835</v>
      </c>
      <c r="C954" s="4">
        <v>302</v>
      </c>
      <c r="D954" s="3" t="s">
        <v>303</v>
      </c>
      <c r="E954" s="3" t="s">
        <v>30</v>
      </c>
      <c r="F954" s="5">
        <v>13967.82</v>
      </c>
      <c r="G954" s="5">
        <v>0</v>
      </c>
      <c r="H954" s="5">
        <f t="shared" si="28"/>
        <v>-13967.82</v>
      </c>
      <c r="I954" s="9">
        <f t="shared" si="29"/>
        <v>-1</v>
      </c>
      <c r="J954" s="3" t="s">
        <v>4604</v>
      </c>
    </row>
    <row r="955" spans="1:10" ht="25.5">
      <c r="A955" s="3" t="s">
        <v>1811</v>
      </c>
      <c r="B955" s="3" t="s">
        <v>1836</v>
      </c>
      <c r="C955" s="4">
        <v>266</v>
      </c>
      <c r="D955" s="3" t="s">
        <v>111</v>
      </c>
      <c r="E955" s="3" t="s">
        <v>18</v>
      </c>
      <c r="F955" s="5">
        <v>0</v>
      </c>
      <c r="G955" s="5">
        <v>8817.84</v>
      </c>
      <c r="H955" s="5">
        <f t="shared" si="28"/>
        <v>8817.84</v>
      </c>
      <c r="I955" s="9">
        <f t="shared" si="29"/>
        <v>0</v>
      </c>
      <c r="J955" s="3" t="s">
        <v>4603</v>
      </c>
    </row>
    <row r="956" spans="1:10" ht="25.5">
      <c r="A956" s="3" t="s">
        <v>1811</v>
      </c>
      <c r="B956" s="3" t="s">
        <v>1837</v>
      </c>
      <c r="C956" s="4">
        <v>296</v>
      </c>
      <c r="D956" s="3" t="s">
        <v>137</v>
      </c>
      <c r="E956" s="3" t="s">
        <v>18</v>
      </c>
      <c r="F956" s="5">
        <v>1865.88</v>
      </c>
      <c r="G956" s="5">
        <v>0</v>
      </c>
      <c r="H956" s="5">
        <f t="shared" si="28"/>
        <v>-1865.88</v>
      </c>
      <c r="I956" s="9">
        <f t="shared" si="29"/>
        <v>-1</v>
      </c>
      <c r="J956" s="3" t="s">
        <v>4603</v>
      </c>
    </row>
    <row r="957" spans="1:10" ht="38.25">
      <c r="A957" s="3" t="s">
        <v>1811</v>
      </c>
      <c r="B957" s="3" t="s">
        <v>1838</v>
      </c>
      <c r="C957" s="4">
        <v>371</v>
      </c>
      <c r="D957" s="3" t="s">
        <v>29</v>
      </c>
      <c r="E957" s="3" t="s">
        <v>30</v>
      </c>
      <c r="F957" s="5">
        <v>0</v>
      </c>
      <c r="G957" s="5">
        <v>2343.84</v>
      </c>
      <c r="H957" s="5">
        <f t="shared" si="28"/>
        <v>2343.84</v>
      </c>
      <c r="I957" s="9">
        <f t="shared" si="29"/>
        <v>0</v>
      </c>
      <c r="J957" s="3" t="s">
        <v>4604</v>
      </c>
    </row>
    <row r="958" spans="1:10" ht="25.5">
      <c r="A958" s="3" t="s">
        <v>1811</v>
      </c>
      <c r="B958" s="3" t="s">
        <v>1839</v>
      </c>
      <c r="C958" s="4">
        <v>264</v>
      </c>
      <c r="D958" s="3" t="s">
        <v>632</v>
      </c>
      <c r="E958" s="3" t="s">
        <v>8</v>
      </c>
      <c r="F958" s="5">
        <v>4273.92</v>
      </c>
      <c r="G958" s="5">
        <v>0</v>
      </c>
      <c r="H958" s="5">
        <f t="shared" si="28"/>
        <v>-4273.92</v>
      </c>
      <c r="I958" s="9">
        <f t="shared" si="29"/>
        <v>-1</v>
      </c>
      <c r="J958" s="3" t="s">
        <v>4603</v>
      </c>
    </row>
    <row r="959" spans="1:10" ht="25.5">
      <c r="A959" s="3" t="s">
        <v>1811</v>
      </c>
      <c r="B959" s="3" t="s">
        <v>1840</v>
      </c>
      <c r="C959" s="4">
        <v>197</v>
      </c>
      <c r="D959" s="3" t="s">
        <v>23</v>
      </c>
      <c r="E959" s="3" t="s">
        <v>22</v>
      </c>
      <c r="F959" s="5">
        <v>5234.22</v>
      </c>
      <c r="G959" s="5">
        <v>0</v>
      </c>
      <c r="H959" s="5">
        <f t="shared" si="28"/>
        <v>-5234.22</v>
      </c>
      <c r="I959" s="9">
        <f t="shared" si="29"/>
        <v>-1</v>
      </c>
      <c r="J959" s="3" t="s">
        <v>4603</v>
      </c>
    </row>
    <row r="960" spans="1:10" ht="38.25">
      <c r="A960" s="3" t="s">
        <v>1811</v>
      </c>
      <c r="B960" s="3" t="s">
        <v>1842</v>
      </c>
      <c r="C960" s="4">
        <v>45</v>
      </c>
      <c r="D960" s="3" t="s">
        <v>16</v>
      </c>
      <c r="E960" s="3" t="s">
        <v>8</v>
      </c>
      <c r="F960" s="5">
        <v>5458.32</v>
      </c>
      <c r="G960" s="5">
        <v>0</v>
      </c>
      <c r="H960" s="5">
        <f t="shared" si="28"/>
        <v>-5458.32</v>
      </c>
      <c r="I960" s="9">
        <f t="shared" si="29"/>
        <v>-1</v>
      </c>
      <c r="J960" s="3" t="s">
        <v>4603</v>
      </c>
    </row>
    <row r="961" spans="1:10" ht="38.25">
      <c r="A961" s="3" t="s">
        <v>1811</v>
      </c>
      <c r="B961" s="3" t="s">
        <v>1843</v>
      </c>
      <c r="C961" s="4">
        <v>292</v>
      </c>
      <c r="D961" s="3" t="s">
        <v>619</v>
      </c>
      <c r="E961" s="3" t="s">
        <v>30</v>
      </c>
      <c r="F961" s="5">
        <v>3479.22</v>
      </c>
      <c r="G961" s="5">
        <v>0</v>
      </c>
      <c r="H961" s="5">
        <f t="shared" si="28"/>
        <v>-3479.22</v>
      </c>
      <c r="I961" s="9">
        <f t="shared" si="29"/>
        <v>-1</v>
      </c>
      <c r="J961" s="3" t="s">
        <v>4603</v>
      </c>
    </row>
    <row r="962" spans="1:10" ht="25.5">
      <c r="A962" s="3" t="s">
        <v>1811</v>
      </c>
      <c r="B962" s="3" t="s">
        <v>1844</v>
      </c>
      <c r="C962" s="4">
        <v>264</v>
      </c>
      <c r="D962" s="3" t="s">
        <v>632</v>
      </c>
      <c r="E962" s="3" t="s">
        <v>8</v>
      </c>
      <c r="F962" s="5">
        <v>3365.4</v>
      </c>
      <c r="G962" s="5">
        <v>0</v>
      </c>
      <c r="H962" s="5">
        <f t="shared" si="28"/>
        <v>-3365.4</v>
      </c>
      <c r="I962" s="9">
        <f t="shared" si="29"/>
        <v>-1</v>
      </c>
      <c r="J962" s="3" t="s">
        <v>4604</v>
      </c>
    </row>
    <row r="963" spans="1:10" ht="25.5">
      <c r="A963" s="3" t="s">
        <v>1811</v>
      </c>
      <c r="B963" s="3" t="s">
        <v>1845</v>
      </c>
      <c r="C963" s="4">
        <v>264</v>
      </c>
      <c r="D963" s="3" t="s">
        <v>632</v>
      </c>
      <c r="E963" s="3" t="s">
        <v>22</v>
      </c>
      <c r="F963" s="5">
        <v>6284.16</v>
      </c>
      <c r="G963" s="5">
        <v>4332.5110000000004</v>
      </c>
      <c r="H963" s="5">
        <f t="shared" ref="H963:H1026" si="30">G963-F963</f>
        <v>-1951.6489999999994</v>
      </c>
      <c r="I963" s="9">
        <f t="shared" ref="I963:I1026" si="31">IFERROR(G963/F963-1,0)</f>
        <v>-0.31056640823912818</v>
      </c>
      <c r="J963" s="3" t="s">
        <v>4603</v>
      </c>
    </row>
    <row r="964" spans="1:10" ht="25.5">
      <c r="A964" s="3" t="s">
        <v>1811</v>
      </c>
      <c r="B964" s="3" t="s">
        <v>1846</v>
      </c>
      <c r="C964" s="4">
        <v>316</v>
      </c>
      <c r="D964" s="3" t="s">
        <v>167</v>
      </c>
      <c r="E964" s="3" t="s">
        <v>18</v>
      </c>
      <c r="F964" s="5">
        <v>2116.3200000000002</v>
      </c>
      <c r="G964" s="5">
        <v>0</v>
      </c>
      <c r="H964" s="5">
        <f t="shared" si="30"/>
        <v>-2116.3200000000002</v>
      </c>
      <c r="I964" s="9">
        <f t="shared" si="31"/>
        <v>-1</v>
      </c>
      <c r="J964" s="3" t="s">
        <v>4603</v>
      </c>
    </row>
    <row r="965" spans="1:10" ht="25.5">
      <c r="A965" s="3" t="s">
        <v>1811</v>
      </c>
      <c r="B965" s="3" t="s">
        <v>1847</v>
      </c>
      <c r="C965" s="4">
        <v>217</v>
      </c>
      <c r="D965" s="3" t="s">
        <v>253</v>
      </c>
      <c r="E965" s="3" t="s">
        <v>13</v>
      </c>
      <c r="F965" s="5">
        <v>12678.93</v>
      </c>
      <c r="G965" s="5">
        <v>0</v>
      </c>
      <c r="H965" s="5">
        <f t="shared" si="30"/>
        <v>-12678.93</v>
      </c>
      <c r="I965" s="9">
        <f t="shared" si="31"/>
        <v>-1</v>
      </c>
      <c r="J965" s="3" t="s">
        <v>4603</v>
      </c>
    </row>
    <row r="966" spans="1:10" ht="25.5">
      <c r="A966" s="3" t="s">
        <v>1811</v>
      </c>
      <c r="B966" s="3" t="s">
        <v>1848</v>
      </c>
      <c r="C966" s="4">
        <v>273</v>
      </c>
      <c r="D966" s="3" t="s">
        <v>771</v>
      </c>
      <c r="E966" s="3" t="s">
        <v>13</v>
      </c>
      <c r="F966" s="5">
        <v>3162.57</v>
      </c>
      <c r="G966" s="5">
        <v>0</v>
      </c>
      <c r="H966" s="5">
        <f t="shared" si="30"/>
        <v>-3162.57</v>
      </c>
      <c r="I966" s="9">
        <f t="shared" si="31"/>
        <v>-1</v>
      </c>
      <c r="J966" s="3" t="s">
        <v>4603</v>
      </c>
    </row>
    <row r="967" spans="1:10" ht="38.25">
      <c r="A967" s="3" t="s">
        <v>1811</v>
      </c>
      <c r="B967" s="3" t="s">
        <v>1849</v>
      </c>
      <c r="C967" s="4">
        <v>331</v>
      </c>
      <c r="D967" s="3" t="s">
        <v>1728</v>
      </c>
      <c r="E967" s="3" t="s">
        <v>9</v>
      </c>
      <c r="F967" s="5">
        <v>0</v>
      </c>
      <c r="G967" s="5">
        <v>3157.4879999999998</v>
      </c>
      <c r="H967" s="5">
        <f t="shared" si="30"/>
        <v>3157.4879999999998</v>
      </c>
      <c r="I967" s="9">
        <f t="shared" si="31"/>
        <v>0</v>
      </c>
      <c r="J967" s="3" t="s">
        <v>4603</v>
      </c>
    </row>
    <row r="968" spans="1:10" ht="38.25">
      <c r="A968" s="3" t="s">
        <v>1811</v>
      </c>
      <c r="B968" s="3" t="s">
        <v>1851</v>
      </c>
      <c r="C968" s="4">
        <v>371</v>
      </c>
      <c r="D968" s="3" t="s">
        <v>29</v>
      </c>
      <c r="E968" s="3" t="s">
        <v>30</v>
      </c>
      <c r="F968" s="5">
        <v>0</v>
      </c>
      <c r="G968" s="5">
        <v>6774.72</v>
      </c>
      <c r="H968" s="5">
        <f t="shared" si="30"/>
        <v>6774.72</v>
      </c>
      <c r="I968" s="9">
        <f t="shared" si="31"/>
        <v>0</v>
      </c>
      <c r="J968" s="3" t="s">
        <v>4604</v>
      </c>
    </row>
    <row r="969" spans="1:10" ht="38.25">
      <c r="A969" s="3" t="s">
        <v>1811</v>
      </c>
      <c r="B969" s="3" t="s">
        <v>1852</v>
      </c>
      <c r="C969" s="4">
        <v>331</v>
      </c>
      <c r="D969" s="3" t="s">
        <v>1728</v>
      </c>
      <c r="E969" s="3" t="s">
        <v>9</v>
      </c>
      <c r="F969" s="5">
        <v>0</v>
      </c>
      <c r="G969" s="5">
        <v>2946.1320000000001</v>
      </c>
      <c r="H969" s="5">
        <f t="shared" si="30"/>
        <v>2946.1320000000001</v>
      </c>
      <c r="I969" s="9">
        <f t="shared" si="31"/>
        <v>0</v>
      </c>
      <c r="J969" s="3" t="s">
        <v>4603</v>
      </c>
    </row>
    <row r="970" spans="1:10" ht="38.25">
      <c r="A970" s="3" t="s">
        <v>1811</v>
      </c>
      <c r="B970" s="3" t="s">
        <v>1853</v>
      </c>
      <c r="C970" s="4">
        <v>296</v>
      </c>
      <c r="D970" s="3" t="s">
        <v>137</v>
      </c>
      <c r="E970" s="3" t="s">
        <v>18</v>
      </c>
      <c r="F970" s="5">
        <v>7740.6</v>
      </c>
      <c r="G970" s="5">
        <v>0</v>
      </c>
      <c r="H970" s="5">
        <f t="shared" si="30"/>
        <v>-7740.6</v>
      </c>
      <c r="I970" s="9">
        <f t="shared" si="31"/>
        <v>-1</v>
      </c>
      <c r="J970" s="3" t="s">
        <v>4604</v>
      </c>
    </row>
    <row r="971" spans="1:10" ht="38.25">
      <c r="A971" s="3" t="s">
        <v>1811</v>
      </c>
      <c r="B971" s="3" t="s">
        <v>1854</v>
      </c>
      <c r="C971" s="4">
        <v>316</v>
      </c>
      <c r="D971" s="3" t="s">
        <v>167</v>
      </c>
      <c r="E971" s="3" t="s">
        <v>18</v>
      </c>
      <c r="F971" s="5">
        <v>12544.62</v>
      </c>
      <c r="G971" s="5">
        <v>0</v>
      </c>
      <c r="H971" s="5">
        <f t="shared" si="30"/>
        <v>-12544.62</v>
      </c>
      <c r="I971" s="9">
        <f t="shared" si="31"/>
        <v>-1</v>
      </c>
      <c r="J971" s="3" t="s">
        <v>4604</v>
      </c>
    </row>
    <row r="972" spans="1:10" ht="25.5">
      <c r="A972" s="3" t="s">
        <v>1811</v>
      </c>
      <c r="B972" s="3" t="s">
        <v>1855</v>
      </c>
      <c r="C972" s="4">
        <v>197</v>
      </c>
      <c r="D972" s="3" t="s">
        <v>23</v>
      </c>
      <c r="E972" s="3" t="s">
        <v>22</v>
      </c>
      <c r="F972" s="5">
        <v>4109.28</v>
      </c>
      <c r="G972" s="5">
        <v>0</v>
      </c>
      <c r="H972" s="5">
        <f t="shared" si="30"/>
        <v>-4109.28</v>
      </c>
      <c r="I972" s="9">
        <f t="shared" si="31"/>
        <v>-1</v>
      </c>
      <c r="J972" s="3" t="s">
        <v>4603</v>
      </c>
    </row>
    <row r="973" spans="1:10" ht="25.5">
      <c r="A973" s="3" t="s">
        <v>1811</v>
      </c>
      <c r="B973" s="3" t="s">
        <v>1856</v>
      </c>
      <c r="C973" s="4">
        <v>334</v>
      </c>
      <c r="D973" s="3" t="s">
        <v>585</v>
      </c>
      <c r="E973" s="3" t="s">
        <v>8</v>
      </c>
      <c r="F973" s="5">
        <v>6784.32</v>
      </c>
      <c r="G973" s="5">
        <v>0</v>
      </c>
      <c r="H973" s="5">
        <f t="shared" si="30"/>
        <v>-6784.32</v>
      </c>
      <c r="I973" s="9">
        <f t="shared" si="31"/>
        <v>-1</v>
      </c>
      <c r="J973" s="3" t="s">
        <v>4603</v>
      </c>
    </row>
    <row r="974" spans="1:10" ht="38.25">
      <c r="A974" s="3" t="s">
        <v>1811</v>
      </c>
      <c r="B974" s="3" t="s">
        <v>1857</v>
      </c>
      <c r="C974" s="4">
        <v>315</v>
      </c>
      <c r="D974" s="3" t="s">
        <v>79</v>
      </c>
      <c r="E974" s="3" t="s">
        <v>8</v>
      </c>
      <c r="F974" s="5">
        <v>0</v>
      </c>
      <c r="G974" s="5">
        <v>3143.04</v>
      </c>
      <c r="H974" s="5">
        <f t="shared" si="30"/>
        <v>3143.04</v>
      </c>
      <c r="I974" s="9">
        <f t="shared" si="31"/>
        <v>0</v>
      </c>
      <c r="J974" s="3" t="s">
        <v>4603</v>
      </c>
    </row>
    <row r="975" spans="1:10" ht="25.5">
      <c r="A975" s="3" t="s">
        <v>1811</v>
      </c>
      <c r="B975" s="3" t="s">
        <v>1858</v>
      </c>
      <c r="C975" s="4">
        <v>31</v>
      </c>
      <c r="D975" s="3" t="s">
        <v>172</v>
      </c>
      <c r="E975" s="3" t="s">
        <v>13</v>
      </c>
      <c r="F975" s="5">
        <v>3230.64</v>
      </c>
      <c r="G975" s="5">
        <v>0</v>
      </c>
      <c r="H975" s="5">
        <f t="shared" si="30"/>
        <v>-3230.64</v>
      </c>
      <c r="I975" s="9">
        <f t="shared" si="31"/>
        <v>-1</v>
      </c>
      <c r="J975" s="3" t="s">
        <v>4604</v>
      </c>
    </row>
    <row r="976" spans="1:10">
      <c r="A976" s="3" t="s">
        <v>1811</v>
      </c>
      <c r="B976" s="3" t="s">
        <v>1859</v>
      </c>
      <c r="C976" s="4">
        <v>334</v>
      </c>
      <c r="D976" s="3" t="s">
        <v>585</v>
      </c>
      <c r="E976" s="3" t="s">
        <v>8</v>
      </c>
      <c r="F976" s="5">
        <v>0</v>
      </c>
      <c r="G976" s="5">
        <v>74763.557000000001</v>
      </c>
      <c r="H976" s="5">
        <f t="shared" si="30"/>
        <v>74763.557000000001</v>
      </c>
      <c r="I976" s="9">
        <f t="shared" si="31"/>
        <v>0</v>
      </c>
      <c r="J976" s="3" t="s">
        <v>4603</v>
      </c>
    </row>
    <row r="977" spans="1:10" ht="25.5">
      <c r="A977" s="3" t="s">
        <v>1811</v>
      </c>
      <c r="B977" s="3" t="s">
        <v>1860</v>
      </c>
      <c r="C977" s="4">
        <v>23</v>
      </c>
      <c r="D977" s="3" t="s">
        <v>71</v>
      </c>
      <c r="E977" s="3" t="s">
        <v>8</v>
      </c>
      <c r="F977" s="5">
        <v>6919.92</v>
      </c>
      <c r="G977" s="5">
        <v>0</v>
      </c>
      <c r="H977" s="5">
        <f t="shared" si="30"/>
        <v>-6919.92</v>
      </c>
      <c r="I977" s="9">
        <f t="shared" si="31"/>
        <v>-1</v>
      </c>
      <c r="J977" s="3" t="s">
        <v>4603</v>
      </c>
    </row>
    <row r="978" spans="1:10" ht="25.5">
      <c r="A978" s="3" t="s">
        <v>1811</v>
      </c>
      <c r="B978" s="3" t="s">
        <v>1861</v>
      </c>
      <c r="C978" s="4">
        <v>194</v>
      </c>
      <c r="D978" s="3" t="s">
        <v>179</v>
      </c>
      <c r="E978" s="3" t="s">
        <v>13</v>
      </c>
      <c r="F978" s="5">
        <v>9409.5</v>
      </c>
      <c r="G978" s="5">
        <v>7403.76</v>
      </c>
      <c r="H978" s="5">
        <f t="shared" si="30"/>
        <v>-2005.7399999999998</v>
      </c>
      <c r="I978" s="9">
        <f t="shared" si="31"/>
        <v>-0.21316116690578668</v>
      </c>
      <c r="J978" s="3" t="s">
        <v>4603</v>
      </c>
    </row>
    <row r="979" spans="1:10" ht="25.5">
      <c r="A979" s="3" t="s">
        <v>1811</v>
      </c>
      <c r="B979" s="3" t="s">
        <v>1862</v>
      </c>
      <c r="C979" s="4">
        <v>232</v>
      </c>
      <c r="D979" s="3" t="s">
        <v>95</v>
      </c>
      <c r="E979" s="3" t="s">
        <v>13</v>
      </c>
      <c r="F979" s="5">
        <v>0</v>
      </c>
      <c r="G979" s="5">
        <v>5725.38</v>
      </c>
      <c r="H979" s="5">
        <f t="shared" si="30"/>
        <v>5725.38</v>
      </c>
      <c r="I979" s="9">
        <f t="shared" si="31"/>
        <v>0</v>
      </c>
      <c r="J979" s="3" t="s">
        <v>4603</v>
      </c>
    </row>
    <row r="980" spans="1:10" ht="25.5">
      <c r="A980" s="3" t="s">
        <v>1811</v>
      </c>
      <c r="B980" s="3" t="s">
        <v>1863</v>
      </c>
      <c r="C980" s="4">
        <v>317</v>
      </c>
      <c r="D980" s="3" t="s">
        <v>54</v>
      </c>
      <c r="E980" s="3" t="s">
        <v>18</v>
      </c>
      <c r="F980" s="5">
        <v>11282.16</v>
      </c>
      <c r="G980" s="5">
        <v>0</v>
      </c>
      <c r="H980" s="5">
        <f t="shared" si="30"/>
        <v>-11282.16</v>
      </c>
      <c r="I980" s="9">
        <f t="shared" si="31"/>
        <v>-1</v>
      </c>
      <c r="J980" s="3" t="s">
        <v>4604</v>
      </c>
    </row>
    <row r="981" spans="1:10" ht="25.5">
      <c r="A981" s="3" t="s">
        <v>1811</v>
      </c>
      <c r="B981" s="3" t="s">
        <v>1864</v>
      </c>
      <c r="C981" s="4">
        <v>328</v>
      </c>
      <c r="D981" s="3" t="s">
        <v>158</v>
      </c>
      <c r="E981" s="3" t="s">
        <v>22</v>
      </c>
      <c r="F981" s="5">
        <v>5278.8</v>
      </c>
      <c r="G981" s="5">
        <v>0</v>
      </c>
      <c r="H981" s="5">
        <f t="shared" si="30"/>
        <v>-5278.8</v>
      </c>
      <c r="I981" s="9">
        <f t="shared" si="31"/>
        <v>-1</v>
      </c>
      <c r="J981" s="3" t="s">
        <v>4604</v>
      </c>
    </row>
    <row r="982" spans="1:10" ht="38.25">
      <c r="A982" s="3" t="s">
        <v>1811</v>
      </c>
      <c r="B982" s="3" t="s">
        <v>1865</v>
      </c>
      <c r="C982" s="4">
        <v>292</v>
      </c>
      <c r="D982" s="3" t="s">
        <v>619</v>
      </c>
      <c r="E982" s="3" t="s">
        <v>30</v>
      </c>
      <c r="F982" s="5">
        <v>18490.8</v>
      </c>
      <c r="G982" s="5">
        <v>11920.44</v>
      </c>
      <c r="H982" s="5">
        <f t="shared" si="30"/>
        <v>-6570.3599999999988</v>
      </c>
      <c r="I982" s="9">
        <f t="shared" si="31"/>
        <v>-0.35533129988967482</v>
      </c>
      <c r="J982" s="3" t="s">
        <v>4604</v>
      </c>
    </row>
    <row r="983" spans="1:10" ht="25.5">
      <c r="A983" s="3" t="s">
        <v>1811</v>
      </c>
      <c r="B983" s="3" t="s">
        <v>1866</v>
      </c>
      <c r="C983" s="4">
        <v>296</v>
      </c>
      <c r="D983" s="3" t="s">
        <v>137</v>
      </c>
      <c r="E983" s="3" t="s">
        <v>13</v>
      </c>
      <c r="F983" s="5">
        <v>2664.69</v>
      </c>
      <c r="G983" s="5">
        <v>0</v>
      </c>
      <c r="H983" s="5">
        <f t="shared" si="30"/>
        <v>-2664.69</v>
      </c>
      <c r="I983" s="9">
        <f t="shared" si="31"/>
        <v>-1</v>
      </c>
      <c r="J983" s="3" t="s">
        <v>4603</v>
      </c>
    </row>
    <row r="984" spans="1:10" ht="25.5">
      <c r="A984" s="3" t="s">
        <v>1811</v>
      </c>
      <c r="B984" s="3" t="s">
        <v>1867</v>
      </c>
      <c r="C984" s="4">
        <v>264</v>
      </c>
      <c r="D984" s="3" t="s">
        <v>632</v>
      </c>
      <c r="E984" s="3" t="s">
        <v>22</v>
      </c>
      <c r="F984" s="5">
        <v>7394.52</v>
      </c>
      <c r="G984" s="5">
        <v>0</v>
      </c>
      <c r="H984" s="5">
        <f t="shared" si="30"/>
        <v>-7394.52</v>
      </c>
      <c r="I984" s="9">
        <f t="shared" si="31"/>
        <v>-1</v>
      </c>
      <c r="J984" s="3" t="s">
        <v>4604</v>
      </c>
    </row>
    <row r="985" spans="1:10" ht="25.5">
      <c r="A985" s="3" t="s">
        <v>1811</v>
      </c>
      <c r="B985" s="3" t="s">
        <v>1867</v>
      </c>
      <c r="C985" s="4">
        <v>264</v>
      </c>
      <c r="D985" s="3" t="s">
        <v>632</v>
      </c>
      <c r="E985" s="3" t="s">
        <v>8</v>
      </c>
      <c r="F985" s="5">
        <v>7394.52</v>
      </c>
      <c r="G985" s="5">
        <v>0</v>
      </c>
      <c r="H985" s="5">
        <f t="shared" si="30"/>
        <v>-7394.52</v>
      </c>
      <c r="I985" s="9">
        <f t="shared" si="31"/>
        <v>-1</v>
      </c>
      <c r="J985" s="3" t="s">
        <v>4604</v>
      </c>
    </row>
    <row r="986" spans="1:10" ht="38.25">
      <c r="A986" s="3" t="s">
        <v>1811</v>
      </c>
      <c r="B986" s="3" t="s">
        <v>1868</v>
      </c>
      <c r="C986" s="4">
        <v>371</v>
      </c>
      <c r="D986" s="3" t="s">
        <v>29</v>
      </c>
      <c r="E986" s="3" t="s">
        <v>30</v>
      </c>
      <c r="F986" s="5">
        <v>3995.4</v>
      </c>
      <c r="G986" s="5">
        <v>0</v>
      </c>
      <c r="H986" s="5">
        <f t="shared" si="30"/>
        <v>-3995.4</v>
      </c>
      <c r="I986" s="9">
        <f t="shared" si="31"/>
        <v>-1</v>
      </c>
      <c r="J986" s="3" t="s">
        <v>4604</v>
      </c>
    </row>
    <row r="987" spans="1:10" ht="25.5">
      <c r="A987" s="3" t="s">
        <v>1811</v>
      </c>
      <c r="B987" s="3" t="s">
        <v>1869</v>
      </c>
      <c r="C987" s="4">
        <v>296</v>
      </c>
      <c r="D987" s="3" t="s">
        <v>137</v>
      </c>
      <c r="E987" s="3" t="s">
        <v>18</v>
      </c>
      <c r="F987" s="5">
        <v>4454.3999999999996</v>
      </c>
      <c r="G987" s="5">
        <v>0</v>
      </c>
      <c r="H987" s="5">
        <f t="shared" si="30"/>
        <v>-4454.3999999999996</v>
      </c>
      <c r="I987" s="9">
        <f t="shared" si="31"/>
        <v>-1</v>
      </c>
      <c r="J987" s="3" t="s">
        <v>4603</v>
      </c>
    </row>
    <row r="988" spans="1:10" ht="38.25">
      <c r="A988" s="3" t="s">
        <v>1811</v>
      </c>
      <c r="B988" s="3" t="s">
        <v>1870</v>
      </c>
      <c r="C988" s="4">
        <v>34</v>
      </c>
      <c r="D988" s="3" t="s">
        <v>136</v>
      </c>
      <c r="E988" s="3" t="s">
        <v>30</v>
      </c>
      <c r="F988" s="5">
        <v>4127.04</v>
      </c>
      <c r="G988" s="5">
        <v>9036.24</v>
      </c>
      <c r="H988" s="5">
        <f t="shared" si="30"/>
        <v>4909.2</v>
      </c>
      <c r="I988" s="9">
        <f t="shared" si="31"/>
        <v>1.1895208187950685</v>
      </c>
      <c r="J988" s="3" t="s">
        <v>4603</v>
      </c>
    </row>
    <row r="989" spans="1:10" ht="25.5">
      <c r="A989" s="3" t="s">
        <v>1811</v>
      </c>
      <c r="B989" s="3" t="s">
        <v>1871</v>
      </c>
      <c r="C989" s="4">
        <v>266</v>
      </c>
      <c r="D989" s="3" t="s">
        <v>111</v>
      </c>
      <c r="E989" s="3" t="s">
        <v>18</v>
      </c>
      <c r="F989" s="5">
        <v>4497.4799999999996</v>
      </c>
      <c r="G989" s="5">
        <v>0</v>
      </c>
      <c r="H989" s="5">
        <f t="shared" si="30"/>
        <v>-4497.4799999999996</v>
      </c>
      <c r="I989" s="9">
        <f t="shared" si="31"/>
        <v>-1</v>
      </c>
      <c r="J989" s="3" t="s">
        <v>4604</v>
      </c>
    </row>
    <row r="990" spans="1:10" ht="25.5">
      <c r="A990" s="3" t="s">
        <v>1811</v>
      </c>
      <c r="B990" s="3" t="s">
        <v>1872</v>
      </c>
      <c r="C990" s="4">
        <v>273</v>
      </c>
      <c r="D990" s="3" t="s">
        <v>771</v>
      </c>
      <c r="E990" s="3" t="s">
        <v>13</v>
      </c>
      <c r="F990" s="5">
        <v>5695.41</v>
      </c>
      <c r="G990" s="5">
        <v>0</v>
      </c>
      <c r="H990" s="5">
        <f t="shared" si="30"/>
        <v>-5695.41</v>
      </c>
      <c r="I990" s="9">
        <f t="shared" si="31"/>
        <v>-1</v>
      </c>
      <c r="J990" s="3" t="s">
        <v>4604</v>
      </c>
    </row>
    <row r="991" spans="1:10" ht="25.5">
      <c r="A991" s="3" t="s">
        <v>1811</v>
      </c>
      <c r="B991" s="3" t="s">
        <v>1873</v>
      </c>
      <c r="C991" s="4">
        <v>328</v>
      </c>
      <c r="D991" s="3" t="s">
        <v>158</v>
      </c>
      <c r="E991" s="3" t="s">
        <v>22</v>
      </c>
      <c r="F991" s="5">
        <v>0</v>
      </c>
      <c r="G991" s="5">
        <v>4145.16</v>
      </c>
      <c r="H991" s="5">
        <f t="shared" si="30"/>
        <v>4145.16</v>
      </c>
      <c r="I991" s="9">
        <f t="shared" si="31"/>
        <v>0</v>
      </c>
      <c r="J991" s="3" t="s">
        <v>4603</v>
      </c>
    </row>
    <row r="992" spans="1:10" ht="25.5">
      <c r="A992" s="3" t="s">
        <v>1811</v>
      </c>
      <c r="B992" s="3" t="s">
        <v>1874</v>
      </c>
      <c r="C992" s="4">
        <v>232</v>
      </c>
      <c r="D992" s="3" t="s">
        <v>95</v>
      </c>
      <c r="E992" s="3" t="s">
        <v>13</v>
      </c>
      <c r="F992" s="5">
        <v>0</v>
      </c>
      <c r="G992" s="5">
        <v>2855.04</v>
      </c>
      <c r="H992" s="5">
        <f t="shared" si="30"/>
        <v>2855.04</v>
      </c>
      <c r="I992" s="9">
        <f t="shared" si="31"/>
        <v>0</v>
      </c>
      <c r="J992" s="3" t="s">
        <v>4603</v>
      </c>
    </row>
    <row r="993" spans="1:10" ht="38.25">
      <c r="A993" s="3" t="s">
        <v>1811</v>
      </c>
      <c r="B993" s="3" t="s">
        <v>1875</v>
      </c>
      <c r="C993" s="4">
        <v>273</v>
      </c>
      <c r="D993" s="3" t="s">
        <v>771</v>
      </c>
      <c r="E993" s="3" t="s">
        <v>18</v>
      </c>
      <c r="F993" s="5">
        <v>7924.74</v>
      </c>
      <c r="G993" s="5">
        <v>4074.6</v>
      </c>
      <c r="H993" s="5">
        <f t="shared" si="30"/>
        <v>-3850.14</v>
      </c>
      <c r="I993" s="9">
        <f t="shared" si="31"/>
        <v>-0.4858380211842912</v>
      </c>
      <c r="J993" s="3" t="s">
        <v>4604</v>
      </c>
    </row>
    <row r="994" spans="1:10" ht="38.25">
      <c r="A994" s="3" t="s">
        <v>1811</v>
      </c>
      <c r="B994" s="3" t="s">
        <v>1875</v>
      </c>
      <c r="C994" s="4">
        <v>273</v>
      </c>
      <c r="D994" s="3" t="s">
        <v>771</v>
      </c>
      <c r="E994" s="3" t="s">
        <v>13</v>
      </c>
      <c r="F994" s="5">
        <v>7924.74</v>
      </c>
      <c r="G994" s="5">
        <v>4074.6</v>
      </c>
      <c r="H994" s="5">
        <f t="shared" si="30"/>
        <v>-3850.14</v>
      </c>
      <c r="I994" s="9">
        <f t="shared" si="31"/>
        <v>-0.4858380211842912</v>
      </c>
      <c r="J994" s="3" t="s">
        <v>4604</v>
      </c>
    </row>
    <row r="995" spans="1:10" ht="25.5">
      <c r="A995" s="3" t="s">
        <v>1811</v>
      </c>
      <c r="B995" s="3" t="s">
        <v>1876</v>
      </c>
      <c r="C995" s="4">
        <v>316</v>
      </c>
      <c r="D995" s="3" t="s">
        <v>167</v>
      </c>
      <c r="E995" s="3" t="s">
        <v>18</v>
      </c>
      <c r="F995" s="5">
        <v>7173.81</v>
      </c>
      <c r="G995" s="5">
        <v>0</v>
      </c>
      <c r="H995" s="5">
        <f t="shared" si="30"/>
        <v>-7173.81</v>
      </c>
      <c r="I995" s="9">
        <f t="shared" si="31"/>
        <v>-1</v>
      </c>
      <c r="J995" s="3" t="s">
        <v>4603</v>
      </c>
    </row>
    <row r="996" spans="1:10" ht="25.5">
      <c r="A996" s="3" t="s">
        <v>1811</v>
      </c>
      <c r="B996" s="3" t="s">
        <v>1877</v>
      </c>
      <c r="C996" s="4">
        <v>39</v>
      </c>
      <c r="D996" s="3" t="s">
        <v>26</v>
      </c>
      <c r="E996" s="3" t="s">
        <v>9</v>
      </c>
      <c r="F996" s="5">
        <v>1326.72</v>
      </c>
      <c r="G996" s="5">
        <v>0</v>
      </c>
      <c r="H996" s="5">
        <f t="shared" si="30"/>
        <v>-1326.72</v>
      </c>
      <c r="I996" s="9">
        <f t="shared" si="31"/>
        <v>-1</v>
      </c>
      <c r="J996" s="3" t="s">
        <v>4603</v>
      </c>
    </row>
    <row r="997" spans="1:10" ht="25.5">
      <c r="A997" s="3" t="s">
        <v>1811</v>
      </c>
      <c r="B997" s="3" t="s">
        <v>1878</v>
      </c>
      <c r="C997" s="4">
        <v>264</v>
      </c>
      <c r="D997" s="3" t="s">
        <v>632</v>
      </c>
      <c r="E997" s="3" t="s">
        <v>18</v>
      </c>
      <c r="F997" s="5">
        <v>3439.38</v>
      </c>
      <c r="G997" s="5">
        <v>0</v>
      </c>
      <c r="H997" s="5">
        <f t="shared" si="30"/>
        <v>-3439.38</v>
      </c>
      <c r="I997" s="9">
        <f t="shared" si="31"/>
        <v>-1</v>
      </c>
      <c r="J997" s="3" t="s">
        <v>4604</v>
      </c>
    </row>
    <row r="998" spans="1:10" ht="25.5">
      <c r="A998" s="3" t="s">
        <v>1811</v>
      </c>
      <c r="B998" s="3" t="s">
        <v>1878</v>
      </c>
      <c r="C998" s="4">
        <v>264</v>
      </c>
      <c r="D998" s="3" t="s">
        <v>632</v>
      </c>
      <c r="E998" s="3" t="s">
        <v>22</v>
      </c>
      <c r="F998" s="5">
        <v>3439.38</v>
      </c>
      <c r="G998" s="5">
        <v>0</v>
      </c>
      <c r="H998" s="5">
        <f t="shared" si="30"/>
        <v>-3439.38</v>
      </c>
      <c r="I998" s="9">
        <f t="shared" si="31"/>
        <v>-1</v>
      </c>
      <c r="J998" s="3" t="s">
        <v>4604</v>
      </c>
    </row>
    <row r="999" spans="1:10" ht="25.5">
      <c r="A999" s="3" t="s">
        <v>1811</v>
      </c>
      <c r="B999" s="3" t="s">
        <v>1879</v>
      </c>
      <c r="C999" s="4">
        <v>273</v>
      </c>
      <c r="D999" s="3" t="s">
        <v>771</v>
      </c>
      <c r="E999" s="3" t="s">
        <v>13</v>
      </c>
      <c r="F999" s="5">
        <v>3136.68</v>
      </c>
      <c r="G999" s="5">
        <v>0</v>
      </c>
      <c r="H999" s="5">
        <f t="shared" si="30"/>
        <v>-3136.68</v>
      </c>
      <c r="I999" s="9">
        <f t="shared" si="31"/>
        <v>-1</v>
      </c>
      <c r="J999" s="3" t="s">
        <v>4604</v>
      </c>
    </row>
    <row r="1000" spans="1:10" ht="38.25">
      <c r="A1000" s="3" t="s">
        <v>1811</v>
      </c>
      <c r="B1000" s="3" t="s">
        <v>1880</v>
      </c>
      <c r="C1000" s="4">
        <v>333</v>
      </c>
      <c r="D1000" s="3" t="s">
        <v>1881</v>
      </c>
      <c r="E1000" s="3" t="s">
        <v>22</v>
      </c>
      <c r="F1000" s="5">
        <v>0</v>
      </c>
      <c r="G1000" s="5">
        <v>9853.86</v>
      </c>
      <c r="H1000" s="5">
        <f t="shared" si="30"/>
        <v>9853.86</v>
      </c>
      <c r="I1000" s="9">
        <f t="shared" si="31"/>
        <v>0</v>
      </c>
      <c r="J1000" s="3" t="s">
        <v>4604</v>
      </c>
    </row>
    <row r="1001" spans="1:10" ht="25.5">
      <c r="A1001" s="3" t="s">
        <v>1811</v>
      </c>
      <c r="B1001" s="3" t="s">
        <v>1882</v>
      </c>
      <c r="C1001" s="4">
        <v>296</v>
      </c>
      <c r="D1001" s="3" t="s">
        <v>137</v>
      </c>
      <c r="E1001" s="3" t="s">
        <v>18</v>
      </c>
      <c r="F1001" s="5">
        <v>3630.18</v>
      </c>
      <c r="G1001" s="5">
        <v>0</v>
      </c>
      <c r="H1001" s="5">
        <f t="shared" si="30"/>
        <v>-3630.18</v>
      </c>
      <c r="I1001" s="9">
        <f t="shared" si="31"/>
        <v>-1</v>
      </c>
      <c r="J1001" s="3" t="s">
        <v>4604</v>
      </c>
    </row>
    <row r="1002" spans="1:10" ht="25.5">
      <c r="A1002" s="3" t="s">
        <v>1811</v>
      </c>
      <c r="B1002" s="3" t="s">
        <v>1883</v>
      </c>
      <c r="C1002" s="4">
        <v>240</v>
      </c>
      <c r="D1002" s="3" t="s">
        <v>152</v>
      </c>
      <c r="E1002" s="3" t="s">
        <v>13</v>
      </c>
      <c r="F1002" s="5">
        <v>11271.06</v>
      </c>
      <c r="G1002" s="5">
        <v>31602.66</v>
      </c>
      <c r="H1002" s="5">
        <f t="shared" si="30"/>
        <v>20331.599999999999</v>
      </c>
      <c r="I1002" s="9">
        <f t="shared" si="31"/>
        <v>1.8038764765691959</v>
      </c>
      <c r="J1002" s="3" t="s">
        <v>4603</v>
      </c>
    </row>
    <row r="1003" spans="1:10" ht="25.5">
      <c r="A1003" s="3" t="s">
        <v>1811</v>
      </c>
      <c r="B1003" s="3" t="s">
        <v>1884</v>
      </c>
      <c r="C1003" s="4">
        <v>39</v>
      </c>
      <c r="D1003" s="3" t="s">
        <v>26</v>
      </c>
      <c r="E1003" s="3" t="s">
        <v>9</v>
      </c>
      <c r="F1003" s="5">
        <v>0</v>
      </c>
      <c r="G1003" s="5">
        <v>2727.12</v>
      </c>
      <c r="H1003" s="5">
        <f t="shared" si="30"/>
        <v>2727.12</v>
      </c>
      <c r="I1003" s="9">
        <f t="shared" si="31"/>
        <v>0</v>
      </c>
      <c r="J1003" s="3" t="s">
        <v>4603</v>
      </c>
    </row>
    <row r="1004" spans="1:10" ht="25.5">
      <c r="A1004" s="3" t="s">
        <v>1811</v>
      </c>
      <c r="B1004" s="3" t="s">
        <v>1885</v>
      </c>
      <c r="C1004" s="4">
        <v>321</v>
      </c>
      <c r="D1004" s="3" t="s">
        <v>125</v>
      </c>
      <c r="E1004" s="3" t="s">
        <v>22</v>
      </c>
      <c r="F1004" s="5">
        <v>0</v>
      </c>
      <c r="G1004" s="5">
        <v>3572.52</v>
      </c>
      <c r="H1004" s="5">
        <f t="shared" si="30"/>
        <v>3572.52</v>
      </c>
      <c r="I1004" s="9">
        <f t="shared" si="31"/>
        <v>0</v>
      </c>
      <c r="J1004" s="3" t="s">
        <v>4603</v>
      </c>
    </row>
    <row r="1005" spans="1:10" ht="25.5">
      <c r="A1005" s="3" t="s">
        <v>1811</v>
      </c>
      <c r="B1005" s="3" t="s">
        <v>1886</v>
      </c>
      <c r="C1005" s="4">
        <v>264</v>
      </c>
      <c r="D1005" s="3" t="s">
        <v>632</v>
      </c>
      <c r="E1005" s="3" t="s">
        <v>18</v>
      </c>
      <c r="F1005" s="5">
        <v>12433.2</v>
      </c>
      <c r="G1005" s="5">
        <v>0</v>
      </c>
      <c r="H1005" s="5">
        <f t="shared" si="30"/>
        <v>-12433.2</v>
      </c>
      <c r="I1005" s="9">
        <f t="shared" si="31"/>
        <v>-1</v>
      </c>
      <c r="J1005" s="3" t="s">
        <v>4603</v>
      </c>
    </row>
    <row r="1006" spans="1:10" ht="38.25">
      <c r="A1006" s="3" t="s">
        <v>1811</v>
      </c>
      <c r="B1006" s="3" t="s">
        <v>1887</v>
      </c>
      <c r="C1006" s="4">
        <v>371</v>
      </c>
      <c r="D1006" s="3" t="s">
        <v>29</v>
      </c>
      <c r="E1006" s="3" t="s">
        <v>30</v>
      </c>
      <c r="F1006" s="5">
        <v>11757.72</v>
      </c>
      <c r="G1006" s="5">
        <v>0</v>
      </c>
      <c r="H1006" s="5">
        <f t="shared" si="30"/>
        <v>-11757.72</v>
      </c>
      <c r="I1006" s="9">
        <f t="shared" si="31"/>
        <v>-1</v>
      </c>
      <c r="J1006" s="3" t="s">
        <v>4604</v>
      </c>
    </row>
    <row r="1007" spans="1:10" ht="25.5">
      <c r="A1007" s="3" t="s">
        <v>1811</v>
      </c>
      <c r="B1007" s="3" t="s">
        <v>1888</v>
      </c>
      <c r="C1007" s="4">
        <v>266</v>
      </c>
      <c r="D1007" s="3" t="s">
        <v>111</v>
      </c>
      <c r="E1007" s="3" t="s">
        <v>18</v>
      </c>
      <c r="F1007" s="5">
        <v>0</v>
      </c>
      <c r="G1007" s="5">
        <v>21800.07</v>
      </c>
      <c r="H1007" s="5">
        <f t="shared" si="30"/>
        <v>21800.07</v>
      </c>
      <c r="I1007" s="9">
        <f t="shared" si="31"/>
        <v>0</v>
      </c>
      <c r="J1007" s="3" t="s">
        <v>4603</v>
      </c>
    </row>
    <row r="1008" spans="1:10" ht="51">
      <c r="A1008" s="3" t="s">
        <v>1811</v>
      </c>
      <c r="B1008" s="3" t="s">
        <v>1889</v>
      </c>
      <c r="C1008" s="4">
        <v>282</v>
      </c>
      <c r="D1008" s="3" t="s">
        <v>298</v>
      </c>
      <c r="E1008" s="3" t="s">
        <v>9</v>
      </c>
      <c r="F1008" s="5">
        <v>0</v>
      </c>
      <c r="G1008" s="5">
        <v>27046.157999999999</v>
      </c>
      <c r="H1008" s="5">
        <f t="shared" si="30"/>
        <v>27046.157999999999</v>
      </c>
      <c r="I1008" s="9">
        <f t="shared" si="31"/>
        <v>0</v>
      </c>
      <c r="J1008" s="3" t="s">
        <v>4603</v>
      </c>
    </row>
    <row r="1009" spans="1:10" ht="25.5">
      <c r="A1009" s="3" t="s">
        <v>1811</v>
      </c>
      <c r="B1009" s="3" t="s">
        <v>1890</v>
      </c>
      <c r="C1009" s="4">
        <v>273</v>
      </c>
      <c r="D1009" s="3" t="s">
        <v>771</v>
      </c>
      <c r="E1009" s="3" t="s">
        <v>13</v>
      </c>
      <c r="F1009" s="5">
        <v>2867.4</v>
      </c>
      <c r="G1009" s="5">
        <v>0</v>
      </c>
      <c r="H1009" s="5">
        <f t="shared" si="30"/>
        <v>-2867.4</v>
      </c>
      <c r="I1009" s="9">
        <f t="shared" si="31"/>
        <v>-1</v>
      </c>
      <c r="J1009" s="3" t="s">
        <v>4604</v>
      </c>
    </row>
    <row r="1010" spans="1:10" ht="25.5">
      <c r="A1010" s="3" t="s">
        <v>1811</v>
      </c>
      <c r="B1010" s="3" t="s">
        <v>1891</v>
      </c>
      <c r="C1010" s="4">
        <v>302</v>
      </c>
      <c r="D1010" s="3" t="s">
        <v>303</v>
      </c>
      <c r="E1010" s="3" t="s">
        <v>30</v>
      </c>
      <c r="F1010" s="5">
        <v>3279.6</v>
      </c>
      <c r="G1010" s="5">
        <v>0</v>
      </c>
      <c r="H1010" s="5">
        <f t="shared" si="30"/>
        <v>-3279.6</v>
      </c>
      <c r="I1010" s="9">
        <f t="shared" si="31"/>
        <v>-1</v>
      </c>
      <c r="J1010" s="3" t="s">
        <v>4604</v>
      </c>
    </row>
    <row r="1011" spans="1:10" ht="25.5">
      <c r="A1011" s="3" t="s">
        <v>1811</v>
      </c>
      <c r="B1011" s="3" t="s">
        <v>1892</v>
      </c>
      <c r="C1011" s="4">
        <v>273</v>
      </c>
      <c r="D1011" s="3" t="s">
        <v>771</v>
      </c>
      <c r="E1011" s="3" t="s">
        <v>13</v>
      </c>
      <c r="F1011" s="5">
        <v>5641.86</v>
      </c>
      <c r="G1011" s="5">
        <v>0</v>
      </c>
      <c r="H1011" s="5">
        <f t="shared" si="30"/>
        <v>-5641.86</v>
      </c>
      <c r="I1011" s="9">
        <f t="shared" si="31"/>
        <v>-1</v>
      </c>
      <c r="J1011" s="3" t="s">
        <v>4604</v>
      </c>
    </row>
    <row r="1012" spans="1:10" ht="25.5">
      <c r="A1012" s="3" t="s">
        <v>1811</v>
      </c>
      <c r="B1012" s="3" t="s">
        <v>1893</v>
      </c>
      <c r="C1012" s="4">
        <v>217</v>
      </c>
      <c r="D1012" s="3" t="s">
        <v>253</v>
      </c>
      <c r="E1012" s="3" t="s">
        <v>13</v>
      </c>
      <c r="F1012" s="5">
        <v>0</v>
      </c>
      <c r="G1012" s="5">
        <v>5378.7</v>
      </c>
      <c r="H1012" s="5">
        <f t="shared" si="30"/>
        <v>5378.7</v>
      </c>
      <c r="I1012" s="9">
        <f t="shared" si="31"/>
        <v>0</v>
      </c>
      <c r="J1012" s="3" t="s">
        <v>4603</v>
      </c>
    </row>
    <row r="1013" spans="1:10" ht="25.5">
      <c r="A1013" s="3" t="s">
        <v>1811</v>
      </c>
      <c r="B1013" s="3" t="s">
        <v>1894</v>
      </c>
      <c r="C1013" s="4">
        <v>273</v>
      </c>
      <c r="D1013" s="3" t="s">
        <v>771</v>
      </c>
      <c r="E1013" s="3" t="s">
        <v>13</v>
      </c>
      <c r="F1013" s="5">
        <v>4379.49</v>
      </c>
      <c r="G1013" s="5">
        <v>2716.32</v>
      </c>
      <c r="H1013" s="5">
        <f t="shared" si="30"/>
        <v>-1663.1699999999996</v>
      </c>
      <c r="I1013" s="9">
        <f t="shared" si="31"/>
        <v>-0.37976339710788232</v>
      </c>
      <c r="J1013" s="3" t="s">
        <v>4603</v>
      </c>
    </row>
    <row r="1014" spans="1:10" ht="25.5">
      <c r="A1014" s="3" t="s">
        <v>1811</v>
      </c>
      <c r="B1014" s="3" t="s">
        <v>1895</v>
      </c>
      <c r="C1014" s="4">
        <v>93</v>
      </c>
      <c r="D1014" s="3" t="s">
        <v>42</v>
      </c>
      <c r="E1014" s="3" t="s">
        <v>8</v>
      </c>
      <c r="F1014" s="5">
        <v>0</v>
      </c>
      <c r="G1014" s="5">
        <v>2253.12</v>
      </c>
      <c r="H1014" s="5">
        <f t="shared" si="30"/>
        <v>2253.12</v>
      </c>
      <c r="I1014" s="9">
        <f t="shared" si="31"/>
        <v>0</v>
      </c>
      <c r="J1014" s="3" t="s">
        <v>4603</v>
      </c>
    </row>
    <row r="1015" spans="1:10" ht="51">
      <c r="A1015" s="3" t="s">
        <v>1811</v>
      </c>
      <c r="B1015" s="3" t="s">
        <v>1896</v>
      </c>
      <c r="C1015" s="4">
        <v>282</v>
      </c>
      <c r="D1015" s="3" t="s">
        <v>298</v>
      </c>
      <c r="E1015" s="3" t="s">
        <v>9</v>
      </c>
      <c r="F1015" s="5">
        <v>7138.68</v>
      </c>
      <c r="G1015" s="5">
        <v>0</v>
      </c>
      <c r="H1015" s="5">
        <f t="shared" si="30"/>
        <v>-7138.68</v>
      </c>
      <c r="I1015" s="9">
        <f t="shared" si="31"/>
        <v>-1</v>
      </c>
      <c r="J1015" s="3" t="s">
        <v>4603</v>
      </c>
    </row>
    <row r="1016" spans="1:10" ht="25.5">
      <c r="A1016" s="3" t="s">
        <v>1811</v>
      </c>
      <c r="B1016" s="3" t="s">
        <v>1897</v>
      </c>
      <c r="C1016" s="4">
        <v>31</v>
      </c>
      <c r="D1016" s="3" t="s">
        <v>172</v>
      </c>
      <c r="E1016" s="3" t="s">
        <v>13</v>
      </c>
      <c r="F1016" s="5">
        <v>11422.2</v>
      </c>
      <c r="G1016" s="5">
        <v>17412.36</v>
      </c>
      <c r="H1016" s="5">
        <f t="shared" si="30"/>
        <v>5990.16</v>
      </c>
      <c r="I1016" s="9">
        <f t="shared" si="31"/>
        <v>0.52443137048904753</v>
      </c>
      <c r="J1016" s="3" t="s">
        <v>4604</v>
      </c>
    </row>
    <row r="1017" spans="1:10" ht="25.5">
      <c r="A1017" s="3" t="s">
        <v>1811</v>
      </c>
      <c r="B1017" s="3" t="s">
        <v>1898</v>
      </c>
      <c r="C1017" s="4">
        <v>296</v>
      </c>
      <c r="D1017" s="3" t="s">
        <v>137</v>
      </c>
      <c r="E1017" s="3" t="s">
        <v>13</v>
      </c>
      <c r="F1017" s="5">
        <v>9946.5</v>
      </c>
      <c r="G1017" s="5">
        <v>0</v>
      </c>
      <c r="H1017" s="5">
        <f t="shared" si="30"/>
        <v>-9946.5</v>
      </c>
      <c r="I1017" s="9">
        <f t="shared" si="31"/>
        <v>-1</v>
      </c>
      <c r="J1017" s="3" t="s">
        <v>4603</v>
      </c>
    </row>
    <row r="1018" spans="1:10" ht="25.5">
      <c r="A1018" s="3" t="s">
        <v>1811</v>
      </c>
      <c r="B1018" s="3" t="s">
        <v>1899</v>
      </c>
      <c r="C1018" s="4">
        <v>240</v>
      </c>
      <c r="D1018" s="3" t="s">
        <v>152</v>
      </c>
      <c r="E1018" s="3" t="s">
        <v>13</v>
      </c>
      <c r="F1018" s="5">
        <v>0</v>
      </c>
      <c r="G1018" s="5">
        <v>4154.28</v>
      </c>
      <c r="H1018" s="5">
        <f t="shared" si="30"/>
        <v>4154.28</v>
      </c>
      <c r="I1018" s="9">
        <f t="shared" si="31"/>
        <v>0</v>
      </c>
      <c r="J1018" s="3" t="s">
        <v>4603</v>
      </c>
    </row>
    <row r="1019" spans="1:10" ht="25.5">
      <c r="A1019" s="3" t="s">
        <v>1811</v>
      </c>
      <c r="B1019" s="3" t="s">
        <v>1900</v>
      </c>
      <c r="C1019" s="4">
        <v>334</v>
      </c>
      <c r="D1019" s="3" t="s">
        <v>585</v>
      </c>
      <c r="E1019" s="3" t="s">
        <v>8</v>
      </c>
      <c r="F1019" s="5">
        <v>0</v>
      </c>
      <c r="G1019" s="5">
        <v>4436.16</v>
      </c>
      <c r="H1019" s="5">
        <f t="shared" si="30"/>
        <v>4436.16</v>
      </c>
      <c r="I1019" s="9">
        <f t="shared" si="31"/>
        <v>0</v>
      </c>
      <c r="J1019" s="3" t="s">
        <v>4603</v>
      </c>
    </row>
    <row r="1020" spans="1:10" ht="25.5">
      <c r="A1020" s="3" t="s">
        <v>1811</v>
      </c>
      <c r="B1020" s="3" t="s">
        <v>1901</v>
      </c>
      <c r="C1020" s="4">
        <v>296</v>
      </c>
      <c r="D1020" s="3" t="s">
        <v>137</v>
      </c>
      <c r="E1020" s="3" t="s">
        <v>18</v>
      </c>
      <c r="F1020" s="5">
        <v>3939.18</v>
      </c>
      <c r="G1020" s="5">
        <v>15237.951999999999</v>
      </c>
      <c r="H1020" s="5">
        <f t="shared" si="30"/>
        <v>11298.771999999999</v>
      </c>
      <c r="I1020" s="9">
        <f t="shared" si="31"/>
        <v>2.8683055864418483</v>
      </c>
      <c r="J1020" s="3" t="s">
        <v>4603</v>
      </c>
    </row>
    <row r="1021" spans="1:10" ht="25.5">
      <c r="A1021" s="3" t="s">
        <v>1811</v>
      </c>
      <c r="B1021" s="3" t="s">
        <v>1902</v>
      </c>
      <c r="C1021" s="4">
        <v>31</v>
      </c>
      <c r="D1021" s="3" t="s">
        <v>172</v>
      </c>
      <c r="E1021" s="3" t="s">
        <v>13</v>
      </c>
      <c r="F1021" s="5">
        <v>0</v>
      </c>
      <c r="G1021" s="5">
        <v>11977.54</v>
      </c>
      <c r="H1021" s="5">
        <f t="shared" si="30"/>
        <v>11977.54</v>
      </c>
      <c r="I1021" s="9">
        <f t="shared" si="31"/>
        <v>0</v>
      </c>
      <c r="J1021" s="3" t="s">
        <v>4603</v>
      </c>
    </row>
    <row r="1022" spans="1:10" ht="38.25">
      <c r="A1022" s="3" t="s">
        <v>1811</v>
      </c>
      <c r="B1022" s="3" t="s">
        <v>1903</v>
      </c>
      <c r="C1022" s="4">
        <v>11</v>
      </c>
      <c r="D1022" s="3" t="s">
        <v>55</v>
      </c>
      <c r="E1022" s="3" t="s">
        <v>18</v>
      </c>
      <c r="F1022" s="5">
        <v>6155.04</v>
      </c>
      <c r="G1022" s="5">
        <v>0</v>
      </c>
      <c r="H1022" s="5">
        <f t="shared" si="30"/>
        <v>-6155.04</v>
      </c>
      <c r="I1022" s="9">
        <f t="shared" si="31"/>
        <v>-1</v>
      </c>
      <c r="J1022" s="3" t="s">
        <v>4603</v>
      </c>
    </row>
    <row r="1023" spans="1:10" ht="25.5">
      <c r="A1023" s="3" t="s">
        <v>1811</v>
      </c>
      <c r="B1023" s="3" t="s">
        <v>1904</v>
      </c>
      <c r="C1023" s="4">
        <v>232</v>
      </c>
      <c r="D1023" s="3" t="s">
        <v>95</v>
      </c>
      <c r="E1023" s="3" t="s">
        <v>13</v>
      </c>
      <c r="F1023" s="5">
        <v>0</v>
      </c>
      <c r="G1023" s="5">
        <v>2648.25</v>
      </c>
      <c r="H1023" s="5">
        <f t="shared" si="30"/>
        <v>2648.25</v>
      </c>
      <c r="I1023" s="9">
        <f t="shared" si="31"/>
        <v>0</v>
      </c>
      <c r="J1023" s="3" t="s">
        <v>4603</v>
      </c>
    </row>
    <row r="1024" spans="1:10" ht="25.5">
      <c r="A1024" s="3" t="s">
        <v>1811</v>
      </c>
      <c r="B1024" s="3" t="s">
        <v>1905</v>
      </c>
      <c r="C1024" s="4">
        <v>232</v>
      </c>
      <c r="D1024" s="3" t="s">
        <v>95</v>
      </c>
      <c r="E1024" s="3" t="s">
        <v>13</v>
      </c>
      <c r="F1024" s="5">
        <v>7318.2</v>
      </c>
      <c r="G1024" s="5">
        <v>8603.8799999999992</v>
      </c>
      <c r="H1024" s="5">
        <f t="shared" si="30"/>
        <v>1285.6799999999994</v>
      </c>
      <c r="I1024" s="9">
        <f t="shared" si="31"/>
        <v>0.17568254488808721</v>
      </c>
      <c r="J1024" s="3" t="s">
        <v>4603</v>
      </c>
    </row>
    <row r="1025" spans="1:10" ht="25.5">
      <c r="A1025" s="3" t="s">
        <v>1811</v>
      </c>
      <c r="B1025" s="3" t="s">
        <v>1906</v>
      </c>
      <c r="C1025" s="4">
        <v>273</v>
      </c>
      <c r="D1025" s="3" t="s">
        <v>771</v>
      </c>
      <c r="E1025" s="3" t="s">
        <v>13</v>
      </c>
      <c r="F1025" s="5">
        <v>2858.88</v>
      </c>
      <c r="G1025" s="5">
        <v>0</v>
      </c>
      <c r="H1025" s="5">
        <f t="shared" si="30"/>
        <v>-2858.88</v>
      </c>
      <c r="I1025" s="9">
        <f t="shared" si="31"/>
        <v>-1</v>
      </c>
      <c r="J1025" s="3" t="s">
        <v>4604</v>
      </c>
    </row>
    <row r="1026" spans="1:10" ht="25.5">
      <c r="A1026" s="3" t="s">
        <v>1811</v>
      </c>
      <c r="B1026" s="3" t="s">
        <v>1907</v>
      </c>
      <c r="C1026" s="4">
        <v>264</v>
      </c>
      <c r="D1026" s="3" t="s">
        <v>632</v>
      </c>
      <c r="E1026" s="3" t="s">
        <v>22</v>
      </c>
      <c r="F1026" s="5">
        <v>0</v>
      </c>
      <c r="G1026" s="5">
        <v>14916.853999999999</v>
      </c>
      <c r="H1026" s="5">
        <f t="shared" si="30"/>
        <v>14916.853999999999</v>
      </c>
      <c r="I1026" s="9">
        <f t="shared" si="31"/>
        <v>0</v>
      </c>
      <c r="J1026" s="3" t="s">
        <v>4603</v>
      </c>
    </row>
    <row r="1027" spans="1:10" ht="25.5">
      <c r="A1027" s="3" t="s">
        <v>1811</v>
      </c>
      <c r="B1027" s="3" t="s">
        <v>1908</v>
      </c>
      <c r="C1027" s="4">
        <v>334</v>
      </c>
      <c r="D1027" s="3" t="s">
        <v>585</v>
      </c>
      <c r="E1027" s="3" t="s">
        <v>8</v>
      </c>
      <c r="F1027" s="5">
        <v>27025.83</v>
      </c>
      <c r="G1027" s="5">
        <v>3886.2339999999999</v>
      </c>
      <c r="H1027" s="5">
        <f t="shared" ref="H1027:H1090" si="32">G1027-F1027</f>
        <v>-23139.596000000001</v>
      </c>
      <c r="I1027" s="9">
        <f t="shared" ref="I1027:I1090" si="33">IFERROR(G1027/F1027-1,0)</f>
        <v>-0.85620297322968431</v>
      </c>
      <c r="J1027" s="3" t="s">
        <v>4603</v>
      </c>
    </row>
    <row r="1028" spans="1:10" ht="25.5">
      <c r="A1028" s="3" t="s">
        <v>1811</v>
      </c>
      <c r="B1028" s="3" t="s">
        <v>1909</v>
      </c>
      <c r="C1028" s="4">
        <v>31</v>
      </c>
      <c r="D1028" s="3" t="s">
        <v>172</v>
      </c>
      <c r="E1028" s="3" t="s">
        <v>13</v>
      </c>
      <c r="F1028" s="5">
        <v>0</v>
      </c>
      <c r="G1028" s="5">
        <v>8132.92</v>
      </c>
      <c r="H1028" s="5">
        <f t="shared" si="32"/>
        <v>8132.92</v>
      </c>
      <c r="I1028" s="9">
        <f t="shared" si="33"/>
        <v>0</v>
      </c>
      <c r="J1028" s="3" t="s">
        <v>4603</v>
      </c>
    </row>
    <row r="1029" spans="1:10" ht="25.5">
      <c r="A1029" s="3" t="s">
        <v>1811</v>
      </c>
      <c r="B1029" s="3" t="s">
        <v>1910</v>
      </c>
      <c r="C1029" s="4">
        <v>273</v>
      </c>
      <c r="D1029" s="3" t="s">
        <v>771</v>
      </c>
      <c r="E1029" s="3" t="s">
        <v>13</v>
      </c>
      <c r="F1029" s="5">
        <v>0</v>
      </c>
      <c r="G1029" s="5">
        <v>4726.62</v>
      </c>
      <c r="H1029" s="5">
        <f t="shared" si="32"/>
        <v>4726.62</v>
      </c>
      <c r="I1029" s="9">
        <f t="shared" si="33"/>
        <v>0</v>
      </c>
      <c r="J1029" s="3" t="s">
        <v>4603</v>
      </c>
    </row>
    <row r="1030" spans="1:10" ht="25.5">
      <c r="A1030" s="3" t="s">
        <v>1811</v>
      </c>
      <c r="B1030" s="3" t="s">
        <v>1911</v>
      </c>
      <c r="C1030" s="4">
        <v>337</v>
      </c>
      <c r="D1030" s="3" t="s">
        <v>218</v>
      </c>
      <c r="E1030" s="3" t="s">
        <v>13</v>
      </c>
      <c r="F1030" s="5">
        <v>0</v>
      </c>
      <c r="G1030" s="5">
        <v>9454.44</v>
      </c>
      <c r="H1030" s="5">
        <f t="shared" si="32"/>
        <v>9454.44</v>
      </c>
      <c r="I1030" s="9">
        <f t="shared" si="33"/>
        <v>0</v>
      </c>
      <c r="J1030" s="3" t="s">
        <v>4603</v>
      </c>
    </row>
    <row r="1031" spans="1:10" ht="25.5">
      <c r="A1031" s="3" t="s">
        <v>1811</v>
      </c>
      <c r="B1031" s="3" t="s">
        <v>1912</v>
      </c>
      <c r="C1031" s="4">
        <v>194</v>
      </c>
      <c r="D1031" s="3" t="s">
        <v>179</v>
      </c>
      <c r="E1031" s="3" t="s">
        <v>13</v>
      </c>
      <c r="F1031" s="5">
        <v>8681.85</v>
      </c>
      <c r="G1031" s="5">
        <v>0</v>
      </c>
      <c r="H1031" s="5">
        <f t="shared" si="32"/>
        <v>-8681.85</v>
      </c>
      <c r="I1031" s="9">
        <f t="shared" si="33"/>
        <v>-1</v>
      </c>
      <c r="J1031" s="3" t="s">
        <v>4603</v>
      </c>
    </row>
    <row r="1032" spans="1:10" ht="25.5">
      <c r="A1032" s="3" t="s">
        <v>1811</v>
      </c>
      <c r="B1032" s="3" t="s">
        <v>1913</v>
      </c>
      <c r="C1032" s="4">
        <v>194</v>
      </c>
      <c r="D1032" s="3" t="s">
        <v>179</v>
      </c>
      <c r="E1032" s="3" t="s">
        <v>13</v>
      </c>
      <c r="F1032" s="5">
        <v>0</v>
      </c>
      <c r="G1032" s="5">
        <v>5677.2</v>
      </c>
      <c r="H1032" s="5">
        <f t="shared" si="32"/>
        <v>5677.2</v>
      </c>
      <c r="I1032" s="9">
        <f t="shared" si="33"/>
        <v>0</v>
      </c>
      <c r="J1032" s="3" t="s">
        <v>4603</v>
      </c>
    </row>
    <row r="1033" spans="1:10" ht="38.25">
      <c r="A1033" s="3" t="s">
        <v>1811</v>
      </c>
      <c r="B1033" s="3" t="s">
        <v>1914</v>
      </c>
      <c r="C1033" s="4">
        <v>292</v>
      </c>
      <c r="D1033" s="3" t="s">
        <v>619</v>
      </c>
      <c r="E1033" s="3" t="s">
        <v>30</v>
      </c>
      <c r="F1033" s="5">
        <v>0</v>
      </c>
      <c r="G1033" s="5">
        <v>7189.62</v>
      </c>
      <c r="H1033" s="5">
        <f t="shared" si="32"/>
        <v>7189.62</v>
      </c>
      <c r="I1033" s="9">
        <f t="shared" si="33"/>
        <v>0</v>
      </c>
      <c r="J1033" s="3" t="s">
        <v>4604</v>
      </c>
    </row>
    <row r="1034" spans="1:10" ht="25.5">
      <c r="A1034" s="3" t="s">
        <v>1811</v>
      </c>
      <c r="B1034" s="3" t="s">
        <v>1915</v>
      </c>
      <c r="C1034" s="4">
        <v>296</v>
      </c>
      <c r="D1034" s="3" t="s">
        <v>137</v>
      </c>
      <c r="E1034" s="3" t="s">
        <v>18</v>
      </c>
      <c r="F1034" s="5">
        <v>0</v>
      </c>
      <c r="G1034" s="5">
        <v>4697.893</v>
      </c>
      <c r="H1034" s="5">
        <f t="shared" si="32"/>
        <v>4697.893</v>
      </c>
      <c r="I1034" s="9">
        <f t="shared" si="33"/>
        <v>0</v>
      </c>
      <c r="J1034" s="3" t="s">
        <v>4603</v>
      </c>
    </row>
    <row r="1035" spans="1:10" ht="25.5">
      <c r="A1035" s="3" t="s">
        <v>1811</v>
      </c>
      <c r="B1035" s="3" t="s">
        <v>1916</v>
      </c>
      <c r="C1035" s="4">
        <v>31</v>
      </c>
      <c r="D1035" s="3" t="s">
        <v>172</v>
      </c>
      <c r="E1035" s="3" t="s">
        <v>13</v>
      </c>
      <c r="F1035" s="5">
        <v>0</v>
      </c>
      <c r="G1035" s="5">
        <v>5872.07</v>
      </c>
      <c r="H1035" s="5">
        <f t="shared" si="32"/>
        <v>5872.07</v>
      </c>
      <c r="I1035" s="9">
        <f t="shared" si="33"/>
        <v>0</v>
      </c>
      <c r="J1035" s="3" t="s">
        <v>4603</v>
      </c>
    </row>
    <row r="1036" spans="1:10" ht="25.5">
      <c r="A1036" s="3" t="s">
        <v>1811</v>
      </c>
      <c r="B1036" s="3" t="s">
        <v>1917</v>
      </c>
      <c r="C1036" s="4">
        <v>217</v>
      </c>
      <c r="D1036" s="3" t="s">
        <v>253</v>
      </c>
      <c r="E1036" s="3" t="s">
        <v>13</v>
      </c>
      <c r="F1036" s="5">
        <v>0</v>
      </c>
      <c r="G1036" s="5">
        <v>4319.5200000000004</v>
      </c>
      <c r="H1036" s="5">
        <f t="shared" si="32"/>
        <v>4319.5200000000004</v>
      </c>
      <c r="I1036" s="9">
        <f t="shared" si="33"/>
        <v>0</v>
      </c>
      <c r="J1036" s="3" t="s">
        <v>4603</v>
      </c>
    </row>
    <row r="1037" spans="1:10" ht="25.5">
      <c r="A1037" s="3" t="s">
        <v>1811</v>
      </c>
      <c r="B1037" s="3" t="s">
        <v>1918</v>
      </c>
      <c r="C1037" s="4">
        <v>217</v>
      </c>
      <c r="D1037" s="3" t="s">
        <v>253</v>
      </c>
      <c r="E1037" s="3" t="s">
        <v>13</v>
      </c>
      <c r="F1037" s="5">
        <v>4676.1899999999996</v>
      </c>
      <c r="G1037" s="5">
        <v>0</v>
      </c>
      <c r="H1037" s="5">
        <f t="shared" si="32"/>
        <v>-4676.1899999999996</v>
      </c>
      <c r="I1037" s="9">
        <f t="shared" si="33"/>
        <v>-1</v>
      </c>
      <c r="J1037" s="3" t="s">
        <v>4603</v>
      </c>
    </row>
    <row r="1038" spans="1:10" ht="25.5">
      <c r="A1038" s="3" t="s">
        <v>1811</v>
      </c>
      <c r="B1038" s="3" t="s">
        <v>1919</v>
      </c>
      <c r="C1038" s="4">
        <v>297</v>
      </c>
      <c r="D1038" s="3" t="s">
        <v>209</v>
      </c>
      <c r="E1038" s="3" t="s">
        <v>22</v>
      </c>
      <c r="F1038" s="5">
        <v>0</v>
      </c>
      <c r="G1038" s="5">
        <v>8987.9009999999998</v>
      </c>
      <c r="H1038" s="5">
        <f t="shared" si="32"/>
        <v>8987.9009999999998</v>
      </c>
      <c r="I1038" s="9">
        <f t="shared" si="33"/>
        <v>0</v>
      </c>
      <c r="J1038" s="3" t="s">
        <v>4603</v>
      </c>
    </row>
    <row r="1039" spans="1:10" ht="25.5">
      <c r="A1039" s="3" t="s">
        <v>1811</v>
      </c>
      <c r="B1039" s="3" t="s">
        <v>1920</v>
      </c>
      <c r="C1039" s="4">
        <v>240</v>
      </c>
      <c r="D1039" s="3" t="s">
        <v>152</v>
      </c>
      <c r="E1039" s="3" t="s">
        <v>13</v>
      </c>
      <c r="F1039" s="5">
        <v>0</v>
      </c>
      <c r="G1039" s="5">
        <v>4955.58</v>
      </c>
      <c r="H1039" s="5">
        <f t="shared" si="32"/>
        <v>4955.58</v>
      </c>
      <c r="I1039" s="9">
        <f t="shared" si="33"/>
        <v>0</v>
      </c>
      <c r="J1039" s="3" t="s">
        <v>4603</v>
      </c>
    </row>
    <row r="1040" spans="1:10" ht="25.5">
      <c r="A1040" s="3" t="s">
        <v>1811</v>
      </c>
      <c r="B1040" s="3" t="s">
        <v>1921</v>
      </c>
      <c r="C1040" s="4">
        <v>187</v>
      </c>
      <c r="D1040" s="3" t="s">
        <v>460</v>
      </c>
      <c r="E1040" s="3" t="s">
        <v>8</v>
      </c>
      <c r="F1040" s="5">
        <v>10888.44</v>
      </c>
      <c r="G1040" s="5">
        <v>5088.78</v>
      </c>
      <c r="H1040" s="5">
        <f t="shared" si="32"/>
        <v>-5799.6600000000008</v>
      </c>
      <c r="I1040" s="9">
        <f t="shared" si="33"/>
        <v>-0.53264379470337353</v>
      </c>
      <c r="J1040" s="3" t="s">
        <v>4603</v>
      </c>
    </row>
    <row r="1041" spans="1:10" ht="25.5">
      <c r="A1041" s="3" t="s">
        <v>1811</v>
      </c>
      <c r="B1041" s="3" t="s">
        <v>1922</v>
      </c>
      <c r="C1041" s="4">
        <v>217</v>
      </c>
      <c r="D1041" s="3" t="s">
        <v>253</v>
      </c>
      <c r="E1041" s="3" t="s">
        <v>13</v>
      </c>
      <c r="F1041" s="5">
        <v>0</v>
      </c>
      <c r="G1041" s="5">
        <v>2472</v>
      </c>
      <c r="H1041" s="5">
        <f t="shared" si="32"/>
        <v>2472</v>
      </c>
      <c r="I1041" s="9">
        <f t="shared" si="33"/>
        <v>0</v>
      </c>
      <c r="J1041" s="3" t="s">
        <v>4603</v>
      </c>
    </row>
    <row r="1042" spans="1:10" ht="25.5">
      <c r="A1042" s="3" t="s">
        <v>1811</v>
      </c>
      <c r="B1042" s="3" t="s">
        <v>1923</v>
      </c>
      <c r="C1042" s="4">
        <v>296</v>
      </c>
      <c r="D1042" s="3" t="s">
        <v>137</v>
      </c>
      <c r="E1042" s="3" t="s">
        <v>18</v>
      </c>
      <c r="F1042" s="5">
        <v>0</v>
      </c>
      <c r="G1042" s="5">
        <v>4062.0210000000002</v>
      </c>
      <c r="H1042" s="5">
        <f t="shared" si="32"/>
        <v>4062.0210000000002</v>
      </c>
      <c r="I1042" s="9">
        <f t="shared" si="33"/>
        <v>0</v>
      </c>
      <c r="J1042" s="3" t="s">
        <v>4603</v>
      </c>
    </row>
    <row r="1043" spans="1:10" ht="25.5">
      <c r="A1043" s="3" t="s">
        <v>1811</v>
      </c>
      <c r="B1043" s="3" t="s">
        <v>1924</v>
      </c>
      <c r="C1043" s="4">
        <v>317</v>
      </c>
      <c r="D1043" s="3" t="s">
        <v>54</v>
      </c>
      <c r="E1043" s="3" t="s">
        <v>18</v>
      </c>
      <c r="F1043" s="5">
        <v>0</v>
      </c>
      <c r="G1043" s="5">
        <v>7700.34</v>
      </c>
      <c r="H1043" s="5">
        <f t="shared" si="32"/>
        <v>7700.34</v>
      </c>
      <c r="I1043" s="9">
        <f t="shared" si="33"/>
        <v>0</v>
      </c>
      <c r="J1043" s="3" t="s">
        <v>4603</v>
      </c>
    </row>
    <row r="1044" spans="1:10" ht="25.5">
      <c r="A1044" s="3" t="s">
        <v>1811</v>
      </c>
      <c r="B1044" s="3" t="s">
        <v>1925</v>
      </c>
      <c r="C1044" s="4">
        <v>327</v>
      </c>
      <c r="D1044" s="3" t="s">
        <v>76</v>
      </c>
      <c r="E1044" s="3" t="s">
        <v>8</v>
      </c>
      <c r="F1044" s="5">
        <v>0</v>
      </c>
      <c r="G1044" s="5">
        <v>7830.72</v>
      </c>
      <c r="H1044" s="5">
        <f t="shared" si="32"/>
        <v>7830.72</v>
      </c>
      <c r="I1044" s="9">
        <f t="shared" si="33"/>
        <v>0</v>
      </c>
      <c r="J1044" s="3" t="s">
        <v>4603</v>
      </c>
    </row>
    <row r="1045" spans="1:10" ht="25.5">
      <c r="A1045" s="3" t="s">
        <v>1811</v>
      </c>
      <c r="B1045" s="3" t="s">
        <v>1926</v>
      </c>
      <c r="C1045" s="4">
        <v>197</v>
      </c>
      <c r="D1045" s="3" t="s">
        <v>23</v>
      </c>
      <c r="E1045" s="3" t="s">
        <v>22</v>
      </c>
      <c r="F1045" s="5">
        <v>19842.54</v>
      </c>
      <c r="G1045" s="5">
        <v>5273.64</v>
      </c>
      <c r="H1045" s="5">
        <f t="shared" si="32"/>
        <v>-14568.900000000001</v>
      </c>
      <c r="I1045" s="9">
        <f t="shared" si="33"/>
        <v>-0.73422555781669074</v>
      </c>
      <c r="J1045" s="3" t="s">
        <v>4603</v>
      </c>
    </row>
    <row r="1046" spans="1:10">
      <c r="A1046" s="3" t="s">
        <v>1811</v>
      </c>
      <c r="B1046" s="3" t="s">
        <v>1927</v>
      </c>
      <c r="C1046" s="4">
        <v>240</v>
      </c>
      <c r="D1046" s="3" t="s">
        <v>152</v>
      </c>
      <c r="E1046" s="3" t="s">
        <v>13</v>
      </c>
      <c r="F1046" s="5">
        <v>2900.28</v>
      </c>
      <c r="G1046" s="5">
        <v>3531.36</v>
      </c>
      <c r="H1046" s="5">
        <f t="shared" si="32"/>
        <v>631.07999999999993</v>
      </c>
      <c r="I1046" s="9">
        <f t="shared" si="33"/>
        <v>0.21759278414497896</v>
      </c>
      <c r="J1046" s="3" t="s">
        <v>4603</v>
      </c>
    </row>
    <row r="1047" spans="1:10">
      <c r="A1047" s="3" t="s">
        <v>1811</v>
      </c>
      <c r="B1047" s="3" t="s">
        <v>1928</v>
      </c>
      <c r="C1047" s="4">
        <v>240</v>
      </c>
      <c r="D1047" s="3" t="s">
        <v>152</v>
      </c>
      <c r="E1047" s="3" t="s">
        <v>13</v>
      </c>
      <c r="F1047" s="5">
        <v>3120.6</v>
      </c>
      <c r="G1047" s="5">
        <v>2879.58</v>
      </c>
      <c r="H1047" s="5">
        <f t="shared" si="32"/>
        <v>-241.01999999999998</v>
      </c>
      <c r="I1047" s="9">
        <f t="shared" si="33"/>
        <v>-7.7235147087098666E-2</v>
      </c>
      <c r="J1047" s="3" t="s">
        <v>4603</v>
      </c>
    </row>
    <row r="1048" spans="1:10" ht="25.5">
      <c r="A1048" s="3" t="s">
        <v>1811</v>
      </c>
      <c r="B1048" s="3" t="s">
        <v>1929</v>
      </c>
      <c r="C1048" s="4">
        <v>178</v>
      </c>
      <c r="D1048" s="3" t="s">
        <v>92</v>
      </c>
      <c r="E1048" s="3" t="s">
        <v>8</v>
      </c>
      <c r="F1048" s="5">
        <v>7978.8</v>
      </c>
      <c r="G1048" s="5">
        <v>0</v>
      </c>
      <c r="H1048" s="5">
        <f t="shared" si="32"/>
        <v>-7978.8</v>
      </c>
      <c r="I1048" s="9">
        <f t="shared" si="33"/>
        <v>-1</v>
      </c>
      <c r="J1048" s="3" t="s">
        <v>4603</v>
      </c>
    </row>
    <row r="1049" spans="1:10" ht="25.5">
      <c r="A1049" s="3" t="s">
        <v>1811</v>
      </c>
      <c r="B1049" s="3" t="s">
        <v>1930</v>
      </c>
      <c r="C1049" s="4">
        <v>261</v>
      </c>
      <c r="D1049" s="3" t="s">
        <v>17</v>
      </c>
      <c r="E1049" s="3" t="s">
        <v>18</v>
      </c>
      <c r="F1049" s="5">
        <v>0</v>
      </c>
      <c r="G1049" s="5">
        <v>10226.61</v>
      </c>
      <c r="H1049" s="5">
        <f t="shared" si="32"/>
        <v>10226.61</v>
      </c>
      <c r="I1049" s="9">
        <f t="shared" si="33"/>
        <v>0</v>
      </c>
      <c r="J1049" s="3" t="s">
        <v>4603</v>
      </c>
    </row>
    <row r="1050" spans="1:10">
      <c r="A1050" s="3" t="s">
        <v>1811</v>
      </c>
      <c r="B1050" s="3" t="s">
        <v>1931</v>
      </c>
      <c r="C1050" s="4">
        <v>232</v>
      </c>
      <c r="D1050" s="3" t="s">
        <v>95</v>
      </c>
      <c r="E1050" s="3" t="s">
        <v>13</v>
      </c>
      <c r="F1050" s="5">
        <v>0</v>
      </c>
      <c r="G1050" s="5">
        <v>5710.2</v>
      </c>
      <c r="H1050" s="5">
        <f t="shared" si="32"/>
        <v>5710.2</v>
      </c>
      <c r="I1050" s="9">
        <f t="shared" si="33"/>
        <v>0</v>
      </c>
      <c r="J1050" s="3" t="s">
        <v>4603</v>
      </c>
    </row>
    <row r="1051" spans="1:10" ht="25.5">
      <c r="A1051" s="3" t="s">
        <v>1811</v>
      </c>
      <c r="B1051" s="3" t="s">
        <v>1932</v>
      </c>
      <c r="C1051" s="4">
        <v>15</v>
      </c>
      <c r="D1051" s="3" t="s">
        <v>33</v>
      </c>
      <c r="E1051" s="3" t="s">
        <v>13</v>
      </c>
      <c r="F1051" s="5">
        <v>0</v>
      </c>
      <c r="G1051" s="5">
        <v>16759.919999999998</v>
      </c>
      <c r="H1051" s="5">
        <f t="shared" si="32"/>
        <v>16759.919999999998</v>
      </c>
      <c r="I1051" s="9">
        <f t="shared" si="33"/>
        <v>0</v>
      </c>
      <c r="J1051" s="3" t="s">
        <v>4603</v>
      </c>
    </row>
    <row r="1052" spans="1:10" ht="38.25">
      <c r="A1052" s="3" t="s">
        <v>1811</v>
      </c>
      <c r="B1052" s="3" t="s">
        <v>1933</v>
      </c>
      <c r="C1052" s="4">
        <v>34</v>
      </c>
      <c r="D1052" s="3" t="s">
        <v>136</v>
      </c>
      <c r="E1052" s="3" t="s">
        <v>30</v>
      </c>
      <c r="F1052" s="5">
        <v>2735.52</v>
      </c>
      <c r="G1052" s="5">
        <v>0</v>
      </c>
      <c r="H1052" s="5">
        <f t="shared" si="32"/>
        <v>-2735.52</v>
      </c>
      <c r="I1052" s="9">
        <f t="shared" si="33"/>
        <v>-1</v>
      </c>
      <c r="J1052" s="3" t="s">
        <v>4603</v>
      </c>
    </row>
    <row r="1053" spans="1:10" ht="25.5">
      <c r="A1053" s="3" t="s">
        <v>1811</v>
      </c>
      <c r="B1053" s="3" t="s">
        <v>1934</v>
      </c>
      <c r="C1053" s="4">
        <v>320</v>
      </c>
      <c r="D1053" s="3" t="s">
        <v>188</v>
      </c>
      <c r="E1053" s="3" t="s">
        <v>30</v>
      </c>
      <c r="F1053" s="5">
        <v>0</v>
      </c>
      <c r="G1053" s="5">
        <v>37032.269999999997</v>
      </c>
      <c r="H1053" s="5">
        <f t="shared" si="32"/>
        <v>37032.269999999997</v>
      </c>
      <c r="I1053" s="9">
        <f t="shared" si="33"/>
        <v>0</v>
      </c>
      <c r="J1053" s="3" t="s">
        <v>4603</v>
      </c>
    </row>
    <row r="1054" spans="1:10" ht="25.5">
      <c r="A1054" s="3" t="s">
        <v>1811</v>
      </c>
      <c r="B1054" s="3" t="s">
        <v>1935</v>
      </c>
      <c r="C1054" s="4">
        <v>208</v>
      </c>
      <c r="D1054" s="3" t="s">
        <v>58</v>
      </c>
      <c r="E1054" s="3" t="s">
        <v>13</v>
      </c>
      <c r="F1054" s="5">
        <v>19197</v>
      </c>
      <c r="G1054" s="5">
        <v>11350.92</v>
      </c>
      <c r="H1054" s="5">
        <f t="shared" si="32"/>
        <v>-7846.08</v>
      </c>
      <c r="I1054" s="9">
        <f t="shared" si="33"/>
        <v>-0.40871386154086575</v>
      </c>
      <c r="J1054" s="3" t="s">
        <v>4603</v>
      </c>
    </row>
    <row r="1055" spans="1:10" ht="38.25">
      <c r="A1055" s="3" t="s">
        <v>1811</v>
      </c>
      <c r="B1055" s="3" t="s">
        <v>1936</v>
      </c>
      <c r="C1055" s="4">
        <v>292</v>
      </c>
      <c r="D1055" s="3" t="s">
        <v>619</v>
      </c>
      <c r="E1055" s="3" t="s">
        <v>30</v>
      </c>
      <c r="F1055" s="5">
        <v>17055.36</v>
      </c>
      <c r="G1055" s="5">
        <v>0</v>
      </c>
      <c r="H1055" s="5">
        <f t="shared" si="32"/>
        <v>-17055.36</v>
      </c>
      <c r="I1055" s="9">
        <f t="shared" si="33"/>
        <v>-1</v>
      </c>
      <c r="J1055" s="3" t="s">
        <v>4603</v>
      </c>
    </row>
    <row r="1056" spans="1:10" ht="25.5">
      <c r="A1056" s="3" t="s">
        <v>1811</v>
      </c>
      <c r="B1056" s="3" t="s">
        <v>1937</v>
      </c>
      <c r="C1056" s="4">
        <v>232</v>
      </c>
      <c r="D1056" s="3" t="s">
        <v>95</v>
      </c>
      <c r="E1056" s="3" t="s">
        <v>13</v>
      </c>
      <c r="F1056" s="5">
        <v>0</v>
      </c>
      <c r="G1056" s="5">
        <v>11984.4</v>
      </c>
      <c r="H1056" s="5">
        <f t="shared" si="32"/>
        <v>11984.4</v>
      </c>
      <c r="I1056" s="9">
        <f t="shared" si="33"/>
        <v>0</v>
      </c>
      <c r="J1056" s="3" t="s">
        <v>4603</v>
      </c>
    </row>
    <row r="1057" spans="1:10" ht="38.25">
      <c r="A1057" s="3" t="s">
        <v>1811</v>
      </c>
      <c r="B1057" s="3" t="s">
        <v>1938</v>
      </c>
      <c r="C1057" s="4">
        <v>371</v>
      </c>
      <c r="D1057" s="3" t="s">
        <v>29</v>
      </c>
      <c r="E1057" s="3" t="s">
        <v>30</v>
      </c>
      <c r="F1057" s="5">
        <v>2543.4</v>
      </c>
      <c r="G1057" s="5">
        <v>0</v>
      </c>
      <c r="H1057" s="5">
        <f t="shared" si="32"/>
        <v>-2543.4</v>
      </c>
      <c r="I1057" s="9">
        <f t="shared" si="33"/>
        <v>-1</v>
      </c>
      <c r="J1057" s="3" t="s">
        <v>4603</v>
      </c>
    </row>
    <row r="1058" spans="1:10" ht="25.5">
      <c r="A1058" s="3" t="s">
        <v>1811</v>
      </c>
      <c r="B1058" s="3" t="s">
        <v>1939</v>
      </c>
      <c r="C1058" s="4">
        <v>273</v>
      </c>
      <c r="D1058" s="3" t="s">
        <v>771</v>
      </c>
      <c r="E1058" s="3" t="s">
        <v>13</v>
      </c>
      <c r="F1058" s="5">
        <v>13828.29</v>
      </c>
      <c r="G1058" s="5">
        <v>0</v>
      </c>
      <c r="H1058" s="5">
        <f t="shared" si="32"/>
        <v>-13828.29</v>
      </c>
      <c r="I1058" s="9">
        <f t="shared" si="33"/>
        <v>-1</v>
      </c>
      <c r="J1058" s="3" t="s">
        <v>4604</v>
      </c>
    </row>
    <row r="1059" spans="1:10" ht="25.5">
      <c r="A1059" s="3" t="s">
        <v>1811</v>
      </c>
      <c r="B1059" s="3" t="s">
        <v>1940</v>
      </c>
      <c r="C1059" s="4">
        <v>31</v>
      </c>
      <c r="D1059" s="3" t="s">
        <v>172</v>
      </c>
      <c r="E1059" s="3" t="s">
        <v>13</v>
      </c>
      <c r="F1059" s="5">
        <v>0</v>
      </c>
      <c r="G1059" s="5">
        <v>12390.96</v>
      </c>
      <c r="H1059" s="5">
        <f t="shared" si="32"/>
        <v>12390.96</v>
      </c>
      <c r="I1059" s="9">
        <f t="shared" si="33"/>
        <v>0</v>
      </c>
      <c r="J1059" s="3" t="s">
        <v>4603</v>
      </c>
    </row>
    <row r="1060" spans="1:10" ht="38.25">
      <c r="A1060" s="3" t="s">
        <v>1811</v>
      </c>
      <c r="B1060" s="3" t="s">
        <v>1941</v>
      </c>
      <c r="C1060" s="4">
        <v>317</v>
      </c>
      <c r="D1060" s="3" t="s">
        <v>54</v>
      </c>
      <c r="E1060" s="3" t="s">
        <v>18</v>
      </c>
      <c r="F1060" s="5">
        <v>11014.38</v>
      </c>
      <c r="G1060" s="5">
        <v>0</v>
      </c>
      <c r="H1060" s="5">
        <f t="shared" si="32"/>
        <v>-11014.38</v>
      </c>
      <c r="I1060" s="9">
        <f t="shared" si="33"/>
        <v>-1</v>
      </c>
      <c r="J1060" s="3" t="s">
        <v>4603</v>
      </c>
    </row>
    <row r="1061" spans="1:10">
      <c r="A1061" s="3" t="s">
        <v>1811</v>
      </c>
      <c r="B1061" s="3" t="s">
        <v>1942</v>
      </c>
      <c r="C1061" s="4">
        <v>232</v>
      </c>
      <c r="D1061" s="3" t="s">
        <v>95</v>
      </c>
      <c r="E1061" s="3" t="s">
        <v>13</v>
      </c>
      <c r="F1061" s="5">
        <v>6376.08</v>
      </c>
      <c r="G1061" s="5">
        <v>0</v>
      </c>
      <c r="H1061" s="5">
        <f t="shared" si="32"/>
        <v>-6376.08</v>
      </c>
      <c r="I1061" s="9">
        <f t="shared" si="33"/>
        <v>-1</v>
      </c>
      <c r="J1061" s="3" t="s">
        <v>4603</v>
      </c>
    </row>
    <row r="1062" spans="1:10" ht="38.25">
      <c r="A1062" s="3" t="s">
        <v>1811</v>
      </c>
      <c r="B1062" s="3" t="s">
        <v>1943</v>
      </c>
      <c r="C1062" s="4">
        <v>34</v>
      </c>
      <c r="D1062" s="3" t="s">
        <v>136</v>
      </c>
      <c r="E1062" s="3" t="s">
        <v>30</v>
      </c>
      <c r="F1062" s="5">
        <v>8155.62</v>
      </c>
      <c r="G1062" s="5">
        <v>4224.96</v>
      </c>
      <c r="H1062" s="5">
        <f t="shared" si="32"/>
        <v>-3930.66</v>
      </c>
      <c r="I1062" s="9">
        <f t="shared" si="33"/>
        <v>-0.4819572270409852</v>
      </c>
      <c r="J1062" s="3" t="s">
        <v>4603</v>
      </c>
    </row>
    <row r="1063" spans="1:10">
      <c r="A1063" s="3" t="s">
        <v>1811</v>
      </c>
      <c r="B1063" s="3" t="s">
        <v>1944</v>
      </c>
      <c r="C1063" s="4">
        <v>232</v>
      </c>
      <c r="D1063" s="3" t="s">
        <v>95</v>
      </c>
      <c r="E1063" s="3" t="s">
        <v>13</v>
      </c>
      <c r="F1063" s="5">
        <v>18488.28</v>
      </c>
      <c r="G1063" s="5">
        <v>11658.9</v>
      </c>
      <c r="H1063" s="5">
        <f t="shared" si="32"/>
        <v>-6829.3799999999992</v>
      </c>
      <c r="I1063" s="9">
        <f t="shared" si="33"/>
        <v>-0.36938968903543212</v>
      </c>
      <c r="J1063" s="3" t="s">
        <v>4603</v>
      </c>
    </row>
    <row r="1064" spans="1:10" ht="25.5">
      <c r="A1064" s="3" t="s">
        <v>1811</v>
      </c>
      <c r="B1064" s="3" t="s">
        <v>1945</v>
      </c>
      <c r="C1064" s="4">
        <v>208</v>
      </c>
      <c r="D1064" s="3" t="s">
        <v>58</v>
      </c>
      <c r="E1064" s="3" t="s">
        <v>13</v>
      </c>
      <c r="F1064" s="5">
        <v>3032.52</v>
      </c>
      <c r="G1064" s="5">
        <v>4301.22</v>
      </c>
      <c r="H1064" s="5">
        <f t="shared" si="32"/>
        <v>1268.7000000000003</v>
      </c>
      <c r="I1064" s="9">
        <f t="shared" si="33"/>
        <v>0.41836492422143978</v>
      </c>
      <c r="J1064" s="3" t="s">
        <v>4603</v>
      </c>
    </row>
    <row r="1065" spans="1:10">
      <c r="A1065" s="3" t="s">
        <v>1811</v>
      </c>
      <c r="B1065" s="3" t="s">
        <v>1946</v>
      </c>
      <c r="C1065" s="4">
        <v>315</v>
      </c>
      <c r="D1065" s="3" t="s">
        <v>79</v>
      </c>
      <c r="E1065" s="3" t="s">
        <v>8</v>
      </c>
      <c r="F1065" s="5">
        <v>4231.9799999999996</v>
      </c>
      <c r="G1065" s="5">
        <v>4953.7219999999998</v>
      </c>
      <c r="H1065" s="5">
        <f t="shared" si="32"/>
        <v>721.74200000000019</v>
      </c>
      <c r="I1065" s="9">
        <f t="shared" si="33"/>
        <v>0.17054475682777337</v>
      </c>
      <c r="J1065" s="3" t="s">
        <v>4603</v>
      </c>
    </row>
    <row r="1066" spans="1:10" ht="38.25">
      <c r="A1066" s="3" t="s">
        <v>1811</v>
      </c>
      <c r="B1066" s="3" t="s">
        <v>1947</v>
      </c>
      <c r="C1066" s="4">
        <v>11</v>
      </c>
      <c r="D1066" s="3" t="s">
        <v>55</v>
      </c>
      <c r="E1066" s="3" t="s">
        <v>18</v>
      </c>
      <c r="F1066" s="5">
        <v>0</v>
      </c>
      <c r="G1066" s="5">
        <v>15848.46</v>
      </c>
      <c r="H1066" s="5">
        <f t="shared" si="32"/>
        <v>15848.46</v>
      </c>
      <c r="I1066" s="9">
        <f t="shared" si="33"/>
        <v>0</v>
      </c>
      <c r="J1066" s="3" t="s">
        <v>4603</v>
      </c>
    </row>
    <row r="1067" spans="1:10" ht="25.5">
      <c r="A1067" s="3" t="s">
        <v>1811</v>
      </c>
      <c r="B1067" s="3" t="s">
        <v>1948</v>
      </c>
      <c r="C1067" s="4">
        <v>194</v>
      </c>
      <c r="D1067" s="3" t="s">
        <v>179</v>
      </c>
      <c r="E1067" s="3" t="s">
        <v>13</v>
      </c>
      <c r="F1067" s="5">
        <v>0</v>
      </c>
      <c r="G1067" s="5">
        <v>2556.48</v>
      </c>
      <c r="H1067" s="5">
        <f t="shared" si="32"/>
        <v>2556.48</v>
      </c>
      <c r="I1067" s="9">
        <f t="shared" si="33"/>
        <v>0</v>
      </c>
      <c r="J1067" s="3" t="s">
        <v>4603</v>
      </c>
    </row>
    <row r="1068" spans="1:10" ht="25.5">
      <c r="A1068" s="3" t="s">
        <v>1811</v>
      </c>
      <c r="B1068" s="3" t="s">
        <v>1949</v>
      </c>
      <c r="C1068" s="4">
        <v>19</v>
      </c>
      <c r="D1068" s="3" t="s">
        <v>53</v>
      </c>
      <c r="E1068" s="3" t="s">
        <v>22</v>
      </c>
      <c r="F1068" s="5">
        <v>35574.480000000003</v>
      </c>
      <c r="G1068" s="5">
        <v>35594.639999999999</v>
      </c>
      <c r="H1068" s="5">
        <f t="shared" si="32"/>
        <v>20.159999999996217</v>
      </c>
      <c r="I1068" s="9">
        <f t="shared" si="33"/>
        <v>5.6669837478984242E-4</v>
      </c>
      <c r="J1068" s="3" t="s">
        <v>4604</v>
      </c>
    </row>
    <row r="1069" spans="1:10">
      <c r="A1069" s="3" t="s">
        <v>1811</v>
      </c>
      <c r="B1069" s="3" t="s">
        <v>1950</v>
      </c>
      <c r="C1069" s="4">
        <v>232</v>
      </c>
      <c r="D1069" s="3" t="s">
        <v>95</v>
      </c>
      <c r="E1069" s="3" t="s">
        <v>13</v>
      </c>
      <c r="F1069" s="5">
        <v>5696.64</v>
      </c>
      <c r="G1069" s="5">
        <v>0</v>
      </c>
      <c r="H1069" s="5">
        <f t="shared" si="32"/>
        <v>-5696.64</v>
      </c>
      <c r="I1069" s="9">
        <f t="shared" si="33"/>
        <v>-1</v>
      </c>
      <c r="J1069" s="3" t="s">
        <v>4603</v>
      </c>
    </row>
    <row r="1070" spans="1:10" ht="38.25">
      <c r="A1070" s="3" t="s">
        <v>1811</v>
      </c>
      <c r="B1070" s="3" t="s">
        <v>1951</v>
      </c>
      <c r="C1070" s="4">
        <v>11</v>
      </c>
      <c r="D1070" s="3" t="s">
        <v>55</v>
      </c>
      <c r="E1070" s="3" t="s">
        <v>18</v>
      </c>
      <c r="F1070" s="5">
        <v>0</v>
      </c>
      <c r="G1070" s="5">
        <v>16684.62</v>
      </c>
      <c r="H1070" s="5">
        <f t="shared" si="32"/>
        <v>16684.62</v>
      </c>
      <c r="I1070" s="9">
        <f t="shared" si="33"/>
        <v>0</v>
      </c>
      <c r="J1070" s="3" t="s">
        <v>4603</v>
      </c>
    </row>
    <row r="1071" spans="1:10" ht="25.5">
      <c r="A1071" s="3" t="s">
        <v>1811</v>
      </c>
      <c r="B1071" s="3" t="s">
        <v>1952</v>
      </c>
      <c r="C1071" s="4">
        <v>31</v>
      </c>
      <c r="D1071" s="3" t="s">
        <v>172</v>
      </c>
      <c r="E1071" s="3" t="s">
        <v>13</v>
      </c>
      <c r="F1071" s="5">
        <v>0</v>
      </c>
      <c r="G1071" s="5">
        <v>5489.25</v>
      </c>
      <c r="H1071" s="5">
        <f t="shared" si="32"/>
        <v>5489.25</v>
      </c>
      <c r="I1071" s="9">
        <f t="shared" si="33"/>
        <v>0</v>
      </c>
      <c r="J1071" s="3" t="s">
        <v>4604</v>
      </c>
    </row>
    <row r="1072" spans="1:10" ht="38.25">
      <c r="A1072" s="3" t="s">
        <v>1811</v>
      </c>
      <c r="B1072" s="3" t="s">
        <v>1953</v>
      </c>
      <c r="C1072" s="4">
        <v>208</v>
      </c>
      <c r="D1072" s="3" t="s">
        <v>58</v>
      </c>
      <c r="E1072" s="3" t="s">
        <v>13</v>
      </c>
      <c r="F1072" s="5">
        <v>7474.8</v>
      </c>
      <c r="G1072" s="5">
        <v>0</v>
      </c>
      <c r="H1072" s="5">
        <f t="shared" si="32"/>
        <v>-7474.8</v>
      </c>
      <c r="I1072" s="9">
        <f t="shared" si="33"/>
        <v>-1</v>
      </c>
      <c r="J1072" s="3" t="s">
        <v>4603</v>
      </c>
    </row>
    <row r="1073" spans="1:10" ht="38.25">
      <c r="A1073" s="3" t="s">
        <v>1811</v>
      </c>
      <c r="B1073" s="3" t="s">
        <v>1954</v>
      </c>
      <c r="C1073" s="4">
        <v>38</v>
      </c>
      <c r="D1073" s="3" t="s">
        <v>229</v>
      </c>
      <c r="E1073" s="3" t="s">
        <v>30</v>
      </c>
      <c r="F1073" s="5">
        <v>3104.19</v>
      </c>
      <c r="G1073" s="5">
        <v>2924.01</v>
      </c>
      <c r="H1073" s="5">
        <f t="shared" si="32"/>
        <v>-180.17999999999984</v>
      </c>
      <c r="I1073" s="9">
        <f t="shared" si="33"/>
        <v>-5.8044127453538596E-2</v>
      </c>
      <c r="J1073" s="3" t="s">
        <v>4603</v>
      </c>
    </row>
    <row r="1074" spans="1:10" ht="25.5">
      <c r="A1074" s="3" t="s">
        <v>1811</v>
      </c>
      <c r="B1074" s="3" t="s">
        <v>1955</v>
      </c>
      <c r="C1074" s="4">
        <v>218</v>
      </c>
      <c r="D1074" s="3" t="s">
        <v>155</v>
      </c>
      <c r="E1074" s="3" t="s">
        <v>13</v>
      </c>
      <c r="F1074" s="5">
        <v>3425.46</v>
      </c>
      <c r="G1074" s="5">
        <v>0</v>
      </c>
      <c r="H1074" s="5">
        <f t="shared" si="32"/>
        <v>-3425.46</v>
      </c>
      <c r="I1074" s="9">
        <f t="shared" si="33"/>
        <v>-1</v>
      </c>
      <c r="J1074" s="3" t="s">
        <v>4603</v>
      </c>
    </row>
    <row r="1075" spans="1:10" ht="25.5">
      <c r="A1075" s="3" t="s">
        <v>1811</v>
      </c>
      <c r="B1075" s="3" t="s">
        <v>1956</v>
      </c>
      <c r="C1075" s="4">
        <v>178</v>
      </c>
      <c r="D1075" s="3" t="s">
        <v>92</v>
      </c>
      <c r="E1075" s="3" t="s">
        <v>8</v>
      </c>
      <c r="F1075" s="5">
        <v>6718.92</v>
      </c>
      <c r="G1075" s="5">
        <v>0</v>
      </c>
      <c r="H1075" s="5">
        <f t="shared" si="32"/>
        <v>-6718.92</v>
      </c>
      <c r="I1075" s="9">
        <f t="shared" si="33"/>
        <v>-1</v>
      </c>
      <c r="J1075" s="3" t="s">
        <v>4603</v>
      </c>
    </row>
    <row r="1076" spans="1:10" ht="25.5">
      <c r="A1076" s="3" t="s">
        <v>1811</v>
      </c>
      <c r="B1076" s="3" t="s">
        <v>1957</v>
      </c>
      <c r="C1076" s="4">
        <v>317</v>
      </c>
      <c r="D1076" s="3" t="s">
        <v>54</v>
      </c>
      <c r="E1076" s="3" t="s">
        <v>18</v>
      </c>
      <c r="F1076" s="5">
        <v>11308.2</v>
      </c>
      <c r="G1076" s="5">
        <v>0</v>
      </c>
      <c r="H1076" s="5">
        <f t="shared" si="32"/>
        <v>-11308.2</v>
      </c>
      <c r="I1076" s="9">
        <f t="shared" si="33"/>
        <v>-1</v>
      </c>
      <c r="J1076" s="3" t="s">
        <v>4603</v>
      </c>
    </row>
    <row r="1077" spans="1:10" ht="25.5">
      <c r="A1077" s="3" t="s">
        <v>1811</v>
      </c>
      <c r="B1077" s="3" t="s">
        <v>1958</v>
      </c>
      <c r="C1077" s="4">
        <v>337</v>
      </c>
      <c r="D1077" s="3" t="s">
        <v>218</v>
      </c>
      <c r="E1077" s="3" t="s">
        <v>13</v>
      </c>
      <c r="F1077" s="5">
        <v>11121.12</v>
      </c>
      <c r="G1077" s="5">
        <v>0</v>
      </c>
      <c r="H1077" s="5">
        <f t="shared" si="32"/>
        <v>-11121.12</v>
      </c>
      <c r="I1077" s="9">
        <f t="shared" si="33"/>
        <v>-1</v>
      </c>
      <c r="J1077" s="3" t="s">
        <v>4603</v>
      </c>
    </row>
    <row r="1078" spans="1:10" ht="25.5">
      <c r="A1078" s="3" t="s">
        <v>1811</v>
      </c>
      <c r="B1078" s="3" t="s">
        <v>1959</v>
      </c>
      <c r="C1078" s="4">
        <v>194</v>
      </c>
      <c r="D1078" s="3" t="s">
        <v>179</v>
      </c>
      <c r="E1078" s="3" t="s">
        <v>13</v>
      </c>
      <c r="F1078" s="5">
        <v>9227.64</v>
      </c>
      <c r="G1078" s="5">
        <v>0</v>
      </c>
      <c r="H1078" s="5">
        <f t="shared" si="32"/>
        <v>-9227.64</v>
      </c>
      <c r="I1078" s="9">
        <f t="shared" si="33"/>
        <v>-1</v>
      </c>
      <c r="J1078" s="3" t="s">
        <v>4603</v>
      </c>
    </row>
    <row r="1079" spans="1:10" ht="25.5">
      <c r="A1079" s="3" t="s">
        <v>1811</v>
      </c>
      <c r="B1079" s="3" t="s">
        <v>1960</v>
      </c>
      <c r="C1079" s="4">
        <v>232</v>
      </c>
      <c r="D1079" s="3" t="s">
        <v>95</v>
      </c>
      <c r="E1079" s="3" t="s">
        <v>13</v>
      </c>
      <c r="F1079" s="5">
        <v>4576.74</v>
      </c>
      <c r="G1079" s="5">
        <v>0</v>
      </c>
      <c r="H1079" s="5">
        <f t="shared" si="32"/>
        <v>-4576.74</v>
      </c>
      <c r="I1079" s="9">
        <f t="shared" si="33"/>
        <v>-1</v>
      </c>
      <c r="J1079" s="3" t="s">
        <v>4603</v>
      </c>
    </row>
    <row r="1080" spans="1:10" ht="25.5">
      <c r="A1080" s="3" t="s">
        <v>1811</v>
      </c>
      <c r="B1080" s="3" t="s">
        <v>1961</v>
      </c>
      <c r="C1080" s="4">
        <v>231</v>
      </c>
      <c r="D1080" s="3" t="s">
        <v>89</v>
      </c>
      <c r="E1080" s="3" t="s">
        <v>8</v>
      </c>
      <c r="F1080" s="5">
        <v>9406.5</v>
      </c>
      <c r="G1080" s="5">
        <v>13021.02</v>
      </c>
      <c r="H1080" s="5">
        <f t="shared" si="32"/>
        <v>3614.5200000000004</v>
      </c>
      <c r="I1080" s="9">
        <f t="shared" si="33"/>
        <v>0.38425769414766386</v>
      </c>
      <c r="J1080" s="3" t="s">
        <v>4603</v>
      </c>
    </row>
    <row r="1081" spans="1:10" ht="25.5">
      <c r="A1081" s="3" t="s">
        <v>1811</v>
      </c>
      <c r="B1081" s="3" t="s">
        <v>1962</v>
      </c>
      <c r="C1081" s="4">
        <v>53</v>
      </c>
      <c r="D1081" s="3" t="s">
        <v>340</v>
      </c>
      <c r="E1081" s="3" t="s">
        <v>13</v>
      </c>
      <c r="F1081" s="5">
        <v>0</v>
      </c>
      <c r="G1081" s="5">
        <v>6383.1</v>
      </c>
      <c r="H1081" s="5">
        <f t="shared" si="32"/>
        <v>6383.1</v>
      </c>
      <c r="I1081" s="9">
        <f t="shared" si="33"/>
        <v>0</v>
      </c>
      <c r="J1081" s="3" t="s">
        <v>4603</v>
      </c>
    </row>
    <row r="1082" spans="1:10">
      <c r="A1082" s="3" t="s">
        <v>1811</v>
      </c>
      <c r="B1082" s="3" t="s">
        <v>1963</v>
      </c>
      <c r="C1082" s="4">
        <v>232</v>
      </c>
      <c r="D1082" s="3" t="s">
        <v>95</v>
      </c>
      <c r="E1082" s="3" t="s">
        <v>13</v>
      </c>
      <c r="F1082" s="5">
        <v>0</v>
      </c>
      <c r="G1082" s="5">
        <v>5215.5</v>
      </c>
      <c r="H1082" s="5">
        <f t="shared" si="32"/>
        <v>5215.5</v>
      </c>
      <c r="I1082" s="9">
        <f t="shared" si="33"/>
        <v>0</v>
      </c>
      <c r="J1082" s="3" t="s">
        <v>4603</v>
      </c>
    </row>
    <row r="1083" spans="1:10" ht="25.5">
      <c r="A1083" s="3" t="s">
        <v>1811</v>
      </c>
      <c r="B1083" s="3" t="s">
        <v>1964</v>
      </c>
      <c r="C1083" s="4">
        <v>197</v>
      </c>
      <c r="D1083" s="3" t="s">
        <v>23</v>
      </c>
      <c r="E1083" s="3" t="s">
        <v>22</v>
      </c>
      <c r="F1083" s="5">
        <v>4986.58</v>
      </c>
      <c r="G1083" s="5">
        <v>0</v>
      </c>
      <c r="H1083" s="5">
        <f t="shared" si="32"/>
        <v>-4986.58</v>
      </c>
      <c r="I1083" s="9">
        <f t="shared" si="33"/>
        <v>-1</v>
      </c>
      <c r="J1083" s="3" t="s">
        <v>4603</v>
      </c>
    </row>
    <row r="1084" spans="1:10">
      <c r="A1084" s="3" t="s">
        <v>1811</v>
      </c>
      <c r="B1084" s="3" t="s">
        <v>1965</v>
      </c>
      <c r="C1084" s="4">
        <v>232</v>
      </c>
      <c r="D1084" s="3" t="s">
        <v>95</v>
      </c>
      <c r="E1084" s="3" t="s">
        <v>13</v>
      </c>
      <c r="F1084" s="5">
        <v>10946.88</v>
      </c>
      <c r="G1084" s="5">
        <v>0</v>
      </c>
      <c r="H1084" s="5">
        <f t="shared" si="32"/>
        <v>-10946.88</v>
      </c>
      <c r="I1084" s="9">
        <f t="shared" si="33"/>
        <v>-1</v>
      </c>
      <c r="J1084" s="3" t="s">
        <v>4603</v>
      </c>
    </row>
    <row r="1085" spans="1:10" ht="25.5">
      <c r="A1085" s="3" t="s">
        <v>1811</v>
      </c>
      <c r="B1085" s="3" t="s">
        <v>1966</v>
      </c>
      <c r="C1085" s="4">
        <v>296</v>
      </c>
      <c r="D1085" s="3" t="s">
        <v>137</v>
      </c>
      <c r="E1085" s="3" t="s">
        <v>18</v>
      </c>
      <c r="F1085" s="5">
        <v>3390</v>
      </c>
      <c r="G1085" s="5">
        <v>0</v>
      </c>
      <c r="H1085" s="5">
        <f t="shared" si="32"/>
        <v>-3390</v>
      </c>
      <c r="I1085" s="9">
        <f t="shared" si="33"/>
        <v>-1</v>
      </c>
      <c r="J1085" s="3" t="s">
        <v>4603</v>
      </c>
    </row>
    <row r="1086" spans="1:10" ht="25.5">
      <c r="A1086" s="3" t="s">
        <v>1811</v>
      </c>
      <c r="B1086" s="3" t="s">
        <v>1966</v>
      </c>
      <c r="C1086" s="4">
        <v>296</v>
      </c>
      <c r="D1086" s="3" t="s">
        <v>137</v>
      </c>
      <c r="E1086" s="3" t="s">
        <v>8</v>
      </c>
      <c r="F1086" s="5">
        <v>3390</v>
      </c>
      <c r="G1086" s="5">
        <v>0</v>
      </c>
      <c r="H1086" s="5">
        <f t="shared" si="32"/>
        <v>-3390</v>
      </c>
      <c r="I1086" s="9">
        <f t="shared" si="33"/>
        <v>-1</v>
      </c>
      <c r="J1086" s="3" t="s">
        <v>4603</v>
      </c>
    </row>
    <row r="1087" spans="1:10" ht="25.5">
      <c r="A1087" s="3" t="s">
        <v>1811</v>
      </c>
      <c r="B1087" s="3" t="s">
        <v>1967</v>
      </c>
      <c r="C1087" s="4">
        <v>261</v>
      </c>
      <c r="D1087" s="3" t="s">
        <v>17</v>
      </c>
      <c r="E1087" s="3" t="s">
        <v>18</v>
      </c>
      <c r="F1087" s="5">
        <v>7162.74</v>
      </c>
      <c r="G1087" s="5">
        <v>12176.34</v>
      </c>
      <c r="H1087" s="5">
        <f t="shared" si="32"/>
        <v>5013.6000000000004</v>
      </c>
      <c r="I1087" s="9">
        <f t="shared" si="33"/>
        <v>0.69995560358186948</v>
      </c>
      <c r="J1087" s="3" t="s">
        <v>4603</v>
      </c>
    </row>
    <row r="1088" spans="1:10">
      <c r="A1088" s="3" t="s">
        <v>1811</v>
      </c>
      <c r="B1088" s="3" t="s">
        <v>1968</v>
      </c>
      <c r="C1088" s="4">
        <v>232</v>
      </c>
      <c r="D1088" s="3" t="s">
        <v>95</v>
      </c>
      <c r="E1088" s="3" t="s">
        <v>13</v>
      </c>
      <c r="F1088" s="5">
        <v>2961.6</v>
      </c>
      <c r="G1088" s="5">
        <v>0</v>
      </c>
      <c r="H1088" s="5">
        <f t="shared" si="32"/>
        <v>-2961.6</v>
      </c>
      <c r="I1088" s="9">
        <f t="shared" si="33"/>
        <v>-1</v>
      </c>
      <c r="J1088" s="3" t="s">
        <v>4603</v>
      </c>
    </row>
    <row r="1089" spans="1:10" ht="25.5">
      <c r="A1089" s="3" t="s">
        <v>1811</v>
      </c>
      <c r="B1089" s="3" t="s">
        <v>1969</v>
      </c>
      <c r="C1089" s="4">
        <v>178</v>
      </c>
      <c r="D1089" s="3" t="s">
        <v>92</v>
      </c>
      <c r="E1089" s="3" t="s">
        <v>8</v>
      </c>
      <c r="F1089" s="5">
        <v>0</v>
      </c>
      <c r="G1089" s="5">
        <v>3002.88</v>
      </c>
      <c r="H1089" s="5">
        <f t="shared" si="32"/>
        <v>3002.88</v>
      </c>
      <c r="I1089" s="9">
        <f t="shared" si="33"/>
        <v>0</v>
      </c>
      <c r="J1089" s="3" t="s">
        <v>4603</v>
      </c>
    </row>
    <row r="1090" spans="1:10" ht="25.5">
      <c r="A1090" s="3" t="s">
        <v>1811</v>
      </c>
      <c r="B1090" s="3" t="s">
        <v>1970</v>
      </c>
      <c r="C1090" s="4">
        <v>317</v>
      </c>
      <c r="D1090" s="3" t="s">
        <v>54</v>
      </c>
      <c r="E1090" s="3" t="s">
        <v>18</v>
      </c>
      <c r="F1090" s="5">
        <v>5644.8</v>
      </c>
      <c r="G1090" s="5">
        <v>0</v>
      </c>
      <c r="H1090" s="5">
        <f t="shared" si="32"/>
        <v>-5644.8</v>
      </c>
      <c r="I1090" s="9">
        <f t="shared" si="33"/>
        <v>-1</v>
      </c>
      <c r="J1090" s="3" t="s">
        <v>4603</v>
      </c>
    </row>
    <row r="1091" spans="1:10" ht="38.25">
      <c r="A1091" s="3" t="s">
        <v>1811</v>
      </c>
      <c r="B1091" s="3" t="s">
        <v>1971</v>
      </c>
      <c r="C1091" s="4">
        <v>297</v>
      </c>
      <c r="D1091" s="3" t="s">
        <v>209</v>
      </c>
      <c r="E1091" s="3" t="s">
        <v>22</v>
      </c>
      <c r="F1091" s="5">
        <v>10558.32</v>
      </c>
      <c r="G1091" s="5">
        <v>2191.56</v>
      </c>
      <c r="H1091" s="5">
        <f t="shared" ref="H1091:H1154" si="34">G1091-F1091</f>
        <v>-8366.76</v>
      </c>
      <c r="I1091" s="9">
        <f t="shared" ref="I1091:I1154" si="35">IFERROR(G1091/F1091-1,0)</f>
        <v>-0.79243288705021253</v>
      </c>
      <c r="J1091" s="3" t="s">
        <v>4603</v>
      </c>
    </row>
    <row r="1092" spans="1:10" ht="25.5">
      <c r="A1092" s="3" t="s">
        <v>1811</v>
      </c>
      <c r="B1092" s="3" t="s">
        <v>1972</v>
      </c>
      <c r="C1092" s="4">
        <v>218</v>
      </c>
      <c r="D1092" s="3" t="s">
        <v>155</v>
      </c>
      <c r="E1092" s="3" t="s">
        <v>13</v>
      </c>
      <c r="F1092" s="5">
        <v>7924.53</v>
      </c>
      <c r="G1092" s="5">
        <v>8405.94</v>
      </c>
      <c r="H1092" s="5">
        <f t="shared" si="34"/>
        <v>481.41000000000076</v>
      </c>
      <c r="I1092" s="9">
        <f t="shared" si="35"/>
        <v>6.0749344125140547E-2</v>
      </c>
      <c r="J1092" s="3" t="s">
        <v>4603</v>
      </c>
    </row>
    <row r="1093" spans="1:10">
      <c r="A1093" s="3" t="s">
        <v>1811</v>
      </c>
      <c r="B1093" s="3" t="s">
        <v>1973</v>
      </c>
      <c r="C1093" s="4">
        <v>15</v>
      </c>
      <c r="D1093" s="3" t="s">
        <v>33</v>
      </c>
      <c r="E1093" s="3" t="s">
        <v>13</v>
      </c>
      <c r="F1093" s="5">
        <v>32334.09</v>
      </c>
      <c r="G1093" s="5">
        <v>8250.06</v>
      </c>
      <c r="H1093" s="5">
        <f t="shared" si="34"/>
        <v>-24084.03</v>
      </c>
      <c r="I1093" s="9">
        <f t="shared" si="35"/>
        <v>-0.74484947620297959</v>
      </c>
      <c r="J1093" s="3" t="s">
        <v>4603</v>
      </c>
    </row>
    <row r="1094" spans="1:10" ht="25.5">
      <c r="A1094" s="3" t="s">
        <v>1811</v>
      </c>
      <c r="B1094" s="3" t="s">
        <v>1974</v>
      </c>
      <c r="C1094" s="4">
        <v>178</v>
      </c>
      <c r="D1094" s="3" t="s">
        <v>92</v>
      </c>
      <c r="E1094" s="3" t="s">
        <v>8</v>
      </c>
      <c r="F1094" s="5">
        <v>7258.8</v>
      </c>
      <c r="G1094" s="5">
        <v>15430.65</v>
      </c>
      <c r="H1094" s="5">
        <f t="shared" si="34"/>
        <v>8171.8499999999995</v>
      </c>
      <c r="I1094" s="9">
        <f t="shared" si="35"/>
        <v>1.1257852537609523</v>
      </c>
      <c r="J1094" s="3" t="s">
        <v>4603</v>
      </c>
    </row>
    <row r="1095" spans="1:10" ht="25.5">
      <c r="A1095" s="3" t="s">
        <v>1811</v>
      </c>
      <c r="B1095" s="3" t="s">
        <v>1975</v>
      </c>
      <c r="C1095" s="4">
        <v>197</v>
      </c>
      <c r="D1095" s="3" t="s">
        <v>23</v>
      </c>
      <c r="E1095" s="3" t="s">
        <v>22</v>
      </c>
      <c r="F1095" s="5">
        <v>23362.35</v>
      </c>
      <c r="G1095" s="5">
        <v>35764.68</v>
      </c>
      <c r="H1095" s="5">
        <f t="shared" si="34"/>
        <v>12402.330000000002</v>
      </c>
      <c r="I1095" s="9">
        <f t="shared" si="35"/>
        <v>0.53086825597596143</v>
      </c>
      <c r="J1095" s="3" t="s">
        <v>4603</v>
      </c>
    </row>
    <row r="1096" spans="1:10" ht="38.25">
      <c r="A1096" s="3" t="s">
        <v>1811</v>
      </c>
      <c r="B1096" s="3" t="s">
        <v>1976</v>
      </c>
      <c r="C1096" s="4">
        <v>143</v>
      </c>
      <c r="D1096" s="3" t="s">
        <v>21</v>
      </c>
      <c r="E1096" s="3" t="s">
        <v>22</v>
      </c>
      <c r="F1096" s="5">
        <v>8926.68</v>
      </c>
      <c r="G1096" s="5">
        <v>9762.9599999999991</v>
      </c>
      <c r="H1096" s="5">
        <f t="shared" si="34"/>
        <v>836.27999999999884</v>
      </c>
      <c r="I1096" s="9">
        <f t="shared" si="35"/>
        <v>9.3683205850327189E-2</v>
      </c>
      <c r="J1096" s="3" t="s">
        <v>4603</v>
      </c>
    </row>
    <row r="1097" spans="1:10" ht="25.5">
      <c r="A1097" s="3" t="s">
        <v>1811</v>
      </c>
      <c r="B1097" s="3" t="s">
        <v>1977</v>
      </c>
      <c r="C1097" s="4">
        <v>93</v>
      </c>
      <c r="D1097" s="3" t="s">
        <v>42</v>
      </c>
      <c r="E1097" s="3" t="s">
        <v>8</v>
      </c>
      <c r="F1097" s="5">
        <v>4979.16</v>
      </c>
      <c r="G1097" s="5">
        <v>0</v>
      </c>
      <c r="H1097" s="5">
        <f t="shared" si="34"/>
        <v>-4979.16</v>
      </c>
      <c r="I1097" s="9">
        <f t="shared" si="35"/>
        <v>-1</v>
      </c>
      <c r="J1097" s="3" t="s">
        <v>4603</v>
      </c>
    </row>
    <row r="1098" spans="1:10" ht="38.25">
      <c r="A1098" s="3" t="s">
        <v>1811</v>
      </c>
      <c r="B1098" s="3" t="s">
        <v>1978</v>
      </c>
      <c r="C1098" s="4">
        <v>292</v>
      </c>
      <c r="D1098" s="3" t="s">
        <v>619</v>
      </c>
      <c r="E1098" s="3" t="s">
        <v>30</v>
      </c>
      <c r="F1098" s="5">
        <v>2159.52</v>
      </c>
      <c r="G1098" s="5">
        <v>0</v>
      </c>
      <c r="H1098" s="5">
        <f t="shared" si="34"/>
        <v>-2159.52</v>
      </c>
      <c r="I1098" s="9">
        <f t="shared" si="35"/>
        <v>-1</v>
      </c>
      <c r="J1098" s="3" t="s">
        <v>4603</v>
      </c>
    </row>
    <row r="1099" spans="1:10" ht="25.5">
      <c r="A1099" s="3" t="s">
        <v>1811</v>
      </c>
      <c r="B1099" s="3" t="s">
        <v>1979</v>
      </c>
      <c r="C1099" s="4">
        <v>335</v>
      </c>
      <c r="D1099" s="3" t="s">
        <v>7</v>
      </c>
      <c r="E1099" s="3" t="s">
        <v>8</v>
      </c>
      <c r="F1099" s="5">
        <v>0</v>
      </c>
      <c r="G1099" s="5">
        <v>6599.64</v>
      </c>
      <c r="H1099" s="5">
        <f t="shared" si="34"/>
        <v>6599.64</v>
      </c>
      <c r="I1099" s="9">
        <f t="shared" si="35"/>
        <v>0</v>
      </c>
      <c r="J1099" s="3" t="s">
        <v>4603</v>
      </c>
    </row>
    <row r="1100" spans="1:10" ht="38.25">
      <c r="A1100" s="3" t="s">
        <v>1811</v>
      </c>
      <c r="B1100" s="3" t="s">
        <v>1980</v>
      </c>
      <c r="C1100" s="4">
        <v>143</v>
      </c>
      <c r="D1100" s="3" t="s">
        <v>21</v>
      </c>
      <c r="E1100" s="3" t="s">
        <v>22</v>
      </c>
      <c r="F1100" s="5">
        <v>20360.759999999998</v>
      </c>
      <c r="G1100" s="5">
        <v>0</v>
      </c>
      <c r="H1100" s="5">
        <f t="shared" si="34"/>
        <v>-20360.759999999998</v>
      </c>
      <c r="I1100" s="9">
        <f t="shared" si="35"/>
        <v>-1</v>
      </c>
      <c r="J1100" s="3" t="s">
        <v>4603</v>
      </c>
    </row>
    <row r="1101" spans="1:10" ht="25.5">
      <c r="A1101" s="3" t="s">
        <v>1811</v>
      </c>
      <c r="B1101" s="3" t="s">
        <v>1981</v>
      </c>
      <c r="C1101" s="4">
        <v>93</v>
      </c>
      <c r="D1101" s="3" t="s">
        <v>42</v>
      </c>
      <c r="E1101" s="3" t="s">
        <v>8</v>
      </c>
      <c r="F1101" s="5">
        <v>25288.98</v>
      </c>
      <c r="G1101" s="5">
        <v>41882.699999999997</v>
      </c>
      <c r="H1101" s="5">
        <f t="shared" si="34"/>
        <v>16593.719999999998</v>
      </c>
      <c r="I1101" s="9">
        <f t="shared" si="35"/>
        <v>0.65616406830168694</v>
      </c>
      <c r="J1101" s="3" t="s">
        <v>4603</v>
      </c>
    </row>
    <row r="1102" spans="1:10">
      <c r="A1102" s="3" t="s">
        <v>1811</v>
      </c>
      <c r="B1102" s="3" t="s">
        <v>1982</v>
      </c>
      <c r="C1102" s="4">
        <v>315</v>
      </c>
      <c r="D1102" s="3" t="s">
        <v>79</v>
      </c>
      <c r="E1102" s="3" t="s">
        <v>8</v>
      </c>
      <c r="F1102" s="5">
        <v>4232.9399999999996</v>
      </c>
      <c r="G1102" s="5">
        <v>0</v>
      </c>
      <c r="H1102" s="5">
        <f t="shared" si="34"/>
        <v>-4232.9399999999996</v>
      </c>
      <c r="I1102" s="9">
        <f t="shared" si="35"/>
        <v>-1</v>
      </c>
      <c r="J1102" s="3" t="s">
        <v>4603</v>
      </c>
    </row>
    <row r="1103" spans="1:10" ht="25.5">
      <c r="A1103" s="3" t="s">
        <v>1811</v>
      </c>
      <c r="B1103" s="3" t="s">
        <v>1983</v>
      </c>
      <c r="C1103" s="4">
        <v>297</v>
      </c>
      <c r="D1103" s="3" t="s">
        <v>209</v>
      </c>
      <c r="E1103" s="3" t="s">
        <v>22</v>
      </c>
      <c r="F1103" s="5">
        <v>14949.27</v>
      </c>
      <c r="G1103" s="5">
        <v>10468.799999999999</v>
      </c>
      <c r="H1103" s="5">
        <f t="shared" si="34"/>
        <v>-4480.4700000000012</v>
      </c>
      <c r="I1103" s="9">
        <f t="shared" si="35"/>
        <v>-0.29971162471478552</v>
      </c>
      <c r="J1103" s="3" t="s">
        <v>4603</v>
      </c>
    </row>
    <row r="1104" spans="1:10" ht="25.5">
      <c r="A1104" s="3" t="s">
        <v>1811</v>
      </c>
      <c r="B1104" s="3" t="s">
        <v>1984</v>
      </c>
      <c r="C1104" s="4">
        <v>261</v>
      </c>
      <c r="D1104" s="3" t="s">
        <v>17</v>
      </c>
      <c r="E1104" s="3" t="s">
        <v>18</v>
      </c>
      <c r="F1104" s="5">
        <v>7330.68</v>
      </c>
      <c r="G1104" s="5">
        <v>27686.083999999999</v>
      </c>
      <c r="H1104" s="5">
        <f t="shared" si="34"/>
        <v>20355.403999999999</v>
      </c>
      <c r="I1104" s="9">
        <f t="shared" si="35"/>
        <v>2.7767415846824575</v>
      </c>
      <c r="J1104" s="3" t="s">
        <v>4603</v>
      </c>
    </row>
    <row r="1105" spans="1:10" ht="38.25">
      <c r="A1105" s="3" t="s">
        <v>1811</v>
      </c>
      <c r="B1105" s="3" t="s">
        <v>1985</v>
      </c>
      <c r="C1105" s="4">
        <v>292</v>
      </c>
      <c r="D1105" s="3" t="s">
        <v>619</v>
      </c>
      <c r="E1105" s="3" t="s">
        <v>30</v>
      </c>
      <c r="F1105" s="5">
        <v>0</v>
      </c>
      <c r="G1105" s="5">
        <v>3180.6129999999998</v>
      </c>
      <c r="H1105" s="5">
        <f t="shared" si="34"/>
        <v>3180.6129999999998</v>
      </c>
      <c r="I1105" s="9">
        <f t="shared" si="35"/>
        <v>0</v>
      </c>
      <c r="J1105" s="3" t="s">
        <v>4603</v>
      </c>
    </row>
    <row r="1106" spans="1:10" ht="25.5">
      <c r="A1106" s="3" t="s">
        <v>1811</v>
      </c>
      <c r="B1106" s="3" t="s">
        <v>1986</v>
      </c>
      <c r="C1106" s="4">
        <v>337</v>
      </c>
      <c r="D1106" s="3" t="s">
        <v>218</v>
      </c>
      <c r="E1106" s="3" t="s">
        <v>13</v>
      </c>
      <c r="F1106" s="5">
        <v>5495.04</v>
      </c>
      <c r="G1106" s="5">
        <v>15420.3</v>
      </c>
      <c r="H1106" s="5">
        <f t="shared" si="34"/>
        <v>9925.2599999999984</v>
      </c>
      <c r="I1106" s="9">
        <f t="shared" si="35"/>
        <v>1.8062216107617051</v>
      </c>
      <c r="J1106" s="3" t="s">
        <v>4603</v>
      </c>
    </row>
    <row r="1107" spans="1:10" ht="25.5">
      <c r="A1107" s="3" t="s">
        <v>1811</v>
      </c>
      <c r="B1107" s="3" t="s">
        <v>1987</v>
      </c>
      <c r="C1107" s="4">
        <v>194</v>
      </c>
      <c r="D1107" s="3" t="s">
        <v>179</v>
      </c>
      <c r="E1107" s="3" t="s">
        <v>13</v>
      </c>
      <c r="F1107" s="5">
        <v>5987.04</v>
      </c>
      <c r="G1107" s="5">
        <v>0</v>
      </c>
      <c r="H1107" s="5">
        <f t="shared" si="34"/>
        <v>-5987.04</v>
      </c>
      <c r="I1107" s="9">
        <f t="shared" si="35"/>
        <v>-1</v>
      </c>
      <c r="J1107" s="3" t="s">
        <v>4604</v>
      </c>
    </row>
    <row r="1108" spans="1:10" ht="38.25">
      <c r="A1108" s="3" t="s">
        <v>1811</v>
      </c>
      <c r="B1108" s="3" t="s">
        <v>1988</v>
      </c>
      <c r="C1108" s="4">
        <v>45</v>
      </c>
      <c r="D1108" s="3" t="s">
        <v>16</v>
      </c>
      <c r="E1108" s="3" t="s">
        <v>8</v>
      </c>
      <c r="F1108" s="5">
        <v>0</v>
      </c>
      <c r="G1108" s="5">
        <v>10068.719999999999</v>
      </c>
      <c r="H1108" s="5">
        <f t="shared" si="34"/>
        <v>10068.719999999999</v>
      </c>
      <c r="I1108" s="9">
        <f t="shared" si="35"/>
        <v>0</v>
      </c>
      <c r="J1108" s="3" t="s">
        <v>4603</v>
      </c>
    </row>
    <row r="1109" spans="1:10" ht="25.5">
      <c r="A1109" s="3" t="s">
        <v>1811</v>
      </c>
      <c r="B1109" s="3" t="s">
        <v>1989</v>
      </c>
      <c r="C1109" s="4">
        <v>187</v>
      </c>
      <c r="D1109" s="3" t="s">
        <v>460</v>
      </c>
      <c r="E1109" s="3" t="s">
        <v>8</v>
      </c>
      <c r="F1109" s="5">
        <v>3320.46</v>
      </c>
      <c r="G1109" s="5">
        <v>7602.96</v>
      </c>
      <c r="H1109" s="5">
        <f t="shared" si="34"/>
        <v>4282.5</v>
      </c>
      <c r="I1109" s="9">
        <f t="shared" si="35"/>
        <v>1.2897309408937314</v>
      </c>
      <c r="J1109" s="3" t="s">
        <v>4603</v>
      </c>
    </row>
    <row r="1110" spans="1:10" ht="38.25">
      <c r="A1110" s="3" t="s">
        <v>1811</v>
      </c>
      <c r="B1110" s="3" t="s">
        <v>1990</v>
      </c>
      <c r="C1110" s="4">
        <v>45</v>
      </c>
      <c r="D1110" s="3" t="s">
        <v>16</v>
      </c>
      <c r="E1110" s="3" t="s">
        <v>8</v>
      </c>
      <c r="F1110" s="5">
        <v>15366.75</v>
      </c>
      <c r="G1110" s="5">
        <v>8451.24</v>
      </c>
      <c r="H1110" s="5">
        <f t="shared" si="34"/>
        <v>-6915.51</v>
      </c>
      <c r="I1110" s="9">
        <f t="shared" si="35"/>
        <v>-0.45003074820635469</v>
      </c>
      <c r="J1110" s="3" t="s">
        <v>4603</v>
      </c>
    </row>
    <row r="1111" spans="1:10" ht="25.5">
      <c r="A1111" s="3" t="s">
        <v>1811</v>
      </c>
      <c r="B1111" s="3" t="s">
        <v>1991</v>
      </c>
      <c r="C1111" s="4">
        <v>23</v>
      </c>
      <c r="D1111" s="3" t="s">
        <v>71</v>
      </c>
      <c r="E1111" s="3" t="s">
        <v>8</v>
      </c>
      <c r="F1111" s="5">
        <v>0</v>
      </c>
      <c r="G1111" s="5">
        <v>7458.81</v>
      </c>
      <c r="H1111" s="5">
        <f t="shared" si="34"/>
        <v>7458.81</v>
      </c>
      <c r="I1111" s="9">
        <f t="shared" si="35"/>
        <v>0</v>
      </c>
      <c r="J1111" s="3" t="s">
        <v>4603</v>
      </c>
    </row>
    <row r="1112" spans="1:10" ht="25.5">
      <c r="A1112" s="3" t="s">
        <v>1811</v>
      </c>
      <c r="B1112" s="3" t="s">
        <v>1992</v>
      </c>
      <c r="C1112" s="4">
        <v>297</v>
      </c>
      <c r="D1112" s="3" t="s">
        <v>209</v>
      </c>
      <c r="E1112" s="3" t="s">
        <v>22</v>
      </c>
      <c r="F1112" s="5">
        <v>16479.96</v>
      </c>
      <c r="G1112" s="5">
        <v>31035.97</v>
      </c>
      <c r="H1112" s="5">
        <f t="shared" si="34"/>
        <v>14556.010000000002</v>
      </c>
      <c r="I1112" s="9">
        <f t="shared" si="35"/>
        <v>0.88325517780382978</v>
      </c>
      <c r="J1112" s="3" t="s">
        <v>4604</v>
      </c>
    </row>
    <row r="1113" spans="1:10" ht="25.5">
      <c r="A1113" s="3" t="s">
        <v>1811</v>
      </c>
      <c r="B1113" s="3" t="s">
        <v>1993</v>
      </c>
      <c r="C1113" s="4">
        <v>327</v>
      </c>
      <c r="D1113" s="3" t="s">
        <v>76</v>
      </c>
      <c r="E1113" s="3" t="s">
        <v>8</v>
      </c>
      <c r="F1113" s="5">
        <v>0</v>
      </c>
      <c r="G1113" s="5">
        <v>9899.5499999999993</v>
      </c>
      <c r="H1113" s="5">
        <f t="shared" si="34"/>
        <v>9899.5499999999993</v>
      </c>
      <c r="I1113" s="9">
        <f t="shared" si="35"/>
        <v>0</v>
      </c>
      <c r="J1113" s="3" t="s">
        <v>4603</v>
      </c>
    </row>
    <row r="1114" spans="1:10" ht="25.5">
      <c r="A1114" s="3" t="s">
        <v>1811</v>
      </c>
      <c r="B1114" s="3" t="s">
        <v>1994</v>
      </c>
      <c r="C1114" s="4">
        <v>194</v>
      </c>
      <c r="D1114" s="3" t="s">
        <v>179</v>
      </c>
      <c r="E1114" s="3" t="s">
        <v>13</v>
      </c>
      <c r="F1114" s="5">
        <v>0</v>
      </c>
      <c r="G1114" s="5">
        <v>6898.14</v>
      </c>
      <c r="H1114" s="5">
        <f t="shared" si="34"/>
        <v>6898.14</v>
      </c>
      <c r="I1114" s="9">
        <f t="shared" si="35"/>
        <v>0</v>
      </c>
      <c r="J1114" s="3" t="s">
        <v>4603</v>
      </c>
    </row>
    <row r="1115" spans="1:10">
      <c r="A1115" s="3" t="s">
        <v>1811</v>
      </c>
      <c r="B1115" s="3" t="s">
        <v>1995</v>
      </c>
      <c r="C1115" s="4">
        <v>217</v>
      </c>
      <c r="D1115" s="3" t="s">
        <v>253</v>
      </c>
      <c r="E1115" s="3" t="s">
        <v>13</v>
      </c>
      <c r="F1115" s="5">
        <v>5458.32</v>
      </c>
      <c r="G1115" s="5">
        <v>0</v>
      </c>
      <c r="H1115" s="5">
        <f t="shared" si="34"/>
        <v>-5458.32</v>
      </c>
      <c r="I1115" s="9">
        <f t="shared" si="35"/>
        <v>-1</v>
      </c>
      <c r="J1115" s="3" t="s">
        <v>4603</v>
      </c>
    </row>
    <row r="1116" spans="1:10" ht="25.5">
      <c r="A1116" s="3" t="s">
        <v>1811</v>
      </c>
      <c r="B1116" s="3" t="s">
        <v>1996</v>
      </c>
      <c r="C1116" s="4">
        <v>217</v>
      </c>
      <c r="D1116" s="3" t="s">
        <v>253</v>
      </c>
      <c r="E1116" s="3" t="s">
        <v>13</v>
      </c>
      <c r="F1116" s="5">
        <v>5969.64</v>
      </c>
      <c r="G1116" s="5">
        <v>5369.16</v>
      </c>
      <c r="H1116" s="5">
        <f t="shared" si="34"/>
        <v>-600.48000000000047</v>
      </c>
      <c r="I1116" s="9">
        <f t="shared" si="35"/>
        <v>-0.1005889802400145</v>
      </c>
      <c r="J1116" s="3" t="s">
        <v>4603</v>
      </c>
    </row>
    <row r="1117" spans="1:10">
      <c r="A1117" s="3" t="s">
        <v>1811</v>
      </c>
      <c r="B1117" s="3" t="s">
        <v>1997</v>
      </c>
      <c r="C1117" s="4">
        <v>232</v>
      </c>
      <c r="D1117" s="3" t="s">
        <v>95</v>
      </c>
      <c r="E1117" s="3" t="s">
        <v>13</v>
      </c>
      <c r="F1117" s="5">
        <v>0</v>
      </c>
      <c r="G1117" s="5">
        <v>3938.7</v>
      </c>
      <c r="H1117" s="5">
        <f t="shared" si="34"/>
        <v>3938.7</v>
      </c>
      <c r="I1117" s="9">
        <f t="shared" si="35"/>
        <v>0</v>
      </c>
      <c r="J1117" s="3" t="s">
        <v>4603</v>
      </c>
    </row>
    <row r="1118" spans="1:10" ht="25.5">
      <c r="A1118" s="3" t="s">
        <v>1811</v>
      </c>
      <c r="B1118" s="3" t="s">
        <v>1998</v>
      </c>
      <c r="C1118" s="4">
        <v>167</v>
      </c>
      <c r="D1118" s="3" t="s">
        <v>335</v>
      </c>
      <c r="E1118" s="3" t="s">
        <v>30</v>
      </c>
      <c r="F1118" s="5">
        <v>10180.14</v>
      </c>
      <c r="G1118" s="5">
        <v>12346.17</v>
      </c>
      <c r="H1118" s="5">
        <f t="shared" si="34"/>
        <v>2166.0300000000007</v>
      </c>
      <c r="I1118" s="9">
        <f t="shared" si="35"/>
        <v>0.21277015836717372</v>
      </c>
      <c r="J1118" s="3" t="s">
        <v>4603</v>
      </c>
    </row>
    <row r="1119" spans="1:10" ht="38.25">
      <c r="A1119" s="3" t="s">
        <v>1811</v>
      </c>
      <c r="B1119" s="3" t="s">
        <v>1999</v>
      </c>
      <c r="C1119" s="4">
        <v>45</v>
      </c>
      <c r="D1119" s="3" t="s">
        <v>16</v>
      </c>
      <c r="E1119" s="3" t="s">
        <v>8</v>
      </c>
      <c r="F1119" s="5">
        <v>20080.919999999998</v>
      </c>
      <c r="G1119" s="5">
        <v>3893.28</v>
      </c>
      <c r="H1119" s="5">
        <f t="shared" si="34"/>
        <v>-16187.639999999998</v>
      </c>
      <c r="I1119" s="9">
        <f t="shared" si="35"/>
        <v>-0.806120436713059</v>
      </c>
      <c r="J1119" s="3" t="s">
        <v>4603</v>
      </c>
    </row>
    <row r="1120" spans="1:10" ht="38.25">
      <c r="A1120" s="3" t="s">
        <v>1811</v>
      </c>
      <c r="B1120" s="3" t="s">
        <v>2000</v>
      </c>
      <c r="C1120" s="4">
        <v>371</v>
      </c>
      <c r="D1120" s="3" t="s">
        <v>29</v>
      </c>
      <c r="E1120" s="3" t="s">
        <v>30</v>
      </c>
      <c r="F1120" s="5">
        <v>8359.2900000000009</v>
      </c>
      <c r="G1120" s="5">
        <v>2683.02</v>
      </c>
      <c r="H1120" s="5">
        <f t="shared" si="34"/>
        <v>-5676.27</v>
      </c>
      <c r="I1120" s="9">
        <f t="shared" si="35"/>
        <v>-0.67903733451046677</v>
      </c>
      <c r="J1120" s="3" t="s">
        <v>4603</v>
      </c>
    </row>
    <row r="1121" spans="1:10" ht="25.5">
      <c r="A1121" s="3" t="s">
        <v>1811</v>
      </c>
      <c r="B1121" s="3" t="s">
        <v>2001</v>
      </c>
      <c r="C1121" s="4">
        <v>194</v>
      </c>
      <c r="D1121" s="3" t="s">
        <v>179</v>
      </c>
      <c r="E1121" s="3" t="s">
        <v>13</v>
      </c>
      <c r="F1121" s="5">
        <v>0</v>
      </c>
      <c r="G1121" s="5">
        <v>15423</v>
      </c>
      <c r="H1121" s="5">
        <f t="shared" si="34"/>
        <v>15423</v>
      </c>
      <c r="I1121" s="9">
        <f t="shared" si="35"/>
        <v>0</v>
      </c>
      <c r="J1121" s="3" t="s">
        <v>4603</v>
      </c>
    </row>
    <row r="1122" spans="1:10" ht="25.5">
      <c r="A1122" s="3" t="s">
        <v>1811</v>
      </c>
      <c r="B1122" s="3" t="s">
        <v>2002</v>
      </c>
      <c r="C1122" s="4">
        <v>321</v>
      </c>
      <c r="D1122" s="3" t="s">
        <v>125</v>
      </c>
      <c r="E1122" s="3" t="s">
        <v>22</v>
      </c>
      <c r="F1122" s="5">
        <v>0</v>
      </c>
      <c r="G1122" s="5">
        <v>7853.91</v>
      </c>
      <c r="H1122" s="5">
        <f t="shared" si="34"/>
        <v>7853.91</v>
      </c>
      <c r="I1122" s="9">
        <f t="shared" si="35"/>
        <v>0</v>
      </c>
      <c r="J1122" s="3" t="s">
        <v>4603</v>
      </c>
    </row>
    <row r="1123" spans="1:10" ht="25.5">
      <c r="A1123" s="3" t="s">
        <v>1811</v>
      </c>
      <c r="B1123" s="3" t="s">
        <v>2003</v>
      </c>
      <c r="C1123" s="4">
        <v>93</v>
      </c>
      <c r="D1123" s="3" t="s">
        <v>42</v>
      </c>
      <c r="E1123" s="3" t="s">
        <v>8</v>
      </c>
      <c r="F1123" s="5">
        <v>0</v>
      </c>
      <c r="G1123" s="5">
        <v>24804.36</v>
      </c>
      <c r="H1123" s="5">
        <f t="shared" si="34"/>
        <v>24804.36</v>
      </c>
      <c r="I1123" s="9">
        <f t="shared" si="35"/>
        <v>0</v>
      </c>
      <c r="J1123" s="3" t="s">
        <v>4603</v>
      </c>
    </row>
    <row r="1124" spans="1:10" ht="25.5">
      <c r="A1124" s="3" t="s">
        <v>1811</v>
      </c>
      <c r="B1124" s="3" t="s">
        <v>2004</v>
      </c>
      <c r="C1124" s="4">
        <v>328</v>
      </c>
      <c r="D1124" s="3" t="s">
        <v>158</v>
      </c>
      <c r="E1124" s="3" t="s">
        <v>22</v>
      </c>
      <c r="F1124" s="5">
        <v>2111.64</v>
      </c>
      <c r="G1124" s="5">
        <v>5000.04</v>
      </c>
      <c r="H1124" s="5">
        <f t="shared" si="34"/>
        <v>2888.4</v>
      </c>
      <c r="I1124" s="9">
        <f t="shared" si="35"/>
        <v>1.3678467920668296</v>
      </c>
      <c r="J1124" s="3" t="s">
        <v>4603</v>
      </c>
    </row>
    <row r="1125" spans="1:10" ht="38.25">
      <c r="A1125" s="3" t="s">
        <v>1811</v>
      </c>
      <c r="B1125" s="3" t="s">
        <v>2005</v>
      </c>
      <c r="C1125" s="4">
        <v>34</v>
      </c>
      <c r="D1125" s="3" t="s">
        <v>136</v>
      </c>
      <c r="E1125" s="3" t="s">
        <v>30</v>
      </c>
      <c r="F1125" s="5">
        <v>10462.44</v>
      </c>
      <c r="G1125" s="5">
        <v>0</v>
      </c>
      <c r="H1125" s="5">
        <f t="shared" si="34"/>
        <v>-10462.44</v>
      </c>
      <c r="I1125" s="9">
        <f t="shared" si="35"/>
        <v>-1</v>
      </c>
      <c r="J1125" s="3" t="s">
        <v>4603</v>
      </c>
    </row>
    <row r="1126" spans="1:10" ht="25.5">
      <c r="A1126" s="3" t="s">
        <v>1811</v>
      </c>
      <c r="B1126" s="3" t="s">
        <v>2006</v>
      </c>
      <c r="C1126" s="4">
        <v>327</v>
      </c>
      <c r="D1126" s="3" t="s">
        <v>76</v>
      </c>
      <c r="E1126" s="3" t="s">
        <v>8</v>
      </c>
      <c r="F1126" s="5">
        <v>4205.34</v>
      </c>
      <c r="G1126" s="5">
        <v>0</v>
      </c>
      <c r="H1126" s="5">
        <f t="shared" si="34"/>
        <v>-4205.34</v>
      </c>
      <c r="I1126" s="9">
        <f t="shared" si="35"/>
        <v>-1</v>
      </c>
      <c r="J1126" s="3" t="s">
        <v>4603</v>
      </c>
    </row>
    <row r="1127" spans="1:10" ht="25.5">
      <c r="A1127" s="3" t="s">
        <v>1811</v>
      </c>
      <c r="B1127" s="3" t="s">
        <v>2007</v>
      </c>
      <c r="C1127" s="4">
        <v>19</v>
      </c>
      <c r="D1127" s="3" t="s">
        <v>53</v>
      </c>
      <c r="E1127" s="3" t="s">
        <v>22</v>
      </c>
      <c r="F1127" s="5">
        <v>0</v>
      </c>
      <c r="G1127" s="5">
        <v>12635.04</v>
      </c>
      <c r="H1127" s="5">
        <f t="shared" si="34"/>
        <v>12635.04</v>
      </c>
      <c r="I1127" s="9">
        <f t="shared" si="35"/>
        <v>0</v>
      </c>
      <c r="J1127" s="3" t="s">
        <v>4603</v>
      </c>
    </row>
    <row r="1128" spans="1:10" ht="25.5">
      <c r="A1128" s="3" t="s">
        <v>1811</v>
      </c>
      <c r="B1128" s="3" t="s">
        <v>2008</v>
      </c>
      <c r="C1128" s="4">
        <v>264</v>
      </c>
      <c r="D1128" s="3" t="s">
        <v>632</v>
      </c>
      <c r="E1128" s="3" t="s">
        <v>18</v>
      </c>
      <c r="F1128" s="5">
        <v>4045.68</v>
      </c>
      <c r="G1128" s="5">
        <v>0</v>
      </c>
      <c r="H1128" s="5">
        <f t="shared" si="34"/>
        <v>-4045.68</v>
      </c>
      <c r="I1128" s="9">
        <f t="shared" si="35"/>
        <v>-1</v>
      </c>
      <c r="J1128" s="3" t="s">
        <v>4604</v>
      </c>
    </row>
    <row r="1129" spans="1:10" ht="25.5">
      <c r="A1129" s="3" t="s">
        <v>1811</v>
      </c>
      <c r="B1129" s="3" t="s">
        <v>2009</v>
      </c>
      <c r="C1129" s="4">
        <v>327</v>
      </c>
      <c r="D1129" s="3" t="s">
        <v>76</v>
      </c>
      <c r="E1129" s="3" t="s">
        <v>8</v>
      </c>
      <c r="F1129" s="5">
        <v>20749.71</v>
      </c>
      <c r="G1129" s="5">
        <v>32584.44</v>
      </c>
      <c r="H1129" s="5">
        <f t="shared" si="34"/>
        <v>11834.73</v>
      </c>
      <c r="I1129" s="9">
        <f t="shared" si="35"/>
        <v>0.57035640498108164</v>
      </c>
      <c r="J1129" s="3" t="s">
        <v>4603</v>
      </c>
    </row>
    <row r="1130" spans="1:10">
      <c r="A1130" s="3" t="s">
        <v>1811</v>
      </c>
      <c r="B1130" s="3" t="s">
        <v>2010</v>
      </c>
      <c r="C1130" s="4">
        <v>240</v>
      </c>
      <c r="D1130" s="3" t="s">
        <v>152</v>
      </c>
      <c r="E1130" s="3" t="s">
        <v>13</v>
      </c>
      <c r="F1130" s="5">
        <v>5886.6</v>
      </c>
      <c r="G1130" s="5">
        <v>0</v>
      </c>
      <c r="H1130" s="5">
        <f t="shared" si="34"/>
        <v>-5886.6</v>
      </c>
      <c r="I1130" s="9">
        <f t="shared" si="35"/>
        <v>-1</v>
      </c>
      <c r="J1130" s="3" t="s">
        <v>4603</v>
      </c>
    </row>
    <row r="1131" spans="1:10">
      <c r="A1131" s="3" t="s">
        <v>1811</v>
      </c>
      <c r="B1131" s="3" t="s">
        <v>2011</v>
      </c>
      <c r="C1131" s="4">
        <v>240</v>
      </c>
      <c r="D1131" s="3" t="s">
        <v>152</v>
      </c>
      <c r="E1131" s="3" t="s">
        <v>13</v>
      </c>
      <c r="F1131" s="5">
        <v>0</v>
      </c>
      <c r="G1131" s="5">
        <v>8855.34</v>
      </c>
      <c r="H1131" s="5">
        <f t="shared" si="34"/>
        <v>8855.34</v>
      </c>
      <c r="I1131" s="9">
        <f t="shared" si="35"/>
        <v>0</v>
      </c>
      <c r="J1131" s="3" t="s">
        <v>4603</v>
      </c>
    </row>
    <row r="1132" spans="1:10" ht="25.5">
      <c r="A1132" s="3" t="s">
        <v>1811</v>
      </c>
      <c r="B1132" s="3" t="s">
        <v>2012</v>
      </c>
      <c r="C1132" s="4">
        <v>296</v>
      </c>
      <c r="D1132" s="3" t="s">
        <v>137</v>
      </c>
      <c r="E1132" s="3" t="s">
        <v>18</v>
      </c>
      <c r="F1132" s="5">
        <v>2851.44</v>
      </c>
      <c r="G1132" s="5">
        <v>11693.464</v>
      </c>
      <c r="H1132" s="5">
        <f t="shared" si="34"/>
        <v>8842.0239999999994</v>
      </c>
      <c r="I1132" s="9">
        <f t="shared" si="35"/>
        <v>3.1008977919928178</v>
      </c>
      <c r="J1132" s="3" t="s">
        <v>4604</v>
      </c>
    </row>
    <row r="1133" spans="1:10" ht="25.5">
      <c r="A1133" s="3" t="s">
        <v>1811</v>
      </c>
      <c r="B1133" s="3" t="s">
        <v>2012</v>
      </c>
      <c r="C1133" s="4">
        <v>296</v>
      </c>
      <c r="D1133" s="3" t="s">
        <v>137</v>
      </c>
      <c r="E1133" s="3" t="s">
        <v>8</v>
      </c>
      <c r="F1133" s="5">
        <v>2851.44</v>
      </c>
      <c r="G1133" s="5">
        <v>11693.464</v>
      </c>
      <c r="H1133" s="5">
        <f t="shared" si="34"/>
        <v>8842.0239999999994</v>
      </c>
      <c r="I1133" s="9">
        <f t="shared" si="35"/>
        <v>3.1008977919928178</v>
      </c>
      <c r="J1133" s="3" t="s">
        <v>4604</v>
      </c>
    </row>
    <row r="1134" spans="1:10" ht="38.25">
      <c r="A1134" s="3" t="s">
        <v>1811</v>
      </c>
      <c r="B1134" s="3" t="s">
        <v>2013</v>
      </c>
      <c r="C1134" s="4">
        <v>371</v>
      </c>
      <c r="D1134" s="3" t="s">
        <v>29</v>
      </c>
      <c r="E1134" s="3" t="s">
        <v>30</v>
      </c>
      <c r="F1134" s="5">
        <v>4109.28</v>
      </c>
      <c r="G1134" s="5">
        <v>5560.8</v>
      </c>
      <c r="H1134" s="5">
        <f t="shared" si="34"/>
        <v>1451.5200000000004</v>
      </c>
      <c r="I1134" s="9">
        <f t="shared" si="35"/>
        <v>0.35322976287816865</v>
      </c>
      <c r="J1134" s="3" t="s">
        <v>4603</v>
      </c>
    </row>
    <row r="1135" spans="1:10" ht="38.25">
      <c r="A1135" s="3" t="s">
        <v>1811</v>
      </c>
      <c r="B1135" s="3" t="s">
        <v>2014</v>
      </c>
      <c r="C1135" s="4">
        <v>371</v>
      </c>
      <c r="D1135" s="3" t="s">
        <v>29</v>
      </c>
      <c r="E1135" s="3" t="s">
        <v>30</v>
      </c>
      <c r="F1135" s="5">
        <v>6636.96</v>
      </c>
      <c r="G1135" s="5">
        <v>4059.84</v>
      </c>
      <c r="H1135" s="5">
        <f t="shared" si="34"/>
        <v>-2577.12</v>
      </c>
      <c r="I1135" s="9">
        <f t="shared" si="35"/>
        <v>-0.38829825703334053</v>
      </c>
      <c r="J1135" s="3" t="s">
        <v>4603</v>
      </c>
    </row>
    <row r="1136" spans="1:10" ht="25.5">
      <c r="A1136" s="3" t="s">
        <v>1811</v>
      </c>
      <c r="B1136" s="3" t="s">
        <v>2015</v>
      </c>
      <c r="C1136" s="4">
        <v>321</v>
      </c>
      <c r="D1136" s="3" t="s">
        <v>125</v>
      </c>
      <c r="E1136" s="3" t="s">
        <v>22</v>
      </c>
      <c r="F1136" s="5">
        <v>14094.84</v>
      </c>
      <c r="G1136" s="5">
        <v>0</v>
      </c>
      <c r="H1136" s="5">
        <f t="shared" si="34"/>
        <v>-14094.84</v>
      </c>
      <c r="I1136" s="9">
        <f t="shared" si="35"/>
        <v>-1</v>
      </c>
      <c r="J1136" s="3" t="s">
        <v>4604</v>
      </c>
    </row>
    <row r="1137" spans="1:10">
      <c r="A1137" s="3" t="s">
        <v>1811</v>
      </c>
      <c r="B1137" s="3" t="s">
        <v>2016</v>
      </c>
      <c r="C1137" s="4">
        <v>315</v>
      </c>
      <c r="D1137" s="3" t="s">
        <v>79</v>
      </c>
      <c r="E1137" s="3" t="s">
        <v>8</v>
      </c>
      <c r="F1137" s="5">
        <v>12994.02</v>
      </c>
      <c r="G1137" s="5">
        <v>6173.58</v>
      </c>
      <c r="H1137" s="5">
        <f t="shared" si="34"/>
        <v>-6820.4400000000005</v>
      </c>
      <c r="I1137" s="9">
        <f t="shared" si="35"/>
        <v>-0.52489068048225263</v>
      </c>
      <c r="J1137" s="3" t="s">
        <v>4603</v>
      </c>
    </row>
    <row r="1138" spans="1:10" ht="25.5">
      <c r="A1138" s="3" t="s">
        <v>1811</v>
      </c>
      <c r="B1138" s="3" t="s">
        <v>2017</v>
      </c>
      <c r="C1138" s="4">
        <v>23</v>
      </c>
      <c r="D1138" s="3" t="s">
        <v>71</v>
      </c>
      <c r="E1138" s="3" t="s">
        <v>8</v>
      </c>
      <c r="F1138" s="5">
        <v>6137.16</v>
      </c>
      <c r="G1138" s="5">
        <v>8141.28</v>
      </c>
      <c r="H1138" s="5">
        <f t="shared" si="34"/>
        <v>2004.12</v>
      </c>
      <c r="I1138" s="9">
        <f t="shared" si="35"/>
        <v>0.32655495375711241</v>
      </c>
      <c r="J1138" s="3" t="s">
        <v>4603</v>
      </c>
    </row>
    <row r="1139" spans="1:10" ht="25.5">
      <c r="A1139" s="3" t="s">
        <v>1811</v>
      </c>
      <c r="B1139" s="3" t="s">
        <v>2018</v>
      </c>
      <c r="C1139" s="4">
        <v>316</v>
      </c>
      <c r="D1139" s="3" t="s">
        <v>167</v>
      </c>
      <c r="E1139" s="3" t="s">
        <v>18</v>
      </c>
      <c r="F1139" s="5">
        <v>5827.65</v>
      </c>
      <c r="G1139" s="5">
        <v>0</v>
      </c>
      <c r="H1139" s="5">
        <f t="shared" si="34"/>
        <v>-5827.65</v>
      </c>
      <c r="I1139" s="9">
        <f t="shared" si="35"/>
        <v>-1</v>
      </c>
      <c r="J1139" s="3" t="s">
        <v>4603</v>
      </c>
    </row>
    <row r="1140" spans="1:10" ht="25.5">
      <c r="A1140" s="3" t="s">
        <v>1811</v>
      </c>
      <c r="B1140" s="3" t="s">
        <v>2019</v>
      </c>
      <c r="C1140" s="4">
        <v>23</v>
      </c>
      <c r="D1140" s="3" t="s">
        <v>71</v>
      </c>
      <c r="E1140" s="3" t="s">
        <v>8</v>
      </c>
      <c r="F1140" s="5">
        <v>18656.97</v>
      </c>
      <c r="G1140" s="5">
        <v>0</v>
      </c>
      <c r="H1140" s="5">
        <f t="shared" si="34"/>
        <v>-18656.97</v>
      </c>
      <c r="I1140" s="9">
        <f t="shared" si="35"/>
        <v>-1</v>
      </c>
      <c r="J1140" s="3" t="s">
        <v>4603</v>
      </c>
    </row>
    <row r="1141" spans="1:10" ht="25.5">
      <c r="A1141" s="3" t="s">
        <v>1811</v>
      </c>
      <c r="B1141" s="3" t="s">
        <v>2020</v>
      </c>
      <c r="C1141" s="4">
        <v>74</v>
      </c>
      <c r="D1141" s="3" t="s">
        <v>86</v>
      </c>
      <c r="E1141" s="3" t="s">
        <v>8</v>
      </c>
      <c r="F1141" s="5">
        <v>12688.17</v>
      </c>
      <c r="G1141" s="5">
        <v>0</v>
      </c>
      <c r="H1141" s="5">
        <f t="shared" si="34"/>
        <v>-12688.17</v>
      </c>
      <c r="I1141" s="9">
        <f t="shared" si="35"/>
        <v>-1</v>
      </c>
      <c r="J1141" s="3" t="s">
        <v>4603</v>
      </c>
    </row>
    <row r="1142" spans="1:10" ht="38.25">
      <c r="A1142" s="3" t="s">
        <v>1811</v>
      </c>
      <c r="B1142" s="3" t="s">
        <v>2021</v>
      </c>
      <c r="C1142" s="4">
        <v>194</v>
      </c>
      <c r="D1142" s="3" t="s">
        <v>179</v>
      </c>
      <c r="E1142" s="3" t="s">
        <v>13</v>
      </c>
      <c r="F1142" s="5">
        <v>5663.16</v>
      </c>
      <c r="G1142" s="5">
        <v>8750.8799999999992</v>
      </c>
      <c r="H1142" s="5">
        <f t="shared" si="34"/>
        <v>3087.7199999999993</v>
      </c>
      <c r="I1142" s="9">
        <f t="shared" si="35"/>
        <v>0.54522916534231758</v>
      </c>
      <c r="J1142" s="3" t="s">
        <v>4603</v>
      </c>
    </row>
    <row r="1143" spans="1:10" ht="25.5">
      <c r="A1143" s="3" t="s">
        <v>1811</v>
      </c>
      <c r="B1143" s="3" t="s">
        <v>2022</v>
      </c>
      <c r="C1143" s="4">
        <v>335</v>
      </c>
      <c r="D1143" s="3" t="s">
        <v>7</v>
      </c>
      <c r="E1143" s="3" t="s">
        <v>8</v>
      </c>
      <c r="F1143" s="5">
        <v>0</v>
      </c>
      <c r="G1143" s="5">
        <v>10859.52</v>
      </c>
      <c r="H1143" s="5">
        <f t="shared" si="34"/>
        <v>10859.52</v>
      </c>
      <c r="I1143" s="9">
        <f t="shared" si="35"/>
        <v>0</v>
      </c>
      <c r="J1143" s="3" t="s">
        <v>4604</v>
      </c>
    </row>
    <row r="1144" spans="1:10" ht="25.5">
      <c r="A1144" s="3" t="s">
        <v>1811</v>
      </c>
      <c r="B1144" s="3" t="s">
        <v>2023</v>
      </c>
      <c r="C1144" s="4">
        <v>335</v>
      </c>
      <c r="D1144" s="3" t="s">
        <v>7</v>
      </c>
      <c r="E1144" s="3" t="s">
        <v>8</v>
      </c>
      <c r="F1144" s="5">
        <v>0</v>
      </c>
      <c r="G1144" s="5">
        <v>15972.6</v>
      </c>
      <c r="H1144" s="5">
        <f t="shared" si="34"/>
        <v>15972.6</v>
      </c>
      <c r="I1144" s="9">
        <f t="shared" si="35"/>
        <v>0</v>
      </c>
      <c r="J1144" s="3" t="s">
        <v>4604</v>
      </c>
    </row>
    <row r="1145" spans="1:10" ht="38.25">
      <c r="A1145" s="3" t="s">
        <v>1811</v>
      </c>
      <c r="B1145" s="3" t="s">
        <v>2024</v>
      </c>
      <c r="C1145" s="4">
        <v>45</v>
      </c>
      <c r="D1145" s="3" t="s">
        <v>16</v>
      </c>
      <c r="E1145" s="3" t="s">
        <v>8</v>
      </c>
      <c r="F1145" s="5">
        <v>12850.14</v>
      </c>
      <c r="G1145" s="5">
        <v>10954.92</v>
      </c>
      <c r="H1145" s="5">
        <f t="shared" si="34"/>
        <v>-1895.2199999999993</v>
      </c>
      <c r="I1145" s="9">
        <f t="shared" si="35"/>
        <v>-0.14748633088822372</v>
      </c>
      <c r="J1145" s="3" t="s">
        <v>4603</v>
      </c>
    </row>
    <row r="1146" spans="1:10" ht="25.5">
      <c r="A1146" s="3" t="s">
        <v>1811</v>
      </c>
      <c r="B1146" s="3" t="s">
        <v>2025</v>
      </c>
      <c r="C1146" s="4">
        <v>232</v>
      </c>
      <c r="D1146" s="3" t="s">
        <v>95</v>
      </c>
      <c r="E1146" s="3" t="s">
        <v>13</v>
      </c>
      <c r="F1146" s="5">
        <v>0</v>
      </c>
      <c r="G1146" s="5">
        <v>5649.6</v>
      </c>
      <c r="H1146" s="5">
        <f t="shared" si="34"/>
        <v>5649.6</v>
      </c>
      <c r="I1146" s="9">
        <f t="shared" si="35"/>
        <v>0</v>
      </c>
      <c r="J1146" s="3" t="s">
        <v>4603</v>
      </c>
    </row>
    <row r="1147" spans="1:10" ht="25.5">
      <c r="A1147" s="3" t="s">
        <v>1811</v>
      </c>
      <c r="B1147" s="3" t="s">
        <v>2026</v>
      </c>
      <c r="C1147" s="4">
        <v>266</v>
      </c>
      <c r="D1147" s="3" t="s">
        <v>111</v>
      </c>
      <c r="E1147" s="3" t="s">
        <v>18</v>
      </c>
      <c r="F1147" s="5">
        <v>0</v>
      </c>
      <c r="G1147" s="5">
        <v>19984.38</v>
      </c>
      <c r="H1147" s="5">
        <f t="shared" si="34"/>
        <v>19984.38</v>
      </c>
      <c r="I1147" s="9">
        <f t="shared" si="35"/>
        <v>0</v>
      </c>
      <c r="J1147" s="3" t="s">
        <v>4603</v>
      </c>
    </row>
    <row r="1148" spans="1:10" ht="38.25">
      <c r="A1148" s="3" t="s">
        <v>1811</v>
      </c>
      <c r="B1148" s="3" t="s">
        <v>2027</v>
      </c>
      <c r="C1148" s="4">
        <v>371</v>
      </c>
      <c r="D1148" s="3" t="s">
        <v>29</v>
      </c>
      <c r="E1148" s="3" t="s">
        <v>30</v>
      </c>
      <c r="F1148" s="5">
        <v>2051.64</v>
      </c>
      <c r="G1148" s="5">
        <v>5222.37</v>
      </c>
      <c r="H1148" s="5">
        <f t="shared" si="34"/>
        <v>3170.73</v>
      </c>
      <c r="I1148" s="9">
        <f t="shared" si="35"/>
        <v>1.5454611920219921</v>
      </c>
      <c r="J1148" s="3" t="s">
        <v>4603</v>
      </c>
    </row>
    <row r="1149" spans="1:10" ht="25.5">
      <c r="A1149" s="3" t="s">
        <v>1811</v>
      </c>
      <c r="B1149" s="3" t="s">
        <v>2028</v>
      </c>
      <c r="C1149" s="4">
        <v>296</v>
      </c>
      <c r="D1149" s="3" t="s">
        <v>137</v>
      </c>
      <c r="E1149" s="3" t="s">
        <v>18</v>
      </c>
      <c r="F1149" s="5">
        <v>0</v>
      </c>
      <c r="G1149" s="5">
        <v>2716.4589999999998</v>
      </c>
      <c r="H1149" s="5">
        <f t="shared" si="34"/>
        <v>2716.4589999999998</v>
      </c>
      <c r="I1149" s="9">
        <f t="shared" si="35"/>
        <v>0</v>
      </c>
      <c r="J1149" s="3" t="s">
        <v>4603</v>
      </c>
    </row>
    <row r="1150" spans="1:10" ht="25.5">
      <c r="A1150" s="3" t="s">
        <v>1811</v>
      </c>
      <c r="B1150" s="3" t="s">
        <v>2029</v>
      </c>
      <c r="C1150" s="4">
        <v>23</v>
      </c>
      <c r="D1150" s="3" t="s">
        <v>71</v>
      </c>
      <c r="E1150" s="3" t="s">
        <v>8</v>
      </c>
      <c r="F1150" s="5">
        <v>7510.86</v>
      </c>
      <c r="G1150" s="5">
        <v>8852.52</v>
      </c>
      <c r="H1150" s="5">
        <f t="shared" si="34"/>
        <v>1341.6600000000008</v>
      </c>
      <c r="I1150" s="9">
        <f t="shared" si="35"/>
        <v>0.1786293447088616</v>
      </c>
      <c r="J1150" s="3" t="s">
        <v>4603</v>
      </c>
    </row>
    <row r="1151" spans="1:10" ht="38.25">
      <c r="A1151" s="3" t="s">
        <v>1811</v>
      </c>
      <c r="B1151" s="3" t="s">
        <v>2030</v>
      </c>
      <c r="C1151" s="4">
        <v>371</v>
      </c>
      <c r="D1151" s="3" t="s">
        <v>29</v>
      </c>
      <c r="E1151" s="3" t="s">
        <v>30</v>
      </c>
      <c r="F1151" s="5">
        <v>5119.5600000000004</v>
      </c>
      <c r="G1151" s="5">
        <v>2771.76</v>
      </c>
      <c r="H1151" s="5">
        <f t="shared" si="34"/>
        <v>-2347.8000000000002</v>
      </c>
      <c r="I1151" s="9">
        <f t="shared" si="35"/>
        <v>-0.45859409793029093</v>
      </c>
      <c r="J1151" s="3" t="s">
        <v>4603</v>
      </c>
    </row>
    <row r="1152" spans="1:10" ht="38.25">
      <c r="A1152" s="3" t="s">
        <v>1811</v>
      </c>
      <c r="B1152" s="3" t="s">
        <v>2031</v>
      </c>
      <c r="C1152" s="4">
        <v>45</v>
      </c>
      <c r="D1152" s="3" t="s">
        <v>16</v>
      </c>
      <c r="E1152" s="3" t="s">
        <v>8</v>
      </c>
      <c r="F1152" s="5">
        <v>24283.23</v>
      </c>
      <c r="G1152" s="5">
        <v>22246.799999999999</v>
      </c>
      <c r="H1152" s="5">
        <f t="shared" si="34"/>
        <v>-2036.4300000000003</v>
      </c>
      <c r="I1152" s="9">
        <f t="shared" si="35"/>
        <v>-8.3861578546181925E-2</v>
      </c>
      <c r="J1152" s="3" t="s">
        <v>4603</v>
      </c>
    </row>
    <row r="1153" spans="1:10" ht="25.5">
      <c r="A1153" s="3" t="s">
        <v>1811</v>
      </c>
      <c r="B1153" s="3" t="s">
        <v>2032</v>
      </c>
      <c r="C1153" s="4">
        <v>39</v>
      </c>
      <c r="D1153" s="3" t="s">
        <v>26</v>
      </c>
      <c r="E1153" s="3" t="s">
        <v>9</v>
      </c>
      <c r="F1153" s="5">
        <v>6400.5</v>
      </c>
      <c r="G1153" s="5">
        <v>4874.6400000000003</v>
      </c>
      <c r="H1153" s="5">
        <f t="shared" si="34"/>
        <v>-1525.8599999999997</v>
      </c>
      <c r="I1153" s="9">
        <f t="shared" si="35"/>
        <v>-0.23839700023435662</v>
      </c>
      <c r="J1153" s="3" t="s">
        <v>4603</v>
      </c>
    </row>
    <row r="1154" spans="1:10" ht="25.5">
      <c r="A1154" s="3" t="s">
        <v>1811</v>
      </c>
      <c r="B1154" s="3" t="s">
        <v>2033</v>
      </c>
      <c r="C1154" s="4">
        <v>93</v>
      </c>
      <c r="D1154" s="3" t="s">
        <v>42</v>
      </c>
      <c r="E1154" s="3" t="s">
        <v>8</v>
      </c>
      <c r="F1154" s="5">
        <v>0</v>
      </c>
      <c r="G1154" s="5">
        <v>6450.84</v>
      </c>
      <c r="H1154" s="5">
        <f t="shared" si="34"/>
        <v>6450.84</v>
      </c>
      <c r="I1154" s="9">
        <f t="shared" si="35"/>
        <v>0</v>
      </c>
      <c r="J1154" s="3" t="s">
        <v>4603</v>
      </c>
    </row>
    <row r="1155" spans="1:10" ht="25.5">
      <c r="A1155" s="3" t="s">
        <v>1811</v>
      </c>
      <c r="B1155" s="3" t="s">
        <v>2034</v>
      </c>
      <c r="C1155" s="4">
        <v>15</v>
      </c>
      <c r="D1155" s="3" t="s">
        <v>33</v>
      </c>
      <c r="E1155" s="3" t="s">
        <v>13</v>
      </c>
      <c r="F1155" s="5">
        <v>5476.56</v>
      </c>
      <c r="G1155" s="5">
        <v>0</v>
      </c>
      <c r="H1155" s="5">
        <f t="shared" ref="H1155:H1218" si="36">G1155-F1155</f>
        <v>-5476.56</v>
      </c>
      <c r="I1155" s="9">
        <f t="shared" ref="I1155:I1218" si="37">IFERROR(G1155/F1155-1,0)</f>
        <v>-1</v>
      </c>
      <c r="J1155" s="3" t="s">
        <v>4604</v>
      </c>
    </row>
    <row r="1156" spans="1:10">
      <c r="A1156" s="3" t="s">
        <v>1811</v>
      </c>
      <c r="B1156" s="3" t="s">
        <v>2035</v>
      </c>
      <c r="C1156" s="4">
        <v>240</v>
      </c>
      <c r="D1156" s="3" t="s">
        <v>152</v>
      </c>
      <c r="E1156" s="3" t="s">
        <v>13</v>
      </c>
      <c r="F1156" s="5">
        <v>3347.1</v>
      </c>
      <c r="G1156" s="5">
        <v>0</v>
      </c>
      <c r="H1156" s="5">
        <f t="shared" si="36"/>
        <v>-3347.1</v>
      </c>
      <c r="I1156" s="9">
        <f t="shared" si="37"/>
        <v>-1</v>
      </c>
      <c r="J1156" s="3" t="s">
        <v>4603</v>
      </c>
    </row>
    <row r="1157" spans="1:10" ht="25.5">
      <c r="A1157" s="3" t="s">
        <v>1811</v>
      </c>
      <c r="B1157" s="3" t="s">
        <v>2036</v>
      </c>
      <c r="C1157" s="4">
        <v>218</v>
      </c>
      <c r="D1157" s="3" t="s">
        <v>155</v>
      </c>
      <c r="E1157" s="3" t="s">
        <v>13</v>
      </c>
      <c r="F1157" s="5">
        <v>25462.53</v>
      </c>
      <c r="G1157" s="5">
        <v>8761.7999999999993</v>
      </c>
      <c r="H1157" s="5">
        <f t="shared" si="36"/>
        <v>-16700.73</v>
      </c>
      <c r="I1157" s="9">
        <f t="shared" si="37"/>
        <v>-0.65589436713476634</v>
      </c>
      <c r="J1157" s="3" t="s">
        <v>4603</v>
      </c>
    </row>
    <row r="1158" spans="1:10" ht="25.5">
      <c r="A1158" s="3" t="s">
        <v>1811</v>
      </c>
      <c r="B1158" s="3" t="s">
        <v>2037</v>
      </c>
      <c r="C1158" s="4">
        <v>74</v>
      </c>
      <c r="D1158" s="3" t="s">
        <v>86</v>
      </c>
      <c r="E1158" s="3" t="s">
        <v>8</v>
      </c>
      <c r="F1158" s="5">
        <v>6898.95</v>
      </c>
      <c r="G1158" s="5">
        <v>0</v>
      </c>
      <c r="H1158" s="5">
        <f t="shared" si="36"/>
        <v>-6898.95</v>
      </c>
      <c r="I1158" s="9">
        <f t="shared" si="37"/>
        <v>-1</v>
      </c>
      <c r="J1158" s="3" t="s">
        <v>4603</v>
      </c>
    </row>
    <row r="1159" spans="1:10" ht="25.5">
      <c r="A1159" s="3" t="s">
        <v>1811</v>
      </c>
      <c r="B1159" s="3" t="s">
        <v>2038</v>
      </c>
      <c r="C1159" s="4">
        <v>187</v>
      </c>
      <c r="D1159" s="3" t="s">
        <v>460</v>
      </c>
      <c r="E1159" s="3" t="s">
        <v>8</v>
      </c>
      <c r="F1159" s="5">
        <v>0</v>
      </c>
      <c r="G1159" s="5">
        <v>9532.86</v>
      </c>
      <c r="H1159" s="5">
        <f t="shared" si="36"/>
        <v>9532.86</v>
      </c>
      <c r="I1159" s="9">
        <f t="shared" si="37"/>
        <v>0</v>
      </c>
      <c r="J1159" s="3" t="s">
        <v>4603</v>
      </c>
    </row>
    <row r="1160" spans="1:10" ht="25.5">
      <c r="A1160" s="3" t="s">
        <v>1811</v>
      </c>
      <c r="B1160" s="3" t="s">
        <v>2039</v>
      </c>
      <c r="C1160" s="4">
        <v>93</v>
      </c>
      <c r="D1160" s="3" t="s">
        <v>42</v>
      </c>
      <c r="E1160" s="3" t="s">
        <v>8</v>
      </c>
      <c r="F1160" s="5">
        <v>0</v>
      </c>
      <c r="G1160" s="5">
        <v>7400.76</v>
      </c>
      <c r="H1160" s="5">
        <f t="shared" si="36"/>
        <v>7400.76</v>
      </c>
      <c r="I1160" s="9">
        <f t="shared" si="37"/>
        <v>0</v>
      </c>
      <c r="J1160" s="3" t="s">
        <v>4603</v>
      </c>
    </row>
    <row r="1161" spans="1:10" ht="25.5">
      <c r="A1161" s="3" t="s">
        <v>1811</v>
      </c>
      <c r="B1161" s="3" t="s">
        <v>2040</v>
      </c>
      <c r="C1161" s="4">
        <v>23</v>
      </c>
      <c r="D1161" s="3" t="s">
        <v>71</v>
      </c>
      <c r="E1161" s="3" t="s">
        <v>8</v>
      </c>
      <c r="F1161" s="5">
        <v>0</v>
      </c>
      <c r="G1161" s="5">
        <v>2009.04</v>
      </c>
      <c r="H1161" s="5">
        <f t="shared" si="36"/>
        <v>2009.04</v>
      </c>
      <c r="I1161" s="9">
        <f t="shared" si="37"/>
        <v>0</v>
      </c>
      <c r="J1161" s="3" t="s">
        <v>4603</v>
      </c>
    </row>
    <row r="1162" spans="1:10" ht="25.5">
      <c r="A1162" s="3" t="s">
        <v>1811</v>
      </c>
      <c r="B1162" s="3" t="s">
        <v>2041</v>
      </c>
      <c r="C1162" s="4">
        <v>299</v>
      </c>
      <c r="D1162" s="3" t="s">
        <v>246</v>
      </c>
      <c r="E1162" s="3" t="s">
        <v>30</v>
      </c>
      <c r="F1162" s="5">
        <v>4319.16</v>
      </c>
      <c r="G1162" s="5">
        <v>0</v>
      </c>
      <c r="H1162" s="5">
        <f t="shared" si="36"/>
        <v>-4319.16</v>
      </c>
      <c r="I1162" s="9">
        <f t="shared" si="37"/>
        <v>-1</v>
      </c>
      <c r="J1162" s="3" t="s">
        <v>4603</v>
      </c>
    </row>
    <row r="1163" spans="1:10" ht="25.5">
      <c r="A1163" s="3" t="s">
        <v>1811</v>
      </c>
      <c r="B1163" s="3" t="s">
        <v>2042</v>
      </c>
      <c r="C1163" s="4">
        <v>197</v>
      </c>
      <c r="D1163" s="3" t="s">
        <v>23</v>
      </c>
      <c r="E1163" s="3" t="s">
        <v>22</v>
      </c>
      <c r="F1163" s="5">
        <v>10103.64</v>
      </c>
      <c r="G1163" s="5">
        <v>3005.28</v>
      </c>
      <c r="H1163" s="5">
        <f t="shared" si="36"/>
        <v>-7098.3599999999988</v>
      </c>
      <c r="I1163" s="9">
        <f t="shared" si="37"/>
        <v>-0.70255472285235809</v>
      </c>
      <c r="J1163" s="3" t="s">
        <v>4603</v>
      </c>
    </row>
    <row r="1164" spans="1:10">
      <c r="A1164" s="3" t="s">
        <v>1811</v>
      </c>
      <c r="B1164" s="3" t="s">
        <v>2043</v>
      </c>
      <c r="C1164" s="4">
        <v>217</v>
      </c>
      <c r="D1164" s="3" t="s">
        <v>253</v>
      </c>
      <c r="E1164" s="3" t="s">
        <v>13</v>
      </c>
      <c r="F1164" s="5">
        <v>0</v>
      </c>
      <c r="G1164" s="5">
        <v>25036.44</v>
      </c>
      <c r="H1164" s="5">
        <f t="shared" si="36"/>
        <v>25036.44</v>
      </c>
      <c r="I1164" s="9">
        <f t="shared" si="37"/>
        <v>0</v>
      </c>
      <c r="J1164" s="3" t="s">
        <v>4603</v>
      </c>
    </row>
    <row r="1165" spans="1:10" ht="25.5">
      <c r="A1165" s="3" t="s">
        <v>1811</v>
      </c>
      <c r="B1165" s="3" t="s">
        <v>2044</v>
      </c>
      <c r="C1165" s="4">
        <v>231</v>
      </c>
      <c r="D1165" s="3" t="s">
        <v>89</v>
      </c>
      <c r="E1165" s="3" t="s">
        <v>8</v>
      </c>
      <c r="F1165" s="5">
        <v>0</v>
      </c>
      <c r="G1165" s="5">
        <v>3177.06</v>
      </c>
      <c r="H1165" s="5">
        <f t="shared" si="36"/>
        <v>3177.06</v>
      </c>
      <c r="I1165" s="9">
        <f t="shared" si="37"/>
        <v>0</v>
      </c>
      <c r="J1165" s="3" t="s">
        <v>4603</v>
      </c>
    </row>
    <row r="1166" spans="1:10" ht="38.25">
      <c r="A1166" s="3" t="s">
        <v>1811</v>
      </c>
      <c r="B1166" s="3" t="s">
        <v>2045</v>
      </c>
      <c r="C1166" s="4">
        <v>45</v>
      </c>
      <c r="D1166" s="3" t="s">
        <v>16</v>
      </c>
      <c r="E1166" s="3" t="s">
        <v>8</v>
      </c>
      <c r="F1166" s="5">
        <v>0</v>
      </c>
      <c r="G1166" s="5">
        <v>7303.5</v>
      </c>
      <c r="H1166" s="5">
        <f t="shared" si="36"/>
        <v>7303.5</v>
      </c>
      <c r="I1166" s="9">
        <f t="shared" si="37"/>
        <v>0</v>
      </c>
      <c r="J1166" s="3" t="s">
        <v>4603</v>
      </c>
    </row>
    <row r="1167" spans="1:10" ht="25.5">
      <c r="A1167" s="3" t="s">
        <v>1811</v>
      </c>
      <c r="B1167" s="3" t="s">
        <v>2046</v>
      </c>
      <c r="C1167" s="4">
        <v>19</v>
      </c>
      <c r="D1167" s="3" t="s">
        <v>53</v>
      </c>
      <c r="E1167" s="3" t="s">
        <v>22</v>
      </c>
      <c r="F1167" s="5">
        <v>5267.16</v>
      </c>
      <c r="G1167" s="5">
        <v>28282.87</v>
      </c>
      <c r="H1167" s="5">
        <f t="shared" si="36"/>
        <v>23015.71</v>
      </c>
      <c r="I1167" s="9">
        <f t="shared" si="37"/>
        <v>4.3696622088563855</v>
      </c>
      <c r="J1167" s="3" t="s">
        <v>4603</v>
      </c>
    </row>
    <row r="1168" spans="1:10" ht="25.5">
      <c r="A1168" s="3" t="s">
        <v>1811</v>
      </c>
      <c r="B1168" s="3" t="s">
        <v>2047</v>
      </c>
      <c r="C1168" s="4">
        <v>194</v>
      </c>
      <c r="D1168" s="3" t="s">
        <v>179</v>
      </c>
      <c r="E1168" s="3" t="s">
        <v>13</v>
      </c>
      <c r="F1168" s="5">
        <v>5915.1</v>
      </c>
      <c r="G1168" s="5">
        <v>5166.84</v>
      </c>
      <c r="H1168" s="5">
        <f t="shared" si="36"/>
        <v>-748.26000000000022</v>
      </c>
      <c r="I1168" s="9">
        <f t="shared" si="37"/>
        <v>-0.12649997464117257</v>
      </c>
      <c r="J1168" s="3" t="s">
        <v>4603</v>
      </c>
    </row>
    <row r="1169" spans="1:10" ht="25.5">
      <c r="A1169" s="3" t="s">
        <v>1811</v>
      </c>
      <c r="B1169" s="3" t="s">
        <v>2048</v>
      </c>
      <c r="C1169" s="4">
        <v>320</v>
      </c>
      <c r="D1169" s="3" t="s">
        <v>188</v>
      </c>
      <c r="E1169" s="3" t="s">
        <v>30</v>
      </c>
      <c r="F1169" s="5">
        <v>9874.56</v>
      </c>
      <c r="G1169" s="5">
        <v>10213.148999999999</v>
      </c>
      <c r="H1169" s="5">
        <f t="shared" si="36"/>
        <v>338.58899999999994</v>
      </c>
      <c r="I1169" s="9">
        <f t="shared" si="37"/>
        <v>3.4289021485514271E-2</v>
      </c>
      <c r="J1169" s="3" t="s">
        <v>4603</v>
      </c>
    </row>
    <row r="1170" spans="1:10" ht="25.5">
      <c r="A1170" s="3" t="s">
        <v>1811</v>
      </c>
      <c r="B1170" s="3" t="s">
        <v>2049</v>
      </c>
      <c r="C1170" s="4">
        <v>299</v>
      </c>
      <c r="D1170" s="3" t="s">
        <v>246</v>
      </c>
      <c r="E1170" s="3" t="s">
        <v>30</v>
      </c>
      <c r="F1170" s="5">
        <v>2243.4899999999998</v>
      </c>
      <c r="G1170" s="5">
        <v>4999.92</v>
      </c>
      <c r="H1170" s="5">
        <f t="shared" si="36"/>
        <v>2756.4300000000003</v>
      </c>
      <c r="I1170" s="9">
        <f t="shared" si="37"/>
        <v>1.2286348501664821</v>
      </c>
      <c r="J1170" s="3" t="s">
        <v>4603</v>
      </c>
    </row>
    <row r="1171" spans="1:10" ht="38.25">
      <c r="A1171" s="3" t="s">
        <v>1811</v>
      </c>
      <c r="B1171" s="3" t="s">
        <v>2050</v>
      </c>
      <c r="C1171" s="4">
        <v>34</v>
      </c>
      <c r="D1171" s="3" t="s">
        <v>136</v>
      </c>
      <c r="E1171" s="3" t="s">
        <v>30</v>
      </c>
      <c r="F1171" s="5">
        <v>0</v>
      </c>
      <c r="G1171" s="5">
        <v>1854.48</v>
      </c>
      <c r="H1171" s="5">
        <f t="shared" si="36"/>
        <v>1854.48</v>
      </c>
      <c r="I1171" s="9">
        <f t="shared" si="37"/>
        <v>0</v>
      </c>
      <c r="J1171" s="3" t="s">
        <v>4603</v>
      </c>
    </row>
    <row r="1172" spans="1:10" ht="25.5">
      <c r="A1172" s="3" t="s">
        <v>1811</v>
      </c>
      <c r="B1172" s="3" t="s">
        <v>2051</v>
      </c>
      <c r="C1172" s="4">
        <v>74</v>
      </c>
      <c r="D1172" s="3" t="s">
        <v>86</v>
      </c>
      <c r="E1172" s="3" t="s">
        <v>8</v>
      </c>
      <c r="F1172" s="5">
        <v>0</v>
      </c>
      <c r="G1172" s="5">
        <v>14567.64</v>
      </c>
      <c r="H1172" s="5">
        <f t="shared" si="36"/>
        <v>14567.64</v>
      </c>
      <c r="I1172" s="9">
        <f t="shared" si="37"/>
        <v>0</v>
      </c>
      <c r="J1172" s="3" t="s">
        <v>4603</v>
      </c>
    </row>
    <row r="1173" spans="1:10" ht="25.5">
      <c r="A1173" s="3" t="s">
        <v>1811</v>
      </c>
      <c r="B1173" s="3" t="s">
        <v>2052</v>
      </c>
      <c r="C1173" s="4">
        <v>178</v>
      </c>
      <c r="D1173" s="3" t="s">
        <v>92</v>
      </c>
      <c r="E1173" s="3" t="s">
        <v>8</v>
      </c>
      <c r="F1173" s="5">
        <v>0</v>
      </c>
      <c r="G1173" s="5">
        <v>16736.400000000001</v>
      </c>
      <c r="H1173" s="5">
        <f t="shared" si="36"/>
        <v>16736.400000000001</v>
      </c>
      <c r="I1173" s="9">
        <f t="shared" si="37"/>
        <v>0</v>
      </c>
      <c r="J1173" s="3" t="s">
        <v>4603</v>
      </c>
    </row>
    <row r="1174" spans="1:10" ht="25.5">
      <c r="A1174" s="3" t="s">
        <v>1811</v>
      </c>
      <c r="B1174" s="3" t="s">
        <v>2053</v>
      </c>
      <c r="C1174" s="4">
        <v>178</v>
      </c>
      <c r="D1174" s="3" t="s">
        <v>92</v>
      </c>
      <c r="E1174" s="3" t="s">
        <v>8</v>
      </c>
      <c r="F1174" s="5">
        <v>11350.2</v>
      </c>
      <c r="G1174" s="5">
        <v>12628.32</v>
      </c>
      <c r="H1174" s="5">
        <f t="shared" si="36"/>
        <v>1278.119999999999</v>
      </c>
      <c r="I1174" s="9">
        <f t="shared" si="37"/>
        <v>0.11260770735317438</v>
      </c>
      <c r="J1174" s="3" t="s">
        <v>4603</v>
      </c>
    </row>
    <row r="1175" spans="1:10" ht="25.5">
      <c r="A1175" s="3" t="s">
        <v>1811</v>
      </c>
      <c r="B1175" s="3" t="s">
        <v>2054</v>
      </c>
      <c r="C1175" s="4">
        <v>167</v>
      </c>
      <c r="D1175" s="3" t="s">
        <v>335</v>
      </c>
      <c r="E1175" s="3" t="s">
        <v>30</v>
      </c>
      <c r="F1175" s="5">
        <v>2159.52</v>
      </c>
      <c r="G1175" s="5">
        <v>0</v>
      </c>
      <c r="H1175" s="5">
        <f t="shared" si="36"/>
        <v>-2159.52</v>
      </c>
      <c r="I1175" s="9">
        <f t="shared" si="37"/>
        <v>-1</v>
      </c>
      <c r="J1175" s="3" t="s">
        <v>4603</v>
      </c>
    </row>
    <row r="1176" spans="1:10">
      <c r="A1176" s="3" t="s">
        <v>1811</v>
      </c>
      <c r="B1176" s="3" t="s">
        <v>2055</v>
      </c>
      <c r="C1176" s="4">
        <v>240</v>
      </c>
      <c r="D1176" s="3" t="s">
        <v>152</v>
      </c>
      <c r="E1176" s="3" t="s">
        <v>13</v>
      </c>
      <c r="F1176" s="5">
        <v>11772.96</v>
      </c>
      <c r="G1176" s="5">
        <v>0</v>
      </c>
      <c r="H1176" s="5">
        <f t="shared" si="36"/>
        <v>-11772.96</v>
      </c>
      <c r="I1176" s="9">
        <f t="shared" si="37"/>
        <v>-1</v>
      </c>
      <c r="J1176" s="3" t="s">
        <v>4603</v>
      </c>
    </row>
    <row r="1177" spans="1:10" ht="38.25">
      <c r="A1177" s="3" t="s">
        <v>1811</v>
      </c>
      <c r="B1177" s="3" t="s">
        <v>2056</v>
      </c>
      <c r="C1177" s="4">
        <v>45</v>
      </c>
      <c r="D1177" s="3" t="s">
        <v>16</v>
      </c>
      <c r="E1177" s="3" t="s">
        <v>8</v>
      </c>
      <c r="F1177" s="5">
        <v>4547.28</v>
      </c>
      <c r="G1177" s="5">
        <v>0</v>
      </c>
      <c r="H1177" s="5">
        <f t="shared" si="36"/>
        <v>-4547.28</v>
      </c>
      <c r="I1177" s="9">
        <f t="shared" si="37"/>
        <v>-1</v>
      </c>
      <c r="J1177" s="3" t="s">
        <v>4603</v>
      </c>
    </row>
    <row r="1178" spans="1:10" ht="25.5">
      <c r="A1178" s="3" t="s">
        <v>1811</v>
      </c>
      <c r="B1178" s="3" t="s">
        <v>2057</v>
      </c>
      <c r="C1178" s="4">
        <v>296</v>
      </c>
      <c r="D1178" s="3" t="s">
        <v>137</v>
      </c>
      <c r="E1178" s="3" t="s">
        <v>18</v>
      </c>
      <c r="F1178" s="5">
        <v>2660.58</v>
      </c>
      <c r="G1178" s="5">
        <v>0</v>
      </c>
      <c r="H1178" s="5">
        <f t="shared" si="36"/>
        <v>-2660.58</v>
      </c>
      <c r="I1178" s="9">
        <f t="shared" si="37"/>
        <v>-1</v>
      </c>
      <c r="J1178" s="3" t="s">
        <v>4603</v>
      </c>
    </row>
    <row r="1179" spans="1:10" ht="25.5">
      <c r="A1179" s="3" t="s">
        <v>1811</v>
      </c>
      <c r="B1179" s="3" t="s">
        <v>2058</v>
      </c>
      <c r="C1179" s="4">
        <v>273</v>
      </c>
      <c r="D1179" s="3" t="s">
        <v>771</v>
      </c>
      <c r="E1179" s="3" t="s">
        <v>13</v>
      </c>
      <c r="F1179" s="5">
        <v>0</v>
      </c>
      <c r="G1179" s="5">
        <v>2517.2399999999998</v>
      </c>
      <c r="H1179" s="5">
        <f t="shared" si="36"/>
        <v>2517.2399999999998</v>
      </c>
      <c r="I1179" s="9">
        <f t="shared" si="37"/>
        <v>0</v>
      </c>
      <c r="J1179" s="3" t="s">
        <v>4604</v>
      </c>
    </row>
    <row r="1180" spans="1:10" ht="25.5">
      <c r="A1180" s="3" t="s">
        <v>1811</v>
      </c>
      <c r="B1180" s="3" t="s">
        <v>2059</v>
      </c>
      <c r="C1180" s="4">
        <v>31</v>
      </c>
      <c r="D1180" s="3" t="s">
        <v>172</v>
      </c>
      <c r="E1180" s="3" t="s">
        <v>13</v>
      </c>
      <c r="F1180" s="5">
        <v>5527.56</v>
      </c>
      <c r="G1180" s="5">
        <v>0</v>
      </c>
      <c r="H1180" s="5">
        <f t="shared" si="36"/>
        <v>-5527.56</v>
      </c>
      <c r="I1180" s="9">
        <f t="shared" si="37"/>
        <v>-1</v>
      </c>
      <c r="J1180" s="3" t="s">
        <v>4603</v>
      </c>
    </row>
    <row r="1181" spans="1:10">
      <c r="A1181" s="3" t="s">
        <v>1811</v>
      </c>
      <c r="B1181" s="3" t="s">
        <v>2060</v>
      </c>
      <c r="C1181" s="4">
        <v>315</v>
      </c>
      <c r="D1181" s="3" t="s">
        <v>79</v>
      </c>
      <c r="E1181" s="3" t="s">
        <v>8</v>
      </c>
      <c r="F1181" s="5">
        <v>0</v>
      </c>
      <c r="G1181" s="5">
        <v>13729.724</v>
      </c>
      <c r="H1181" s="5">
        <f t="shared" si="36"/>
        <v>13729.724</v>
      </c>
      <c r="I1181" s="9">
        <f t="shared" si="37"/>
        <v>0</v>
      </c>
      <c r="J1181" s="3" t="s">
        <v>4603</v>
      </c>
    </row>
    <row r="1182" spans="1:10" ht="25.5">
      <c r="A1182" s="3" t="s">
        <v>1811</v>
      </c>
      <c r="B1182" s="3" t="s">
        <v>2061</v>
      </c>
      <c r="C1182" s="4">
        <v>335</v>
      </c>
      <c r="D1182" s="3" t="s">
        <v>7</v>
      </c>
      <c r="E1182" s="3" t="s">
        <v>8</v>
      </c>
      <c r="F1182" s="5">
        <v>3371.4</v>
      </c>
      <c r="G1182" s="5">
        <v>0</v>
      </c>
      <c r="H1182" s="5">
        <f t="shared" si="36"/>
        <v>-3371.4</v>
      </c>
      <c r="I1182" s="9">
        <f t="shared" si="37"/>
        <v>-1</v>
      </c>
      <c r="J1182" s="3" t="s">
        <v>4603</v>
      </c>
    </row>
    <row r="1183" spans="1:10" ht="25.5">
      <c r="A1183" s="3" t="s">
        <v>1811</v>
      </c>
      <c r="B1183" s="3" t="s">
        <v>2062</v>
      </c>
      <c r="C1183" s="4">
        <v>194</v>
      </c>
      <c r="D1183" s="3" t="s">
        <v>179</v>
      </c>
      <c r="E1183" s="3" t="s">
        <v>13</v>
      </c>
      <c r="F1183" s="5">
        <v>0</v>
      </c>
      <c r="G1183" s="5">
        <v>13032.72</v>
      </c>
      <c r="H1183" s="5">
        <f t="shared" si="36"/>
        <v>13032.72</v>
      </c>
      <c r="I1183" s="9">
        <f t="shared" si="37"/>
        <v>0</v>
      </c>
      <c r="J1183" s="3" t="s">
        <v>4603</v>
      </c>
    </row>
    <row r="1184" spans="1:10" ht="25.5">
      <c r="A1184" s="3" t="s">
        <v>1811</v>
      </c>
      <c r="B1184" s="3" t="s">
        <v>2063</v>
      </c>
      <c r="C1184" s="4">
        <v>93</v>
      </c>
      <c r="D1184" s="3" t="s">
        <v>42</v>
      </c>
      <c r="E1184" s="3" t="s">
        <v>8</v>
      </c>
      <c r="F1184" s="5">
        <v>2483.58</v>
      </c>
      <c r="G1184" s="5">
        <v>15544.71</v>
      </c>
      <c r="H1184" s="5">
        <f t="shared" si="36"/>
        <v>13061.13</v>
      </c>
      <c r="I1184" s="9">
        <f t="shared" si="37"/>
        <v>5.2589930664605129</v>
      </c>
      <c r="J1184" s="3" t="s">
        <v>4603</v>
      </c>
    </row>
    <row r="1185" spans="1:10" ht="25.5">
      <c r="A1185" s="3" t="s">
        <v>1811</v>
      </c>
      <c r="B1185" s="3" t="s">
        <v>2064</v>
      </c>
      <c r="C1185" s="4">
        <v>264</v>
      </c>
      <c r="D1185" s="3" t="s">
        <v>632</v>
      </c>
      <c r="E1185" s="3" t="s">
        <v>22</v>
      </c>
      <c r="F1185" s="5">
        <v>0</v>
      </c>
      <c r="G1185" s="5">
        <v>3765.48</v>
      </c>
      <c r="H1185" s="5">
        <f t="shared" si="36"/>
        <v>3765.48</v>
      </c>
      <c r="I1185" s="9">
        <f t="shared" si="37"/>
        <v>0</v>
      </c>
      <c r="J1185" s="3" t="s">
        <v>4603</v>
      </c>
    </row>
    <row r="1186" spans="1:10" ht="25.5">
      <c r="A1186" s="3" t="s">
        <v>1811</v>
      </c>
      <c r="B1186" s="3" t="s">
        <v>2065</v>
      </c>
      <c r="C1186" s="4">
        <v>93</v>
      </c>
      <c r="D1186" s="3" t="s">
        <v>42</v>
      </c>
      <c r="E1186" s="3" t="s">
        <v>8</v>
      </c>
      <c r="F1186" s="5">
        <v>10060.5</v>
      </c>
      <c r="G1186" s="5">
        <v>0</v>
      </c>
      <c r="H1186" s="5">
        <f t="shared" si="36"/>
        <v>-10060.5</v>
      </c>
      <c r="I1186" s="9">
        <f t="shared" si="37"/>
        <v>-1</v>
      </c>
      <c r="J1186" s="3" t="s">
        <v>4603</v>
      </c>
    </row>
    <row r="1187" spans="1:10" ht="25.5">
      <c r="A1187" s="3" t="s">
        <v>1811</v>
      </c>
      <c r="B1187" s="3" t="s">
        <v>2066</v>
      </c>
      <c r="C1187" s="4">
        <v>178</v>
      </c>
      <c r="D1187" s="3" t="s">
        <v>92</v>
      </c>
      <c r="E1187" s="3" t="s">
        <v>8</v>
      </c>
      <c r="F1187" s="5">
        <v>11650.08</v>
      </c>
      <c r="G1187" s="5">
        <v>0</v>
      </c>
      <c r="H1187" s="5">
        <f t="shared" si="36"/>
        <v>-11650.08</v>
      </c>
      <c r="I1187" s="9">
        <f t="shared" si="37"/>
        <v>-1</v>
      </c>
      <c r="J1187" s="3" t="s">
        <v>4603</v>
      </c>
    </row>
    <row r="1188" spans="1:10" ht="25.5">
      <c r="A1188" s="3" t="s">
        <v>1811</v>
      </c>
      <c r="B1188" s="3" t="s">
        <v>2067</v>
      </c>
      <c r="C1188" s="4">
        <v>31</v>
      </c>
      <c r="D1188" s="3" t="s">
        <v>172</v>
      </c>
      <c r="E1188" s="3" t="s">
        <v>13</v>
      </c>
      <c r="F1188" s="5">
        <v>0</v>
      </c>
      <c r="G1188" s="5">
        <v>4227.0600000000004</v>
      </c>
      <c r="H1188" s="5">
        <f t="shared" si="36"/>
        <v>4227.0600000000004</v>
      </c>
      <c r="I1188" s="9">
        <f t="shared" si="37"/>
        <v>0</v>
      </c>
      <c r="J1188" s="3" t="s">
        <v>4603</v>
      </c>
    </row>
    <row r="1189" spans="1:10" ht="25.5">
      <c r="A1189" s="3" t="s">
        <v>1811</v>
      </c>
      <c r="B1189" s="3" t="s">
        <v>2068</v>
      </c>
      <c r="C1189" s="4">
        <v>266</v>
      </c>
      <c r="D1189" s="3" t="s">
        <v>111</v>
      </c>
      <c r="E1189" s="3" t="s">
        <v>18</v>
      </c>
      <c r="F1189" s="5">
        <v>0</v>
      </c>
      <c r="G1189" s="5">
        <v>22830.57</v>
      </c>
      <c r="H1189" s="5">
        <f t="shared" si="36"/>
        <v>22830.57</v>
      </c>
      <c r="I1189" s="9">
        <f t="shared" si="37"/>
        <v>0</v>
      </c>
      <c r="J1189" s="3" t="s">
        <v>4603</v>
      </c>
    </row>
    <row r="1190" spans="1:10" ht="38.25">
      <c r="A1190" s="3" t="s">
        <v>1811</v>
      </c>
      <c r="B1190" s="3" t="s">
        <v>2069</v>
      </c>
      <c r="C1190" s="4">
        <v>45</v>
      </c>
      <c r="D1190" s="3" t="s">
        <v>16</v>
      </c>
      <c r="E1190" s="3" t="s">
        <v>8</v>
      </c>
      <c r="F1190" s="5">
        <v>5805.24</v>
      </c>
      <c r="G1190" s="5">
        <v>0</v>
      </c>
      <c r="H1190" s="5">
        <f t="shared" si="36"/>
        <v>-5805.24</v>
      </c>
      <c r="I1190" s="9">
        <f t="shared" si="37"/>
        <v>-1</v>
      </c>
      <c r="J1190" s="3" t="s">
        <v>4603</v>
      </c>
    </row>
    <row r="1191" spans="1:10" ht="25.5">
      <c r="A1191" s="3" t="s">
        <v>1811</v>
      </c>
      <c r="B1191" s="3" t="s">
        <v>2070</v>
      </c>
      <c r="C1191" s="4">
        <v>297</v>
      </c>
      <c r="D1191" s="3" t="s">
        <v>209</v>
      </c>
      <c r="E1191" s="3" t="s">
        <v>22</v>
      </c>
      <c r="F1191" s="5">
        <v>18648.45</v>
      </c>
      <c r="G1191" s="5">
        <v>4381.4799999999996</v>
      </c>
      <c r="H1191" s="5">
        <f t="shared" si="36"/>
        <v>-14266.970000000001</v>
      </c>
      <c r="I1191" s="9">
        <f t="shared" si="37"/>
        <v>-0.76504856972027169</v>
      </c>
      <c r="J1191" s="3" t="s">
        <v>4603</v>
      </c>
    </row>
    <row r="1192" spans="1:10" ht="38.25">
      <c r="A1192" s="3" t="s">
        <v>1811</v>
      </c>
      <c r="B1192" s="3" t="s">
        <v>2071</v>
      </c>
      <c r="C1192" s="4">
        <v>15</v>
      </c>
      <c r="D1192" s="3" t="s">
        <v>33</v>
      </c>
      <c r="E1192" s="3" t="s">
        <v>13</v>
      </c>
      <c r="F1192" s="5">
        <v>0</v>
      </c>
      <c r="G1192" s="5">
        <v>12644.97</v>
      </c>
      <c r="H1192" s="5">
        <f t="shared" si="36"/>
        <v>12644.97</v>
      </c>
      <c r="I1192" s="9">
        <f t="shared" si="37"/>
        <v>0</v>
      </c>
      <c r="J1192" s="3" t="s">
        <v>4604</v>
      </c>
    </row>
    <row r="1193" spans="1:10" ht="25.5">
      <c r="A1193" s="3" t="s">
        <v>1811</v>
      </c>
      <c r="B1193" s="3" t="s">
        <v>2072</v>
      </c>
      <c r="C1193" s="4">
        <v>327</v>
      </c>
      <c r="D1193" s="3" t="s">
        <v>76</v>
      </c>
      <c r="E1193" s="3" t="s">
        <v>8</v>
      </c>
      <c r="F1193" s="5">
        <v>0</v>
      </c>
      <c r="G1193" s="5">
        <v>35113.53</v>
      </c>
      <c r="H1193" s="5">
        <f t="shared" si="36"/>
        <v>35113.53</v>
      </c>
      <c r="I1193" s="9">
        <f t="shared" si="37"/>
        <v>0</v>
      </c>
      <c r="J1193" s="3" t="s">
        <v>4603</v>
      </c>
    </row>
    <row r="1194" spans="1:10">
      <c r="A1194" s="3" t="s">
        <v>1811</v>
      </c>
      <c r="B1194" s="3" t="s">
        <v>2073</v>
      </c>
      <c r="C1194" s="4">
        <v>217</v>
      </c>
      <c r="D1194" s="3" t="s">
        <v>253</v>
      </c>
      <c r="E1194" s="3" t="s">
        <v>13</v>
      </c>
      <c r="F1194" s="5">
        <v>3230.64</v>
      </c>
      <c r="G1194" s="5">
        <v>0</v>
      </c>
      <c r="H1194" s="5">
        <f t="shared" si="36"/>
        <v>-3230.64</v>
      </c>
      <c r="I1194" s="9">
        <f t="shared" si="37"/>
        <v>-1</v>
      </c>
      <c r="J1194" s="3" t="s">
        <v>4603</v>
      </c>
    </row>
    <row r="1195" spans="1:10" ht="25.5">
      <c r="A1195" s="3" t="s">
        <v>1811</v>
      </c>
      <c r="B1195" s="3" t="s">
        <v>2074</v>
      </c>
      <c r="C1195" s="4">
        <v>23</v>
      </c>
      <c r="D1195" s="3" t="s">
        <v>71</v>
      </c>
      <c r="E1195" s="3" t="s">
        <v>8</v>
      </c>
      <c r="F1195" s="5">
        <v>3335.28</v>
      </c>
      <c r="G1195" s="5">
        <v>0</v>
      </c>
      <c r="H1195" s="5">
        <f t="shared" si="36"/>
        <v>-3335.28</v>
      </c>
      <c r="I1195" s="9">
        <f t="shared" si="37"/>
        <v>-1</v>
      </c>
      <c r="J1195" s="3" t="s">
        <v>4603</v>
      </c>
    </row>
    <row r="1196" spans="1:10" ht="38.25">
      <c r="A1196" s="3" t="s">
        <v>1811</v>
      </c>
      <c r="B1196" s="3" t="s">
        <v>2075</v>
      </c>
      <c r="C1196" s="4">
        <v>11</v>
      </c>
      <c r="D1196" s="3" t="s">
        <v>55</v>
      </c>
      <c r="E1196" s="3" t="s">
        <v>18</v>
      </c>
      <c r="F1196" s="5">
        <v>0</v>
      </c>
      <c r="G1196" s="5">
        <v>10810.68</v>
      </c>
      <c r="H1196" s="5">
        <f t="shared" si="36"/>
        <v>10810.68</v>
      </c>
      <c r="I1196" s="9">
        <f t="shared" si="37"/>
        <v>0</v>
      </c>
      <c r="J1196" s="3" t="s">
        <v>4603</v>
      </c>
    </row>
    <row r="1197" spans="1:10" ht="25.5">
      <c r="A1197" s="3" t="s">
        <v>1811</v>
      </c>
      <c r="B1197" s="3" t="s">
        <v>2076</v>
      </c>
      <c r="C1197" s="4">
        <v>19</v>
      </c>
      <c r="D1197" s="3" t="s">
        <v>53</v>
      </c>
      <c r="E1197" s="3" t="s">
        <v>22</v>
      </c>
      <c r="F1197" s="5">
        <v>9358.56</v>
      </c>
      <c r="G1197" s="5">
        <v>0</v>
      </c>
      <c r="H1197" s="5">
        <f t="shared" si="36"/>
        <v>-9358.56</v>
      </c>
      <c r="I1197" s="9">
        <f t="shared" si="37"/>
        <v>-1</v>
      </c>
      <c r="J1197" s="3" t="s">
        <v>4603</v>
      </c>
    </row>
    <row r="1198" spans="1:10" ht="25.5">
      <c r="A1198" s="3" t="s">
        <v>1811</v>
      </c>
      <c r="B1198" s="3" t="s">
        <v>2077</v>
      </c>
      <c r="C1198" s="4">
        <v>327</v>
      </c>
      <c r="D1198" s="3" t="s">
        <v>76</v>
      </c>
      <c r="E1198" s="3" t="s">
        <v>8</v>
      </c>
      <c r="F1198" s="5">
        <v>0</v>
      </c>
      <c r="G1198" s="5">
        <v>6452.73</v>
      </c>
      <c r="H1198" s="5">
        <f t="shared" si="36"/>
        <v>6452.73</v>
      </c>
      <c r="I1198" s="9">
        <f t="shared" si="37"/>
        <v>0</v>
      </c>
      <c r="J1198" s="3" t="s">
        <v>4603</v>
      </c>
    </row>
    <row r="1199" spans="1:10" ht="38.25">
      <c r="A1199" s="3" t="s">
        <v>1811</v>
      </c>
      <c r="B1199" s="3" t="s">
        <v>2078</v>
      </c>
      <c r="C1199" s="4">
        <v>11</v>
      </c>
      <c r="D1199" s="3" t="s">
        <v>55</v>
      </c>
      <c r="E1199" s="3" t="s">
        <v>18</v>
      </c>
      <c r="F1199" s="5">
        <v>0</v>
      </c>
      <c r="G1199" s="5">
        <v>15130.35</v>
      </c>
      <c r="H1199" s="5">
        <f t="shared" si="36"/>
        <v>15130.35</v>
      </c>
      <c r="I1199" s="9">
        <f t="shared" si="37"/>
        <v>0</v>
      </c>
      <c r="J1199" s="3" t="s">
        <v>4603</v>
      </c>
    </row>
    <row r="1200" spans="1:10" ht="25.5">
      <c r="A1200" s="3" t="s">
        <v>1811</v>
      </c>
      <c r="B1200" s="3" t="s">
        <v>2079</v>
      </c>
      <c r="C1200" s="4">
        <v>273</v>
      </c>
      <c r="D1200" s="3" t="s">
        <v>771</v>
      </c>
      <c r="E1200" s="3" t="s">
        <v>13</v>
      </c>
      <c r="F1200" s="5">
        <v>2987.76</v>
      </c>
      <c r="G1200" s="5">
        <v>0</v>
      </c>
      <c r="H1200" s="5">
        <f t="shared" si="36"/>
        <v>-2987.76</v>
      </c>
      <c r="I1200" s="9">
        <f t="shared" si="37"/>
        <v>-1</v>
      </c>
      <c r="J1200" s="3" t="s">
        <v>4603</v>
      </c>
    </row>
    <row r="1201" spans="1:10" ht="25.5">
      <c r="A1201" s="3" t="s">
        <v>1811</v>
      </c>
      <c r="B1201" s="3" t="s">
        <v>2080</v>
      </c>
      <c r="C1201" s="4">
        <v>240</v>
      </c>
      <c r="D1201" s="3" t="s">
        <v>152</v>
      </c>
      <c r="E1201" s="3" t="s">
        <v>13</v>
      </c>
      <c r="F1201" s="5">
        <v>0</v>
      </c>
      <c r="G1201" s="5">
        <v>7074.81</v>
      </c>
      <c r="H1201" s="5">
        <f t="shared" si="36"/>
        <v>7074.81</v>
      </c>
      <c r="I1201" s="9">
        <f t="shared" si="37"/>
        <v>0</v>
      </c>
      <c r="J1201" s="3" t="s">
        <v>4603</v>
      </c>
    </row>
    <row r="1202" spans="1:10" ht="25.5">
      <c r="A1202" s="3" t="s">
        <v>1811</v>
      </c>
      <c r="B1202" s="3" t="s">
        <v>2081</v>
      </c>
      <c r="C1202" s="4">
        <v>264</v>
      </c>
      <c r="D1202" s="3" t="s">
        <v>632</v>
      </c>
      <c r="E1202" s="3" t="s">
        <v>8</v>
      </c>
      <c r="F1202" s="5">
        <v>15243.24</v>
      </c>
      <c r="G1202" s="5">
        <v>0</v>
      </c>
      <c r="H1202" s="5">
        <f t="shared" si="36"/>
        <v>-15243.24</v>
      </c>
      <c r="I1202" s="9">
        <f t="shared" si="37"/>
        <v>-1</v>
      </c>
      <c r="J1202" s="3" t="s">
        <v>4603</v>
      </c>
    </row>
    <row r="1203" spans="1:10" ht="25.5">
      <c r="A1203" s="3" t="s">
        <v>1811</v>
      </c>
      <c r="B1203" s="3" t="s">
        <v>2082</v>
      </c>
      <c r="C1203" s="4">
        <v>273</v>
      </c>
      <c r="D1203" s="3" t="s">
        <v>771</v>
      </c>
      <c r="E1203" s="3" t="s">
        <v>13</v>
      </c>
      <c r="F1203" s="5">
        <v>0</v>
      </c>
      <c r="G1203" s="5">
        <v>12943.2</v>
      </c>
      <c r="H1203" s="5">
        <f t="shared" si="36"/>
        <v>12943.2</v>
      </c>
      <c r="I1203" s="9">
        <f t="shared" si="37"/>
        <v>0</v>
      </c>
      <c r="J1203" s="3" t="s">
        <v>4603</v>
      </c>
    </row>
    <row r="1204" spans="1:10" ht="25.5">
      <c r="A1204" s="3" t="s">
        <v>1811</v>
      </c>
      <c r="B1204" s="3" t="s">
        <v>2083</v>
      </c>
      <c r="C1204" s="4">
        <v>218</v>
      </c>
      <c r="D1204" s="3" t="s">
        <v>155</v>
      </c>
      <c r="E1204" s="3" t="s">
        <v>13</v>
      </c>
      <c r="F1204" s="5">
        <v>0</v>
      </c>
      <c r="G1204" s="5">
        <v>3675.24</v>
      </c>
      <c r="H1204" s="5">
        <f t="shared" si="36"/>
        <v>3675.24</v>
      </c>
      <c r="I1204" s="9">
        <f t="shared" si="37"/>
        <v>0</v>
      </c>
      <c r="J1204" s="3" t="s">
        <v>4603</v>
      </c>
    </row>
    <row r="1205" spans="1:10" ht="25.5">
      <c r="A1205" s="3" t="s">
        <v>1811</v>
      </c>
      <c r="B1205" s="3" t="s">
        <v>2084</v>
      </c>
      <c r="C1205" s="4">
        <v>218</v>
      </c>
      <c r="D1205" s="3" t="s">
        <v>155</v>
      </c>
      <c r="E1205" s="3" t="s">
        <v>13</v>
      </c>
      <c r="F1205" s="5">
        <v>7990.56</v>
      </c>
      <c r="G1205" s="5">
        <v>12051.06</v>
      </c>
      <c r="H1205" s="5">
        <f t="shared" si="36"/>
        <v>4060.4999999999991</v>
      </c>
      <c r="I1205" s="9">
        <f t="shared" si="37"/>
        <v>0.50816213131495158</v>
      </c>
      <c r="J1205" s="3" t="s">
        <v>4603</v>
      </c>
    </row>
    <row r="1206" spans="1:10" ht="25.5">
      <c r="A1206" s="3" t="s">
        <v>1811</v>
      </c>
      <c r="B1206" s="3" t="s">
        <v>2085</v>
      </c>
      <c r="C1206" s="4">
        <v>194</v>
      </c>
      <c r="D1206" s="3" t="s">
        <v>179</v>
      </c>
      <c r="E1206" s="3" t="s">
        <v>13</v>
      </c>
      <c r="F1206" s="5">
        <v>15717.36</v>
      </c>
      <c r="G1206" s="5">
        <v>10909.44</v>
      </c>
      <c r="H1206" s="5">
        <f t="shared" si="36"/>
        <v>-4807.92</v>
      </c>
      <c r="I1206" s="9">
        <f t="shared" si="37"/>
        <v>-0.30589870054512969</v>
      </c>
      <c r="J1206" s="3" t="s">
        <v>4603</v>
      </c>
    </row>
    <row r="1207" spans="1:10" ht="25.5">
      <c r="A1207" s="3" t="s">
        <v>1811</v>
      </c>
      <c r="B1207" s="3" t="s">
        <v>2086</v>
      </c>
      <c r="C1207" s="4">
        <v>218</v>
      </c>
      <c r="D1207" s="3" t="s">
        <v>155</v>
      </c>
      <c r="E1207" s="3" t="s">
        <v>13</v>
      </c>
      <c r="F1207" s="5">
        <v>3791.28</v>
      </c>
      <c r="G1207" s="5">
        <v>5219.5200000000004</v>
      </c>
      <c r="H1207" s="5">
        <f t="shared" si="36"/>
        <v>1428.2400000000002</v>
      </c>
      <c r="I1207" s="9">
        <f t="shared" si="37"/>
        <v>0.37671709818319932</v>
      </c>
      <c r="J1207" s="3" t="s">
        <v>4603</v>
      </c>
    </row>
    <row r="1208" spans="1:10" ht="25.5">
      <c r="A1208" s="3" t="s">
        <v>1811</v>
      </c>
      <c r="B1208" s="3" t="s">
        <v>2087</v>
      </c>
      <c r="C1208" s="4">
        <v>93</v>
      </c>
      <c r="D1208" s="3" t="s">
        <v>42</v>
      </c>
      <c r="E1208" s="3" t="s">
        <v>8</v>
      </c>
      <c r="F1208" s="5">
        <v>20490.939999999999</v>
      </c>
      <c r="G1208" s="5">
        <v>16381.5</v>
      </c>
      <c r="H1208" s="5">
        <f t="shared" si="36"/>
        <v>-4109.4399999999987</v>
      </c>
      <c r="I1208" s="9">
        <f t="shared" si="37"/>
        <v>-0.20054912073335818</v>
      </c>
      <c r="J1208" s="3" t="s">
        <v>4603</v>
      </c>
    </row>
    <row r="1209" spans="1:10" ht="25.5">
      <c r="A1209" s="3" t="s">
        <v>1811</v>
      </c>
      <c r="B1209" s="3" t="s">
        <v>2088</v>
      </c>
      <c r="C1209" s="4">
        <v>93</v>
      </c>
      <c r="D1209" s="3" t="s">
        <v>42</v>
      </c>
      <c r="E1209" s="3" t="s">
        <v>8</v>
      </c>
      <c r="F1209" s="5">
        <v>4300.5</v>
      </c>
      <c r="G1209" s="5">
        <v>0</v>
      </c>
      <c r="H1209" s="5">
        <f t="shared" si="36"/>
        <v>-4300.5</v>
      </c>
      <c r="I1209" s="9">
        <f t="shared" si="37"/>
        <v>-1</v>
      </c>
      <c r="J1209" s="3" t="s">
        <v>4603</v>
      </c>
    </row>
    <row r="1210" spans="1:10" ht="38.25">
      <c r="A1210" s="3" t="s">
        <v>1811</v>
      </c>
      <c r="B1210" s="3" t="s">
        <v>2089</v>
      </c>
      <c r="C1210" s="4">
        <v>34</v>
      </c>
      <c r="D1210" s="3" t="s">
        <v>136</v>
      </c>
      <c r="E1210" s="3" t="s">
        <v>30</v>
      </c>
      <c r="F1210" s="5">
        <v>0</v>
      </c>
      <c r="G1210" s="5">
        <v>9644.64</v>
      </c>
      <c r="H1210" s="5">
        <f t="shared" si="36"/>
        <v>9644.64</v>
      </c>
      <c r="I1210" s="9">
        <f t="shared" si="37"/>
        <v>0</v>
      </c>
      <c r="J1210" s="3" t="s">
        <v>4604</v>
      </c>
    </row>
    <row r="1211" spans="1:10" ht="38.25">
      <c r="A1211" s="3" t="s">
        <v>1811</v>
      </c>
      <c r="B1211" s="3" t="s">
        <v>2090</v>
      </c>
      <c r="C1211" s="4">
        <v>371</v>
      </c>
      <c r="D1211" s="3" t="s">
        <v>29</v>
      </c>
      <c r="E1211" s="3" t="s">
        <v>30</v>
      </c>
      <c r="F1211" s="5">
        <v>2375.46</v>
      </c>
      <c r="G1211" s="5">
        <v>0</v>
      </c>
      <c r="H1211" s="5">
        <f t="shared" si="36"/>
        <v>-2375.46</v>
      </c>
      <c r="I1211" s="9">
        <f t="shared" si="37"/>
        <v>-1</v>
      </c>
      <c r="J1211" s="3" t="s">
        <v>4603</v>
      </c>
    </row>
    <row r="1212" spans="1:10">
      <c r="A1212" s="3" t="s">
        <v>1811</v>
      </c>
      <c r="B1212" s="3" t="s">
        <v>2091</v>
      </c>
      <c r="C1212" s="4">
        <v>232</v>
      </c>
      <c r="D1212" s="3" t="s">
        <v>95</v>
      </c>
      <c r="E1212" s="3" t="s">
        <v>13</v>
      </c>
      <c r="F1212" s="5">
        <v>0</v>
      </c>
      <c r="G1212" s="5">
        <v>4237.2</v>
      </c>
      <c r="H1212" s="5">
        <f t="shared" si="36"/>
        <v>4237.2</v>
      </c>
      <c r="I1212" s="9">
        <f t="shared" si="37"/>
        <v>0</v>
      </c>
      <c r="J1212" s="3" t="s">
        <v>4603</v>
      </c>
    </row>
    <row r="1213" spans="1:10" ht="25.5">
      <c r="A1213" s="3" t="s">
        <v>1811</v>
      </c>
      <c r="B1213" s="3" t="s">
        <v>2092</v>
      </c>
      <c r="C1213" s="4">
        <v>197</v>
      </c>
      <c r="D1213" s="3" t="s">
        <v>23</v>
      </c>
      <c r="E1213" s="3" t="s">
        <v>22</v>
      </c>
      <c r="F1213" s="5">
        <v>2567.64</v>
      </c>
      <c r="G1213" s="5">
        <v>0</v>
      </c>
      <c r="H1213" s="5">
        <f t="shared" si="36"/>
        <v>-2567.64</v>
      </c>
      <c r="I1213" s="9">
        <f t="shared" si="37"/>
        <v>-1</v>
      </c>
      <c r="J1213" s="3" t="s">
        <v>4603</v>
      </c>
    </row>
    <row r="1214" spans="1:10" ht="25.5">
      <c r="A1214" s="3" t="s">
        <v>1811</v>
      </c>
      <c r="B1214" s="3" t="s">
        <v>2093</v>
      </c>
      <c r="C1214" s="4">
        <v>335</v>
      </c>
      <c r="D1214" s="3" t="s">
        <v>7</v>
      </c>
      <c r="E1214" s="3" t="s">
        <v>8</v>
      </c>
      <c r="F1214" s="5">
        <v>0</v>
      </c>
      <c r="G1214" s="5">
        <v>20134.439999999999</v>
      </c>
      <c r="H1214" s="5">
        <f t="shared" si="36"/>
        <v>20134.439999999999</v>
      </c>
      <c r="I1214" s="9">
        <f t="shared" si="37"/>
        <v>0</v>
      </c>
      <c r="J1214" s="3" t="s">
        <v>4603</v>
      </c>
    </row>
    <row r="1215" spans="1:10" ht="38.25">
      <c r="A1215" s="3" t="s">
        <v>1811</v>
      </c>
      <c r="B1215" s="3" t="s">
        <v>2094</v>
      </c>
      <c r="C1215" s="4">
        <v>371</v>
      </c>
      <c r="D1215" s="3" t="s">
        <v>29</v>
      </c>
      <c r="E1215" s="3" t="s">
        <v>30</v>
      </c>
      <c r="F1215" s="5">
        <v>2639.4</v>
      </c>
      <c r="G1215" s="5">
        <v>0</v>
      </c>
      <c r="H1215" s="5">
        <f t="shared" si="36"/>
        <v>-2639.4</v>
      </c>
      <c r="I1215" s="9">
        <f t="shared" si="37"/>
        <v>-1</v>
      </c>
      <c r="J1215" s="3" t="s">
        <v>4603</v>
      </c>
    </row>
    <row r="1216" spans="1:10" ht="25.5">
      <c r="A1216" s="3" t="s">
        <v>1811</v>
      </c>
      <c r="B1216" s="3" t="s">
        <v>2095</v>
      </c>
      <c r="C1216" s="4">
        <v>317</v>
      </c>
      <c r="D1216" s="3" t="s">
        <v>54</v>
      </c>
      <c r="E1216" s="3" t="s">
        <v>18</v>
      </c>
      <c r="F1216" s="5">
        <v>13170.72</v>
      </c>
      <c r="G1216" s="5">
        <v>0</v>
      </c>
      <c r="H1216" s="5">
        <f t="shared" si="36"/>
        <v>-13170.72</v>
      </c>
      <c r="I1216" s="9">
        <f t="shared" si="37"/>
        <v>-1</v>
      </c>
      <c r="J1216" s="3" t="s">
        <v>4603</v>
      </c>
    </row>
    <row r="1217" spans="1:10" ht="38.25">
      <c r="A1217" s="3" t="s">
        <v>1811</v>
      </c>
      <c r="B1217" s="3" t="s">
        <v>2096</v>
      </c>
      <c r="C1217" s="4">
        <v>371</v>
      </c>
      <c r="D1217" s="3" t="s">
        <v>29</v>
      </c>
      <c r="E1217" s="3" t="s">
        <v>30</v>
      </c>
      <c r="F1217" s="5">
        <v>5632.5</v>
      </c>
      <c r="G1217" s="5">
        <v>0</v>
      </c>
      <c r="H1217" s="5">
        <f t="shared" si="36"/>
        <v>-5632.5</v>
      </c>
      <c r="I1217" s="9">
        <f t="shared" si="37"/>
        <v>-1</v>
      </c>
      <c r="J1217" s="3" t="s">
        <v>4603</v>
      </c>
    </row>
    <row r="1218" spans="1:10" ht="25.5">
      <c r="A1218" s="3" t="s">
        <v>1811</v>
      </c>
      <c r="B1218" s="3" t="s">
        <v>2097</v>
      </c>
      <c r="C1218" s="4">
        <v>297</v>
      </c>
      <c r="D1218" s="3" t="s">
        <v>209</v>
      </c>
      <c r="E1218" s="3" t="s">
        <v>22</v>
      </c>
      <c r="F1218" s="5">
        <v>25400.07</v>
      </c>
      <c r="G1218" s="5">
        <v>13589.38</v>
      </c>
      <c r="H1218" s="5">
        <f t="shared" si="36"/>
        <v>-11810.69</v>
      </c>
      <c r="I1218" s="9">
        <f t="shared" si="37"/>
        <v>-0.4649865138166942</v>
      </c>
      <c r="J1218" s="3" t="s">
        <v>4603</v>
      </c>
    </row>
    <row r="1219" spans="1:10" ht="38.25">
      <c r="A1219" s="3" t="s">
        <v>1811</v>
      </c>
      <c r="B1219" s="3" t="s">
        <v>2098</v>
      </c>
      <c r="C1219" s="4">
        <v>371</v>
      </c>
      <c r="D1219" s="3" t="s">
        <v>29</v>
      </c>
      <c r="E1219" s="3" t="s">
        <v>30</v>
      </c>
      <c r="F1219" s="5">
        <v>0</v>
      </c>
      <c r="G1219" s="5">
        <v>5262.72</v>
      </c>
      <c r="H1219" s="5">
        <f t="shared" ref="H1219:H1282" si="38">G1219-F1219</f>
        <v>5262.72</v>
      </c>
      <c r="I1219" s="9">
        <f t="shared" ref="I1219:I1282" si="39">IFERROR(G1219/F1219-1,0)</f>
        <v>0</v>
      </c>
      <c r="J1219" s="3" t="s">
        <v>4603</v>
      </c>
    </row>
    <row r="1220" spans="1:10">
      <c r="A1220" s="3" t="s">
        <v>1811</v>
      </c>
      <c r="B1220" s="3" t="s">
        <v>2099</v>
      </c>
      <c r="C1220" s="4">
        <v>315</v>
      </c>
      <c r="D1220" s="3" t="s">
        <v>79</v>
      </c>
      <c r="E1220" s="3" t="s">
        <v>8</v>
      </c>
      <c r="F1220" s="5">
        <v>10569.48</v>
      </c>
      <c r="G1220" s="5">
        <v>20387.089</v>
      </c>
      <c r="H1220" s="5">
        <f t="shared" si="38"/>
        <v>9817.6090000000004</v>
      </c>
      <c r="I1220" s="9">
        <f t="shared" si="39"/>
        <v>0.92886395546422351</v>
      </c>
      <c r="J1220" s="3" t="s">
        <v>4603</v>
      </c>
    </row>
    <row r="1221" spans="1:10" ht="25.5">
      <c r="A1221" s="3" t="s">
        <v>1811</v>
      </c>
      <c r="B1221" s="3" t="s">
        <v>2100</v>
      </c>
      <c r="C1221" s="4">
        <v>261</v>
      </c>
      <c r="D1221" s="3" t="s">
        <v>17</v>
      </c>
      <c r="E1221" s="3" t="s">
        <v>18</v>
      </c>
      <c r="F1221" s="5">
        <v>6778.92</v>
      </c>
      <c r="G1221" s="5">
        <v>5781.48</v>
      </c>
      <c r="H1221" s="5">
        <f t="shared" si="38"/>
        <v>-997.44000000000051</v>
      </c>
      <c r="I1221" s="9">
        <f t="shared" si="39"/>
        <v>-0.14713848223610848</v>
      </c>
      <c r="J1221" s="3" t="s">
        <v>4603</v>
      </c>
    </row>
    <row r="1222" spans="1:10" ht="38.25">
      <c r="A1222" s="3" t="s">
        <v>1811</v>
      </c>
      <c r="B1222" s="3" t="s">
        <v>2101</v>
      </c>
      <c r="C1222" s="4">
        <v>38</v>
      </c>
      <c r="D1222" s="3" t="s">
        <v>229</v>
      </c>
      <c r="E1222" s="3" t="s">
        <v>30</v>
      </c>
      <c r="F1222" s="5">
        <v>0</v>
      </c>
      <c r="G1222" s="5">
        <v>3201.24</v>
      </c>
      <c r="H1222" s="5">
        <f t="shared" si="38"/>
        <v>3201.24</v>
      </c>
      <c r="I1222" s="9">
        <f t="shared" si="39"/>
        <v>0</v>
      </c>
      <c r="J1222" s="3" t="s">
        <v>4603</v>
      </c>
    </row>
    <row r="1223" spans="1:10" ht="38.25">
      <c r="A1223" s="3" t="s">
        <v>1811</v>
      </c>
      <c r="B1223" s="3" t="s">
        <v>2102</v>
      </c>
      <c r="C1223" s="4">
        <v>45</v>
      </c>
      <c r="D1223" s="3" t="s">
        <v>16</v>
      </c>
      <c r="E1223" s="3" t="s">
        <v>8</v>
      </c>
      <c r="F1223" s="5">
        <v>3671.52</v>
      </c>
      <c r="G1223" s="5">
        <v>0</v>
      </c>
      <c r="H1223" s="5">
        <f t="shared" si="38"/>
        <v>-3671.52</v>
      </c>
      <c r="I1223" s="9">
        <f t="shared" si="39"/>
        <v>-1</v>
      </c>
      <c r="J1223" s="3" t="s">
        <v>4603</v>
      </c>
    </row>
    <row r="1224" spans="1:10" ht="25.5">
      <c r="A1224" s="3" t="s">
        <v>1811</v>
      </c>
      <c r="B1224" s="3" t="s">
        <v>2103</v>
      </c>
      <c r="C1224" s="4">
        <v>335</v>
      </c>
      <c r="D1224" s="3" t="s">
        <v>7</v>
      </c>
      <c r="E1224" s="3" t="s">
        <v>8</v>
      </c>
      <c r="F1224" s="5">
        <v>0</v>
      </c>
      <c r="G1224" s="5">
        <v>2058.7199999999998</v>
      </c>
      <c r="H1224" s="5">
        <f t="shared" si="38"/>
        <v>2058.7199999999998</v>
      </c>
      <c r="I1224" s="9">
        <f t="shared" si="39"/>
        <v>0</v>
      </c>
      <c r="J1224" s="3" t="s">
        <v>4603</v>
      </c>
    </row>
    <row r="1225" spans="1:10" ht="25.5">
      <c r="A1225" s="3" t="s">
        <v>1811</v>
      </c>
      <c r="B1225" s="3" t="s">
        <v>2104</v>
      </c>
      <c r="C1225" s="4">
        <v>197</v>
      </c>
      <c r="D1225" s="3" t="s">
        <v>23</v>
      </c>
      <c r="E1225" s="3" t="s">
        <v>22</v>
      </c>
      <c r="F1225" s="5">
        <v>5594.01</v>
      </c>
      <c r="G1225" s="5">
        <v>0</v>
      </c>
      <c r="H1225" s="5">
        <f t="shared" si="38"/>
        <v>-5594.01</v>
      </c>
      <c r="I1225" s="9">
        <f t="shared" si="39"/>
        <v>-1</v>
      </c>
      <c r="J1225" s="3" t="s">
        <v>4603</v>
      </c>
    </row>
    <row r="1226" spans="1:10" ht="25.5">
      <c r="A1226" s="3" t="s">
        <v>1811</v>
      </c>
      <c r="B1226" s="3" t="s">
        <v>2105</v>
      </c>
      <c r="C1226" s="4">
        <v>187</v>
      </c>
      <c r="D1226" s="3" t="s">
        <v>460</v>
      </c>
      <c r="E1226" s="3" t="s">
        <v>8</v>
      </c>
      <c r="F1226" s="5">
        <v>30223.5</v>
      </c>
      <c r="G1226" s="5">
        <v>29245.439999999999</v>
      </c>
      <c r="H1226" s="5">
        <f t="shared" si="38"/>
        <v>-978.06000000000131</v>
      </c>
      <c r="I1226" s="9">
        <f t="shared" si="39"/>
        <v>-3.2360911211474552E-2</v>
      </c>
      <c r="J1226" s="3" t="s">
        <v>4603</v>
      </c>
    </row>
    <row r="1227" spans="1:10" ht="25.5">
      <c r="A1227" s="3" t="s">
        <v>1811</v>
      </c>
      <c r="B1227" s="3" t="s">
        <v>2106</v>
      </c>
      <c r="C1227" s="4">
        <v>321</v>
      </c>
      <c r="D1227" s="3" t="s">
        <v>125</v>
      </c>
      <c r="E1227" s="3" t="s">
        <v>22</v>
      </c>
      <c r="F1227" s="5">
        <v>0</v>
      </c>
      <c r="G1227" s="5">
        <v>7281.36</v>
      </c>
      <c r="H1227" s="5">
        <f t="shared" si="38"/>
        <v>7281.36</v>
      </c>
      <c r="I1227" s="9">
        <f t="shared" si="39"/>
        <v>0</v>
      </c>
      <c r="J1227" s="3" t="s">
        <v>4603</v>
      </c>
    </row>
    <row r="1228" spans="1:10" ht="25.5">
      <c r="A1228" s="3" t="s">
        <v>1811</v>
      </c>
      <c r="B1228" s="3" t="s">
        <v>2107</v>
      </c>
      <c r="C1228" s="4">
        <v>61</v>
      </c>
      <c r="D1228" s="3" t="s">
        <v>114</v>
      </c>
      <c r="E1228" s="3" t="s">
        <v>30</v>
      </c>
      <c r="F1228" s="5">
        <v>0</v>
      </c>
      <c r="G1228" s="5">
        <v>10086.75</v>
      </c>
      <c r="H1228" s="5">
        <f t="shared" si="38"/>
        <v>10086.75</v>
      </c>
      <c r="I1228" s="9">
        <f t="shared" si="39"/>
        <v>0</v>
      </c>
      <c r="J1228" s="3" t="s">
        <v>4603</v>
      </c>
    </row>
    <row r="1229" spans="1:10" ht="25.5">
      <c r="A1229" s="3" t="s">
        <v>1811</v>
      </c>
      <c r="B1229" s="3" t="s">
        <v>2108</v>
      </c>
      <c r="C1229" s="4">
        <v>273</v>
      </c>
      <c r="D1229" s="3" t="s">
        <v>771</v>
      </c>
      <c r="E1229" s="3" t="s">
        <v>13</v>
      </c>
      <c r="F1229" s="5">
        <v>0</v>
      </c>
      <c r="G1229" s="5">
        <v>2988.27</v>
      </c>
      <c r="H1229" s="5">
        <f t="shared" si="38"/>
        <v>2988.27</v>
      </c>
      <c r="I1229" s="9">
        <f t="shared" si="39"/>
        <v>0</v>
      </c>
      <c r="J1229" s="3" t="s">
        <v>4604</v>
      </c>
    </row>
    <row r="1230" spans="1:10" ht="25.5">
      <c r="A1230" s="3" t="s">
        <v>1811</v>
      </c>
      <c r="B1230" s="3" t="s">
        <v>2109</v>
      </c>
      <c r="C1230" s="4">
        <v>327</v>
      </c>
      <c r="D1230" s="3" t="s">
        <v>76</v>
      </c>
      <c r="E1230" s="3" t="s">
        <v>8</v>
      </c>
      <c r="F1230" s="5">
        <v>0</v>
      </c>
      <c r="G1230" s="5">
        <v>7641.48</v>
      </c>
      <c r="H1230" s="5">
        <f t="shared" si="38"/>
        <v>7641.48</v>
      </c>
      <c r="I1230" s="9">
        <f t="shared" si="39"/>
        <v>0</v>
      </c>
      <c r="J1230" s="3" t="s">
        <v>4603</v>
      </c>
    </row>
    <row r="1231" spans="1:10" ht="25.5">
      <c r="A1231" s="3" t="s">
        <v>1811</v>
      </c>
      <c r="B1231" s="3" t="s">
        <v>2110</v>
      </c>
      <c r="C1231" s="4">
        <v>187</v>
      </c>
      <c r="D1231" s="3" t="s">
        <v>460</v>
      </c>
      <c r="E1231" s="3" t="s">
        <v>8</v>
      </c>
      <c r="F1231" s="5">
        <v>22097.64</v>
      </c>
      <c r="G1231" s="5">
        <v>26748.93</v>
      </c>
      <c r="H1231" s="5">
        <f t="shared" si="38"/>
        <v>4651.2900000000009</v>
      </c>
      <c r="I1231" s="9">
        <f t="shared" si="39"/>
        <v>0.21048808832074384</v>
      </c>
      <c r="J1231" s="3" t="s">
        <v>4603</v>
      </c>
    </row>
    <row r="1232" spans="1:10" ht="25.5">
      <c r="A1232" s="3" t="s">
        <v>1811</v>
      </c>
      <c r="B1232" s="3" t="s">
        <v>2111</v>
      </c>
      <c r="C1232" s="4">
        <v>93</v>
      </c>
      <c r="D1232" s="3" t="s">
        <v>42</v>
      </c>
      <c r="E1232" s="3" t="s">
        <v>8</v>
      </c>
      <c r="F1232" s="5">
        <v>5777.1</v>
      </c>
      <c r="G1232" s="5">
        <v>0</v>
      </c>
      <c r="H1232" s="5">
        <f t="shared" si="38"/>
        <v>-5777.1</v>
      </c>
      <c r="I1232" s="9">
        <f t="shared" si="39"/>
        <v>-1</v>
      </c>
      <c r="J1232" s="3" t="s">
        <v>4603</v>
      </c>
    </row>
    <row r="1233" spans="1:10" ht="25.5">
      <c r="A1233" s="3" t="s">
        <v>1811</v>
      </c>
      <c r="B1233" s="3" t="s">
        <v>2112</v>
      </c>
      <c r="C1233" s="4">
        <v>23</v>
      </c>
      <c r="D1233" s="3" t="s">
        <v>71</v>
      </c>
      <c r="E1233" s="3" t="s">
        <v>8</v>
      </c>
      <c r="F1233" s="5">
        <v>24999.08</v>
      </c>
      <c r="G1233" s="5">
        <v>0</v>
      </c>
      <c r="H1233" s="5">
        <f t="shared" si="38"/>
        <v>-24999.08</v>
      </c>
      <c r="I1233" s="9">
        <f t="shared" si="39"/>
        <v>-1</v>
      </c>
      <c r="J1233" s="3" t="s">
        <v>4603</v>
      </c>
    </row>
    <row r="1234" spans="1:10" ht="25.5">
      <c r="A1234" s="3" t="s">
        <v>1811</v>
      </c>
      <c r="B1234" s="3" t="s">
        <v>2113</v>
      </c>
      <c r="C1234" s="4">
        <v>194</v>
      </c>
      <c r="D1234" s="3" t="s">
        <v>179</v>
      </c>
      <c r="E1234" s="3" t="s">
        <v>13</v>
      </c>
      <c r="F1234" s="5">
        <v>0</v>
      </c>
      <c r="G1234" s="5">
        <v>3447</v>
      </c>
      <c r="H1234" s="5">
        <f t="shared" si="38"/>
        <v>3447</v>
      </c>
      <c r="I1234" s="9">
        <f t="shared" si="39"/>
        <v>0</v>
      </c>
      <c r="J1234" s="3" t="s">
        <v>4603</v>
      </c>
    </row>
    <row r="1235" spans="1:10">
      <c r="A1235" s="3" t="s">
        <v>1811</v>
      </c>
      <c r="B1235" s="3" t="s">
        <v>2114</v>
      </c>
      <c r="C1235" s="4">
        <v>315</v>
      </c>
      <c r="D1235" s="3" t="s">
        <v>79</v>
      </c>
      <c r="E1235" s="3" t="s">
        <v>8</v>
      </c>
      <c r="F1235" s="5">
        <v>7669.92</v>
      </c>
      <c r="G1235" s="5">
        <v>0</v>
      </c>
      <c r="H1235" s="5">
        <f t="shared" si="38"/>
        <v>-7669.92</v>
      </c>
      <c r="I1235" s="9">
        <f t="shared" si="39"/>
        <v>-1</v>
      </c>
      <c r="J1235" s="3" t="s">
        <v>4603</v>
      </c>
    </row>
    <row r="1236" spans="1:10" ht="25.5">
      <c r="A1236" s="3" t="s">
        <v>1811</v>
      </c>
      <c r="B1236" s="3" t="s">
        <v>2115</v>
      </c>
      <c r="C1236" s="4">
        <v>299</v>
      </c>
      <c r="D1236" s="3" t="s">
        <v>246</v>
      </c>
      <c r="E1236" s="3" t="s">
        <v>30</v>
      </c>
      <c r="F1236" s="5">
        <v>2937.36</v>
      </c>
      <c r="G1236" s="5">
        <v>1636.32</v>
      </c>
      <c r="H1236" s="5">
        <f t="shared" si="38"/>
        <v>-1301.0400000000002</v>
      </c>
      <c r="I1236" s="9">
        <f t="shared" si="39"/>
        <v>-0.44292834381893953</v>
      </c>
      <c r="J1236" s="3" t="s">
        <v>4603</v>
      </c>
    </row>
    <row r="1237" spans="1:10" ht="25.5">
      <c r="A1237" s="3" t="s">
        <v>1811</v>
      </c>
      <c r="B1237" s="3" t="s">
        <v>2116</v>
      </c>
      <c r="C1237" s="4">
        <v>317</v>
      </c>
      <c r="D1237" s="3" t="s">
        <v>54</v>
      </c>
      <c r="E1237" s="3" t="s">
        <v>18</v>
      </c>
      <c r="F1237" s="5">
        <v>0</v>
      </c>
      <c r="G1237" s="5">
        <v>10553.4</v>
      </c>
      <c r="H1237" s="5">
        <f t="shared" si="38"/>
        <v>10553.4</v>
      </c>
      <c r="I1237" s="9">
        <f t="shared" si="39"/>
        <v>0</v>
      </c>
      <c r="J1237" s="3" t="s">
        <v>4603</v>
      </c>
    </row>
    <row r="1238" spans="1:10" ht="25.5">
      <c r="A1238" s="3" t="s">
        <v>1811</v>
      </c>
      <c r="B1238" s="3" t="s">
        <v>2117</v>
      </c>
      <c r="C1238" s="4">
        <v>167</v>
      </c>
      <c r="D1238" s="3" t="s">
        <v>335</v>
      </c>
      <c r="E1238" s="3" t="s">
        <v>30</v>
      </c>
      <c r="F1238" s="5">
        <v>11443.11</v>
      </c>
      <c r="G1238" s="5">
        <v>12762.84</v>
      </c>
      <c r="H1238" s="5">
        <f t="shared" si="38"/>
        <v>1319.7299999999996</v>
      </c>
      <c r="I1238" s="9">
        <f t="shared" si="39"/>
        <v>0.11532966125467636</v>
      </c>
      <c r="J1238" s="3" t="s">
        <v>4603</v>
      </c>
    </row>
    <row r="1239" spans="1:10" ht="51">
      <c r="A1239" s="3" t="s">
        <v>1811</v>
      </c>
      <c r="B1239" s="3" t="s">
        <v>2118</v>
      </c>
      <c r="C1239" s="4">
        <v>282</v>
      </c>
      <c r="D1239" s="3" t="s">
        <v>298</v>
      </c>
      <c r="E1239" s="3" t="s">
        <v>9</v>
      </c>
      <c r="F1239" s="5">
        <v>18019.439999999999</v>
      </c>
      <c r="G1239" s="5">
        <v>0</v>
      </c>
      <c r="H1239" s="5">
        <f t="shared" si="38"/>
        <v>-18019.439999999999</v>
      </c>
      <c r="I1239" s="9">
        <f t="shared" si="39"/>
        <v>-1</v>
      </c>
      <c r="J1239" s="3" t="s">
        <v>4603</v>
      </c>
    </row>
    <row r="1240" spans="1:10" ht="38.25">
      <c r="A1240" s="3" t="s">
        <v>1811</v>
      </c>
      <c r="B1240" s="3" t="s">
        <v>2119</v>
      </c>
      <c r="C1240" s="4">
        <v>38</v>
      </c>
      <c r="D1240" s="3" t="s">
        <v>229</v>
      </c>
      <c r="E1240" s="3" t="s">
        <v>30</v>
      </c>
      <c r="F1240" s="5">
        <v>11992.86</v>
      </c>
      <c r="G1240" s="5">
        <v>16457.939999999999</v>
      </c>
      <c r="H1240" s="5">
        <f t="shared" si="38"/>
        <v>4465.0799999999981</v>
      </c>
      <c r="I1240" s="9">
        <f t="shared" si="39"/>
        <v>0.37231152535758749</v>
      </c>
      <c r="J1240" s="3" t="s">
        <v>4603</v>
      </c>
    </row>
    <row r="1241" spans="1:10" ht="25.5">
      <c r="A1241" s="3" t="s">
        <v>1811</v>
      </c>
      <c r="B1241" s="3" t="s">
        <v>2120</v>
      </c>
      <c r="C1241" s="4">
        <v>270</v>
      </c>
      <c r="D1241" s="3" t="s">
        <v>312</v>
      </c>
      <c r="E1241" s="3" t="s">
        <v>30</v>
      </c>
      <c r="F1241" s="5">
        <v>7894.68</v>
      </c>
      <c r="G1241" s="5">
        <v>6544.92</v>
      </c>
      <c r="H1241" s="5">
        <f t="shared" si="38"/>
        <v>-1349.7600000000002</v>
      </c>
      <c r="I1241" s="9">
        <f t="shared" si="39"/>
        <v>-0.17097083098998311</v>
      </c>
      <c r="J1241" s="3" t="s">
        <v>4603</v>
      </c>
    </row>
    <row r="1242" spans="1:10" ht="25.5">
      <c r="A1242" s="3" t="s">
        <v>1811</v>
      </c>
      <c r="B1242" s="3" t="s">
        <v>2121</v>
      </c>
      <c r="C1242" s="4">
        <v>218</v>
      </c>
      <c r="D1242" s="3" t="s">
        <v>155</v>
      </c>
      <c r="E1242" s="3" t="s">
        <v>13</v>
      </c>
      <c r="F1242" s="5">
        <v>3167.28</v>
      </c>
      <c r="G1242" s="5">
        <v>0</v>
      </c>
      <c r="H1242" s="5">
        <f t="shared" si="38"/>
        <v>-3167.28</v>
      </c>
      <c r="I1242" s="9">
        <f t="shared" si="39"/>
        <v>-1</v>
      </c>
      <c r="J1242" s="3" t="s">
        <v>4603</v>
      </c>
    </row>
    <row r="1243" spans="1:10" ht="25.5">
      <c r="A1243" s="3" t="s">
        <v>1811</v>
      </c>
      <c r="B1243" s="3" t="s">
        <v>2122</v>
      </c>
      <c r="C1243" s="4">
        <v>267</v>
      </c>
      <c r="D1243" s="3" t="s">
        <v>417</v>
      </c>
      <c r="E1243" s="3" t="s">
        <v>13</v>
      </c>
      <c r="F1243" s="5">
        <v>25428.36</v>
      </c>
      <c r="G1243" s="5">
        <v>0</v>
      </c>
      <c r="H1243" s="5">
        <f t="shared" si="38"/>
        <v>-25428.36</v>
      </c>
      <c r="I1243" s="9">
        <f t="shared" si="39"/>
        <v>-1</v>
      </c>
      <c r="J1243" s="3" t="s">
        <v>4603</v>
      </c>
    </row>
    <row r="1244" spans="1:10" ht="25.5">
      <c r="A1244" s="3" t="s">
        <v>1811</v>
      </c>
      <c r="B1244" s="3" t="s">
        <v>2123</v>
      </c>
      <c r="C1244" s="4">
        <v>218</v>
      </c>
      <c r="D1244" s="3" t="s">
        <v>155</v>
      </c>
      <c r="E1244" s="3" t="s">
        <v>13</v>
      </c>
      <c r="F1244" s="5">
        <v>6334.56</v>
      </c>
      <c r="G1244" s="5">
        <v>7056</v>
      </c>
      <c r="H1244" s="5">
        <f t="shared" si="38"/>
        <v>721.4399999999996</v>
      </c>
      <c r="I1244" s="9">
        <f t="shared" si="39"/>
        <v>0.11388952034553301</v>
      </c>
      <c r="J1244" s="3" t="s">
        <v>4603</v>
      </c>
    </row>
    <row r="1245" spans="1:10" ht="25.5">
      <c r="A1245" s="3" t="s">
        <v>1811</v>
      </c>
      <c r="B1245" s="3" t="s">
        <v>2124</v>
      </c>
      <c r="C1245" s="4">
        <v>218</v>
      </c>
      <c r="D1245" s="3" t="s">
        <v>155</v>
      </c>
      <c r="E1245" s="3" t="s">
        <v>13</v>
      </c>
      <c r="F1245" s="5">
        <v>3167.28</v>
      </c>
      <c r="G1245" s="5">
        <v>0</v>
      </c>
      <c r="H1245" s="5">
        <f t="shared" si="38"/>
        <v>-3167.28</v>
      </c>
      <c r="I1245" s="9">
        <f t="shared" si="39"/>
        <v>-1</v>
      </c>
      <c r="J1245" s="3" t="s">
        <v>4603</v>
      </c>
    </row>
    <row r="1246" spans="1:10" ht="25.5">
      <c r="A1246" s="3" t="s">
        <v>1811</v>
      </c>
      <c r="B1246" s="3" t="s">
        <v>2125</v>
      </c>
      <c r="C1246" s="4">
        <v>240</v>
      </c>
      <c r="D1246" s="3" t="s">
        <v>152</v>
      </c>
      <c r="E1246" s="3" t="s">
        <v>13</v>
      </c>
      <c r="F1246" s="5">
        <v>3500.04</v>
      </c>
      <c r="G1246" s="5">
        <v>0</v>
      </c>
      <c r="H1246" s="5">
        <f t="shared" si="38"/>
        <v>-3500.04</v>
      </c>
      <c r="I1246" s="9">
        <f t="shared" si="39"/>
        <v>-1</v>
      </c>
      <c r="J1246" s="3" t="s">
        <v>4603</v>
      </c>
    </row>
    <row r="1247" spans="1:10">
      <c r="A1247" s="3" t="s">
        <v>1811</v>
      </c>
      <c r="B1247" s="3" t="s">
        <v>2126</v>
      </c>
      <c r="C1247" s="4">
        <v>240</v>
      </c>
      <c r="D1247" s="3" t="s">
        <v>152</v>
      </c>
      <c r="E1247" s="3" t="s">
        <v>13</v>
      </c>
      <c r="F1247" s="5">
        <v>21195.96</v>
      </c>
      <c r="G1247" s="5">
        <v>13852.8</v>
      </c>
      <c r="H1247" s="5">
        <f t="shared" si="38"/>
        <v>-7343.16</v>
      </c>
      <c r="I1247" s="9">
        <f t="shared" si="39"/>
        <v>-0.3464414916804901</v>
      </c>
      <c r="J1247" s="3" t="s">
        <v>4603</v>
      </c>
    </row>
    <row r="1248" spans="1:10" ht="25.5">
      <c r="A1248" s="3" t="s">
        <v>1811</v>
      </c>
      <c r="B1248" s="3" t="s">
        <v>2127</v>
      </c>
      <c r="C1248" s="4">
        <v>19</v>
      </c>
      <c r="D1248" s="3" t="s">
        <v>53</v>
      </c>
      <c r="E1248" s="3" t="s">
        <v>22</v>
      </c>
      <c r="F1248" s="5">
        <v>16911.27</v>
      </c>
      <c r="G1248" s="5">
        <v>16669.919999999998</v>
      </c>
      <c r="H1248" s="5">
        <f t="shared" si="38"/>
        <v>-241.35000000000218</v>
      </c>
      <c r="I1248" s="9">
        <f t="shared" si="39"/>
        <v>-1.4271547908584203E-2</v>
      </c>
      <c r="J1248" s="3" t="s">
        <v>4603</v>
      </c>
    </row>
    <row r="1249" spans="1:10" ht="25.5">
      <c r="A1249" s="3" t="s">
        <v>1811</v>
      </c>
      <c r="B1249" s="3" t="s">
        <v>2128</v>
      </c>
      <c r="C1249" s="4">
        <v>197</v>
      </c>
      <c r="D1249" s="3" t="s">
        <v>23</v>
      </c>
      <c r="E1249" s="3" t="s">
        <v>22</v>
      </c>
      <c r="F1249" s="5">
        <v>6780.12</v>
      </c>
      <c r="G1249" s="5">
        <v>0</v>
      </c>
      <c r="H1249" s="5">
        <f t="shared" si="38"/>
        <v>-6780.12</v>
      </c>
      <c r="I1249" s="9">
        <f t="shared" si="39"/>
        <v>-1</v>
      </c>
      <c r="J1249" s="3" t="s">
        <v>4604</v>
      </c>
    </row>
    <row r="1250" spans="1:10">
      <c r="A1250" s="3" t="s">
        <v>1811</v>
      </c>
      <c r="B1250" s="3" t="s">
        <v>2129</v>
      </c>
      <c r="C1250" s="4">
        <v>217</v>
      </c>
      <c r="D1250" s="3" t="s">
        <v>253</v>
      </c>
      <c r="E1250" s="3" t="s">
        <v>13</v>
      </c>
      <c r="F1250" s="5">
        <v>9415.7999999999993</v>
      </c>
      <c r="G1250" s="5">
        <v>0</v>
      </c>
      <c r="H1250" s="5">
        <f t="shared" si="38"/>
        <v>-9415.7999999999993</v>
      </c>
      <c r="I1250" s="9">
        <f t="shared" si="39"/>
        <v>-1</v>
      </c>
      <c r="J1250" s="3" t="s">
        <v>4604</v>
      </c>
    </row>
    <row r="1251" spans="1:10" ht="38.25">
      <c r="A1251" s="3" t="s">
        <v>1811</v>
      </c>
      <c r="B1251" s="3" t="s">
        <v>2130</v>
      </c>
      <c r="C1251" s="4">
        <v>335</v>
      </c>
      <c r="D1251" s="3" t="s">
        <v>7</v>
      </c>
      <c r="E1251" s="3" t="s">
        <v>8</v>
      </c>
      <c r="F1251" s="5">
        <v>0</v>
      </c>
      <c r="G1251" s="5">
        <v>5181.4799999999996</v>
      </c>
      <c r="H1251" s="5">
        <f t="shared" si="38"/>
        <v>5181.4799999999996</v>
      </c>
      <c r="I1251" s="9">
        <f t="shared" si="39"/>
        <v>0</v>
      </c>
      <c r="J1251" s="3" t="s">
        <v>4603</v>
      </c>
    </row>
    <row r="1252" spans="1:10" ht="25.5">
      <c r="A1252" s="3" t="s">
        <v>1811</v>
      </c>
      <c r="B1252" s="3" t="s">
        <v>2131</v>
      </c>
      <c r="C1252" s="4">
        <v>194</v>
      </c>
      <c r="D1252" s="3" t="s">
        <v>179</v>
      </c>
      <c r="E1252" s="3" t="s">
        <v>13</v>
      </c>
      <c r="F1252" s="5">
        <v>3107.52</v>
      </c>
      <c r="G1252" s="5">
        <v>0</v>
      </c>
      <c r="H1252" s="5">
        <f t="shared" si="38"/>
        <v>-3107.52</v>
      </c>
      <c r="I1252" s="9">
        <f t="shared" si="39"/>
        <v>-1</v>
      </c>
      <c r="J1252" s="3" t="s">
        <v>4603</v>
      </c>
    </row>
    <row r="1253" spans="1:10" ht="38.25">
      <c r="A1253" s="3" t="s">
        <v>1811</v>
      </c>
      <c r="B1253" s="3" t="s">
        <v>2132</v>
      </c>
      <c r="C1253" s="4">
        <v>34</v>
      </c>
      <c r="D1253" s="3" t="s">
        <v>136</v>
      </c>
      <c r="E1253" s="3" t="s">
        <v>30</v>
      </c>
      <c r="F1253" s="5">
        <v>7738.74</v>
      </c>
      <c r="G1253" s="5">
        <v>39144.78</v>
      </c>
      <c r="H1253" s="5">
        <f t="shared" si="38"/>
        <v>31406.04</v>
      </c>
      <c r="I1253" s="9">
        <f t="shared" si="39"/>
        <v>4.0582885586025634</v>
      </c>
      <c r="J1253" s="3" t="s">
        <v>4603</v>
      </c>
    </row>
    <row r="1254" spans="1:10">
      <c r="A1254" s="3" t="s">
        <v>1811</v>
      </c>
      <c r="B1254" s="3" t="s">
        <v>2133</v>
      </c>
      <c r="C1254" s="4">
        <v>217</v>
      </c>
      <c r="D1254" s="3" t="s">
        <v>253</v>
      </c>
      <c r="E1254" s="3" t="s">
        <v>13</v>
      </c>
      <c r="F1254" s="5">
        <v>4527.84</v>
      </c>
      <c r="G1254" s="5">
        <v>0</v>
      </c>
      <c r="H1254" s="5">
        <f t="shared" si="38"/>
        <v>-4527.84</v>
      </c>
      <c r="I1254" s="9">
        <f t="shared" si="39"/>
        <v>-1</v>
      </c>
      <c r="J1254" s="3" t="s">
        <v>4603</v>
      </c>
    </row>
    <row r="1255" spans="1:10" ht="38.25">
      <c r="A1255" s="3" t="s">
        <v>1811</v>
      </c>
      <c r="B1255" s="3" t="s">
        <v>2134</v>
      </c>
      <c r="C1255" s="4">
        <v>143</v>
      </c>
      <c r="D1255" s="3" t="s">
        <v>21</v>
      </c>
      <c r="E1255" s="3" t="s">
        <v>22</v>
      </c>
      <c r="F1255" s="5">
        <v>14241.6</v>
      </c>
      <c r="G1255" s="5">
        <v>0</v>
      </c>
      <c r="H1255" s="5">
        <f t="shared" si="38"/>
        <v>-14241.6</v>
      </c>
      <c r="I1255" s="9">
        <f t="shared" si="39"/>
        <v>-1</v>
      </c>
      <c r="J1255" s="3" t="s">
        <v>4603</v>
      </c>
    </row>
    <row r="1256" spans="1:10" ht="25.5">
      <c r="A1256" s="3" t="s">
        <v>1811</v>
      </c>
      <c r="B1256" s="3" t="s">
        <v>2135</v>
      </c>
      <c r="C1256" s="4">
        <v>335</v>
      </c>
      <c r="D1256" s="3" t="s">
        <v>7</v>
      </c>
      <c r="E1256" s="3" t="s">
        <v>8</v>
      </c>
      <c r="F1256" s="5">
        <v>0</v>
      </c>
      <c r="G1256" s="5">
        <v>8975.31</v>
      </c>
      <c r="H1256" s="5">
        <f t="shared" si="38"/>
        <v>8975.31</v>
      </c>
      <c r="I1256" s="9">
        <f t="shared" si="39"/>
        <v>0</v>
      </c>
      <c r="J1256" s="3" t="s">
        <v>4603</v>
      </c>
    </row>
    <row r="1257" spans="1:10" ht="38.25">
      <c r="A1257" s="3" t="s">
        <v>1811</v>
      </c>
      <c r="B1257" s="3" t="s">
        <v>2136</v>
      </c>
      <c r="C1257" s="4">
        <v>34</v>
      </c>
      <c r="D1257" s="3" t="s">
        <v>136</v>
      </c>
      <c r="E1257" s="3" t="s">
        <v>30</v>
      </c>
      <c r="F1257" s="5">
        <v>26107.11</v>
      </c>
      <c r="G1257" s="5">
        <v>15410.76</v>
      </c>
      <c r="H1257" s="5">
        <f t="shared" si="38"/>
        <v>-10696.35</v>
      </c>
      <c r="I1257" s="9">
        <f t="shared" si="39"/>
        <v>-0.40971022836307813</v>
      </c>
      <c r="J1257" s="3" t="s">
        <v>4603</v>
      </c>
    </row>
    <row r="1258" spans="1:10" ht="38.25">
      <c r="A1258" s="3" t="s">
        <v>1811</v>
      </c>
      <c r="B1258" s="3" t="s">
        <v>2137</v>
      </c>
      <c r="C1258" s="4">
        <v>143</v>
      </c>
      <c r="D1258" s="3" t="s">
        <v>21</v>
      </c>
      <c r="E1258" s="3" t="s">
        <v>22</v>
      </c>
      <c r="F1258" s="5">
        <v>3515.4</v>
      </c>
      <c r="G1258" s="5">
        <v>2352.2399999999998</v>
      </c>
      <c r="H1258" s="5">
        <f t="shared" si="38"/>
        <v>-1163.1600000000003</v>
      </c>
      <c r="I1258" s="9">
        <f t="shared" si="39"/>
        <v>-0.33087557603686646</v>
      </c>
      <c r="J1258" s="3" t="s">
        <v>4603</v>
      </c>
    </row>
    <row r="1259" spans="1:10" ht="25.5">
      <c r="A1259" s="3" t="s">
        <v>1811</v>
      </c>
      <c r="B1259" s="3" t="s">
        <v>2138</v>
      </c>
      <c r="C1259" s="4">
        <v>299</v>
      </c>
      <c r="D1259" s="3" t="s">
        <v>246</v>
      </c>
      <c r="E1259" s="3" t="s">
        <v>30</v>
      </c>
      <c r="F1259" s="5">
        <v>42413.279999999999</v>
      </c>
      <c r="G1259" s="5">
        <v>6064.12</v>
      </c>
      <c r="H1259" s="5">
        <f t="shared" si="38"/>
        <v>-36349.159999999996</v>
      </c>
      <c r="I1259" s="9">
        <f t="shared" si="39"/>
        <v>-0.85702308333616262</v>
      </c>
      <c r="J1259" s="3" t="s">
        <v>4603</v>
      </c>
    </row>
    <row r="1260" spans="1:10" ht="38.25">
      <c r="A1260" s="3" t="s">
        <v>1811</v>
      </c>
      <c r="B1260" s="3" t="s">
        <v>2139</v>
      </c>
      <c r="C1260" s="4">
        <v>34</v>
      </c>
      <c r="D1260" s="3" t="s">
        <v>136</v>
      </c>
      <c r="E1260" s="3" t="s">
        <v>30</v>
      </c>
      <c r="F1260" s="5">
        <v>2411.64</v>
      </c>
      <c r="G1260" s="5">
        <v>2447.1</v>
      </c>
      <c r="H1260" s="5">
        <f t="shared" si="38"/>
        <v>35.460000000000036</v>
      </c>
      <c r="I1260" s="9">
        <f t="shared" si="39"/>
        <v>1.4703687117480158E-2</v>
      </c>
      <c r="J1260" s="3" t="s">
        <v>4603</v>
      </c>
    </row>
    <row r="1261" spans="1:10" ht="25.5">
      <c r="A1261" s="3" t="s">
        <v>1811</v>
      </c>
      <c r="B1261" s="3" t="s">
        <v>2140</v>
      </c>
      <c r="C1261" s="4">
        <v>74</v>
      </c>
      <c r="D1261" s="3" t="s">
        <v>86</v>
      </c>
      <c r="E1261" s="3" t="s">
        <v>8</v>
      </c>
      <c r="F1261" s="5">
        <v>23489.37</v>
      </c>
      <c r="G1261" s="5">
        <v>15860.4</v>
      </c>
      <c r="H1261" s="5">
        <f t="shared" si="38"/>
        <v>-7628.9699999999993</v>
      </c>
      <c r="I1261" s="9">
        <f t="shared" si="39"/>
        <v>-0.32478393417958851</v>
      </c>
      <c r="J1261" s="3" t="s">
        <v>4603</v>
      </c>
    </row>
    <row r="1262" spans="1:10" ht="38.25">
      <c r="A1262" s="3" t="s">
        <v>1811</v>
      </c>
      <c r="B1262" s="3" t="s">
        <v>2141</v>
      </c>
      <c r="C1262" s="4">
        <v>74</v>
      </c>
      <c r="D1262" s="3" t="s">
        <v>86</v>
      </c>
      <c r="E1262" s="3" t="s">
        <v>8</v>
      </c>
      <c r="F1262" s="5">
        <v>8693.82</v>
      </c>
      <c r="G1262" s="5">
        <v>36091.800000000003</v>
      </c>
      <c r="H1262" s="5">
        <f t="shared" si="38"/>
        <v>27397.980000000003</v>
      </c>
      <c r="I1262" s="9">
        <f t="shared" si="39"/>
        <v>3.1514317066605937</v>
      </c>
      <c r="J1262" s="3" t="s">
        <v>4603</v>
      </c>
    </row>
    <row r="1263" spans="1:10" ht="25.5">
      <c r="A1263" s="3" t="s">
        <v>1811</v>
      </c>
      <c r="B1263" s="3" t="s">
        <v>2142</v>
      </c>
      <c r="C1263" s="4">
        <v>197</v>
      </c>
      <c r="D1263" s="3" t="s">
        <v>23</v>
      </c>
      <c r="E1263" s="3" t="s">
        <v>22</v>
      </c>
      <c r="F1263" s="5">
        <v>5531.04</v>
      </c>
      <c r="G1263" s="5">
        <v>0</v>
      </c>
      <c r="H1263" s="5">
        <f t="shared" si="38"/>
        <v>-5531.04</v>
      </c>
      <c r="I1263" s="9">
        <f t="shared" si="39"/>
        <v>-1</v>
      </c>
      <c r="J1263" s="3" t="s">
        <v>4604</v>
      </c>
    </row>
    <row r="1264" spans="1:10" ht="25.5">
      <c r="A1264" s="3" t="s">
        <v>1811</v>
      </c>
      <c r="B1264" s="3" t="s">
        <v>2143</v>
      </c>
      <c r="C1264" s="4">
        <v>296</v>
      </c>
      <c r="D1264" s="3" t="s">
        <v>137</v>
      </c>
      <c r="E1264" s="3" t="s">
        <v>18</v>
      </c>
      <c r="F1264" s="5">
        <v>9768.1200000000008</v>
      </c>
      <c r="G1264" s="5">
        <v>0</v>
      </c>
      <c r="H1264" s="5">
        <f t="shared" si="38"/>
        <v>-9768.1200000000008</v>
      </c>
      <c r="I1264" s="9">
        <f t="shared" si="39"/>
        <v>-1</v>
      </c>
      <c r="J1264" s="3" t="s">
        <v>4604</v>
      </c>
    </row>
    <row r="1265" spans="1:10" ht="25.5">
      <c r="A1265" s="3" t="s">
        <v>1811</v>
      </c>
      <c r="B1265" s="3" t="s">
        <v>2144</v>
      </c>
      <c r="C1265" s="4">
        <v>273</v>
      </c>
      <c r="D1265" s="3" t="s">
        <v>771</v>
      </c>
      <c r="E1265" s="3" t="s">
        <v>13</v>
      </c>
      <c r="F1265" s="5">
        <v>6467.46</v>
      </c>
      <c r="G1265" s="5">
        <v>0</v>
      </c>
      <c r="H1265" s="5">
        <f t="shared" si="38"/>
        <v>-6467.46</v>
      </c>
      <c r="I1265" s="9">
        <f t="shared" si="39"/>
        <v>-1</v>
      </c>
      <c r="J1265" s="3" t="s">
        <v>4604</v>
      </c>
    </row>
    <row r="1266" spans="1:10" ht="25.5">
      <c r="A1266" s="3" t="s">
        <v>1811</v>
      </c>
      <c r="B1266" s="3" t="s">
        <v>2145</v>
      </c>
      <c r="C1266" s="4">
        <v>321</v>
      </c>
      <c r="D1266" s="3" t="s">
        <v>125</v>
      </c>
      <c r="E1266" s="3" t="s">
        <v>22</v>
      </c>
      <c r="F1266" s="5">
        <v>0</v>
      </c>
      <c r="G1266" s="5">
        <v>8629.77</v>
      </c>
      <c r="H1266" s="5">
        <f t="shared" si="38"/>
        <v>8629.77</v>
      </c>
      <c r="I1266" s="9">
        <f t="shared" si="39"/>
        <v>0</v>
      </c>
      <c r="J1266" s="3" t="s">
        <v>4603</v>
      </c>
    </row>
    <row r="1267" spans="1:10" ht="25.5">
      <c r="A1267" s="3" t="s">
        <v>1811</v>
      </c>
      <c r="B1267" s="3" t="s">
        <v>2146</v>
      </c>
      <c r="C1267" s="4">
        <v>217</v>
      </c>
      <c r="D1267" s="3" t="s">
        <v>253</v>
      </c>
      <c r="E1267" s="3" t="s">
        <v>13</v>
      </c>
      <c r="F1267" s="5">
        <v>0</v>
      </c>
      <c r="G1267" s="5">
        <v>2689.74</v>
      </c>
      <c r="H1267" s="5">
        <f t="shared" si="38"/>
        <v>2689.74</v>
      </c>
      <c r="I1267" s="9">
        <f t="shared" si="39"/>
        <v>0</v>
      </c>
      <c r="J1267" s="3" t="s">
        <v>4603</v>
      </c>
    </row>
    <row r="1268" spans="1:10" ht="25.5">
      <c r="A1268" s="3" t="s">
        <v>1811</v>
      </c>
      <c r="B1268" s="3" t="s">
        <v>2147</v>
      </c>
      <c r="C1268" s="4">
        <v>74</v>
      </c>
      <c r="D1268" s="3" t="s">
        <v>86</v>
      </c>
      <c r="E1268" s="3" t="s">
        <v>8</v>
      </c>
      <c r="F1268" s="5">
        <v>5453.25</v>
      </c>
      <c r="G1268" s="5">
        <v>0</v>
      </c>
      <c r="H1268" s="5">
        <f t="shared" si="38"/>
        <v>-5453.25</v>
      </c>
      <c r="I1268" s="9">
        <f t="shared" si="39"/>
        <v>-1</v>
      </c>
      <c r="J1268" s="3" t="s">
        <v>4603</v>
      </c>
    </row>
    <row r="1269" spans="1:10" ht="25.5">
      <c r="A1269" s="3" t="s">
        <v>1811</v>
      </c>
      <c r="B1269" s="3" t="s">
        <v>2148</v>
      </c>
      <c r="C1269" s="4">
        <v>273</v>
      </c>
      <c r="D1269" s="3" t="s">
        <v>771</v>
      </c>
      <c r="E1269" s="3" t="s">
        <v>13</v>
      </c>
      <c r="F1269" s="5">
        <v>0</v>
      </c>
      <c r="G1269" s="5">
        <v>7609.92</v>
      </c>
      <c r="H1269" s="5">
        <f t="shared" si="38"/>
        <v>7609.92</v>
      </c>
      <c r="I1269" s="9">
        <f t="shared" si="39"/>
        <v>0</v>
      </c>
      <c r="J1269" s="3" t="s">
        <v>4603</v>
      </c>
    </row>
    <row r="1270" spans="1:10" ht="38.25">
      <c r="A1270" s="3" t="s">
        <v>1811</v>
      </c>
      <c r="B1270" s="3" t="s">
        <v>2149</v>
      </c>
      <c r="C1270" s="4">
        <v>74</v>
      </c>
      <c r="D1270" s="3" t="s">
        <v>86</v>
      </c>
      <c r="E1270" s="3" t="s">
        <v>8</v>
      </c>
      <c r="F1270" s="5">
        <v>10681.38</v>
      </c>
      <c r="G1270" s="5">
        <v>18093.599999999999</v>
      </c>
      <c r="H1270" s="5">
        <f t="shared" si="38"/>
        <v>7412.2199999999993</v>
      </c>
      <c r="I1270" s="9">
        <f t="shared" si="39"/>
        <v>0.6939384236868269</v>
      </c>
      <c r="J1270" s="3" t="s">
        <v>4603</v>
      </c>
    </row>
    <row r="1271" spans="1:10" ht="25.5">
      <c r="A1271" s="3" t="s">
        <v>1811</v>
      </c>
      <c r="B1271" s="3" t="s">
        <v>2150</v>
      </c>
      <c r="C1271" s="4">
        <v>299</v>
      </c>
      <c r="D1271" s="3" t="s">
        <v>246</v>
      </c>
      <c r="E1271" s="3" t="s">
        <v>30</v>
      </c>
      <c r="F1271" s="5">
        <v>6285.96</v>
      </c>
      <c r="G1271" s="5">
        <v>0</v>
      </c>
      <c r="H1271" s="5">
        <f t="shared" si="38"/>
        <v>-6285.96</v>
      </c>
      <c r="I1271" s="9">
        <f t="shared" si="39"/>
        <v>-1</v>
      </c>
      <c r="J1271" s="3" t="s">
        <v>4603</v>
      </c>
    </row>
    <row r="1272" spans="1:10" ht="25.5">
      <c r="A1272" s="3" t="s">
        <v>1811</v>
      </c>
      <c r="B1272" s="3" t="s">
        <v>2151</v>
      </c>
      <c r="C1272" s="4">
        <v>264</v>
      </c>
      <c r="D1272" s="3" t="s">
        <v>632</v>
      </c>
      <c r="E1272" s="3" t="s">
        <v>22</v>
      </c>
      <c r="F1272" s="5">
        <v>0</v>
      </c>
      <c r="G1272" s="5">
        <v>428.12</v>
      </c>
      <c r="H1272" s="5">
        <f t="shared" si="38"/>
        <v>428.12</v>
      </c>
      <c r="I1272" s="9">
        <f t="shared" si="39"/>
        <v>0</v>
      </c>
      <c r="J1272" s="3" t="s">
        <v>4603</v>
      </c>
    </row>
    <row r="1273" spans="1:10" ht="38.25">
      <c r="A1273" s="3" t="s">
        <v>1811</v>
      </c>
      <c r="B1273" s="3" t="s">
        <v>2152</v>
      </c>
      <c r="C1273" s="4">
        <v>371</v>
      </c>
      <c r="D1273" s="3" t="s">
        <v>29</v>
      </c>
      <c r="E1273" s="3" t="s">
        <v>30</v>
      </c>
      <c r="F1273" s="5">
        <v>2639.4</v>
      </c>
      <c r="G1273" s="5">
        <v>1904.37</v>
      </c>
      <c r="H1273" s="5">
        <f t="shared" si="38"/>
        <v>-735.0300000000002</v>
      </c>
      <c r="I1273" s="9">
        <f t="shared" si="39"/>
        <v>-0.27848374630597872</v>
      </c>
      <c r="J1273" s="3" t="s">
        <v>4603</v>
      </c>
    </row>
    <row r="1274" spans="1:10" ht="25.5">
      <c r="A1274" s="3" t="s">
        <v>1811</v>
      </c>
      <c r="B1274" s="3" t="s">
        <v>2153</v>
      </c>
      <c r="C1274" s="4">
        <v>299</v>
      </c>
      <c r="D1274" s="3" t="s">
        <v>246</v>
      </c>
      <c r="E1274" s="3" t="s">
        <v>30</v>
      </c>
      <c r="F1274" s="5">
        <v>0</v>
      </c>
      <c r="G1274" s="5">
        <v>20512.38</v>
      </c>
      <c r="H1274" s="5">
        <f t="shared" si="38"/>
        <v>20512.38</v>
      </c>
      <c r="I1274" s="9">
        <f t="shared" si="39"/>
        <v>0</v>
      </c>
      <c r="J1274" s="3" t="s">
        <v>4603</v>
      </c>
    </row>
    <row r="1275" spans="1:10" ht="38.25">
      <c r="A1275" s="3" t="s">
        <v>1811</v>
      </c>
      <c r="B1275" s="3" t="s">
        <v>2154</v>
      </c>
      <c r="C1275" s="4">
        <v>315</v>
      </c>
      <c r="D1275" s="3" t="s">
        <v>79</v>
      </c>
      <c r="E1275" s="3" t="s">
        <v>8</v>
      </c>
      <c r="F1275" s="5">
        <v>5766.12</v>
      </c>
      <c r="G1275" s="5">
        <v>0</v>
      </c>
      <c r="H1275" s="5">
        <f t="shared" si="38"/>
        <v>-5766.12</v>
      </c>
      <c r="I1275" s="9">
        <f t="shared" si="39"/>
        <v>-1</v>
      </c>
      <c r="J1275" s="3" t="s">
        <v>4603</v>
      </c>
    </row>
    <row r="1276" spans="1:10" ht="38.25">
      <c r="A1276" s="3" t="s">
        <v>1811</v>
      </c>
      <c r="B1276" s="3" t="s">
        <v>2155</v>
      </c>
      <c r="C1276" s="4">
        <v>19</v>
      </c>
      <c r="D1276" s="3" t="s">
        <v>53</v>
      </c>
      <c r="E1276" s="3" t="s">
        <v>22</v>
      </c>
      <c r="F1276" s="5">
        <v>6419.04</v>
      </c>
      <c r="G1276" s="5">
        <v>0</v>
      </c>
      <c r="H1276" s="5">
        <f t="shared" si="38"/>
        <v>-6419.04</v>
      </c>
      <c r="I1276" s="9">
        <f t="shared" si="39"/>
        <v>-1</v>
      </c>
      <c r="J1276" s="3" t="s">
        <v>4603</v>
      </c>
    </row>
    <row r="1277" spans="1:10" ht="25.5">
      <c r="A1277" s="3" t="s">
        <v>1811</v>
      </c>
      <c r="B1277" s="3" t="s">
        <v>2156</v>
      </c>
      <c r="C1277" s="4">
        <v>41</v>
      </c>
      <c r="D1277" s="3" t="s">
        <v>106</v>
      </c>
      <c r="E1277" s="3" t="s">
        <v>22</v>
      </c>
      <c r="F1277" s="5">
        <v>20779.830000000002</v>
      </c>
      <c r="G1277" s="5">
        <v>11201.34</v>
      </c>
      <c r="H1277" s="5">
        <f t="shared" si="38"/>
        <v>-9578.4900000000016</v>
      </c>
      <c r="I1277" s="9">
        <f t="shared" si="39"/>
        <v>-0.46095131673358258</v>
      </c>
      <c r="J1277" s="3" t="s">
        <v>4604</v>
      </c>
    </row>
    <row r="1278" spans="1:10" ht="25.5">
      <c r="A1278" s="3" t="s">
        <v>1811</v>
      </c>
      <c r="B1278" s="3" t="s">
        <v>2157</v>
      </c>
      <c r="C1278" s="4">
        <v>337</v>
      </c>
      <c r="D1278" s="3" t="s">
        <v>218</v>
      </c>
      <c r="E1278" s="3" t="s">
        <v>13</v>
      </c>
      <c r="F1278" s="5">
        <v>44851.29</v>
      </c>
      <c r="G1278" s="5">
        <v>0</v>
      </c>
      <c r="H1278" s="5">
        <f t="shared" si="38"/>
        <v>-44851.29</v>
      </c>
      <c r="I1278" s="9">
        <f t="shared" si="39"/>
        <v>-1</v>
      </c>
      <c r="J1278" s="3" t="s">
        <v>4603</v>
      </c>
    </row>
    <row r="1279" spans="1:10" ht="38.25">
      <c r="A1279" s="3" t="s">
        <v>1811</v>
      </c>
      <c r="B1279" s="3" t="s">
        <v>2158</v>
      </c>
      <c r="C1279" s="4">
        <v>34</v>
      </c>
      <c r="D1279" s="3" t="s">
        <v>136</v>
      </c>
      <c r="E1279" s="3" t="s">
        <v>30</v>
      </c>
      <c r="F1279" s="5">
        <v>3506.16</v>
      </c>
      <c r="G1279" s="5">
        <v>0</v>
      </c>
      <c r="H1279" s="5">
        <f t="shared" si="38"/>
        <v>-3506.16</v>
      </c>
      <c r="I1279" s="9">
        <f t="shared" si="39"/>
        <v>-1</v>
      </c>
      <c r="J1279" s="3" t="s">
        <v>4603</v>
      </c>
    </row>
    <row r="1280" spans="1:10" ht="38.25">
      <c r="A1280" s="3" t="s">
        <v>1811</v>
      </c>
      <c r="B1280" s="3" t="s">
        <v>2159</v>
      </c>
      <c r="C1280" s="4">
        <v>11</v>
      </c>
      <c r="D1280" s="3" t="s">
        <v>55</v>
      </c>
      <c r="E1280" s="3" t="s">
        <v>18</v>
      </c>
      <c r="F1280" s="5">
        <v>33920.519999999997</v>
      </c>
      <c r="G1280" s="5">
        <v>48328.32</v>
      </c>
      <c r="H1280" s="5">
        <f t="shared" si="38"/>
        <v>14407.800000000003</v>
      </c>
      <c r="I1280" s="9">
        <f t="shared" si="39"/>
        <v>0.42475174319261622</v>
      </c>
      <c r="J1280" s="3" t="s">
        <v>4603</v>
      </c>
    </row>
    <row r="1281" spans="1:10" ht="38.25">
      <c r="A1281" s="3" t="s">
        <v>1811</v>
      </c>
      <c r="B1281" s="3" t="s">
        <v>2160</v>
      </c>
      <c r="C1281" s="4">
        <v>231</v>
      </c>
      <c r="D1281" s="3" t="s">
        <v>89</v>
      </c>
      <c r="E1281" s="3" t="s">
        <v>8</v>
      </c>
      <c r="F1281" s="5">
        <v>2510.64</v>
      </c>
      <c r="G1281" s="5">
        <v>5562.36</v>
      </c>
      <c r="H1281" s="5">
        <f t="shared" si="38"/>
        <v>3051.72</v>
      </c>
      <c r="I1281" s="9">
        <f t="shared" si="39"/>
        <v>1.2155147691425294</v>
      </c>
      <c r="J1281" s="3" t="s">
        <v>4603</v>
      </c>
    </row>
    <row r="1282" spans="1:10" ht="25.5">
      <c r="A1282" s="3" t="s">
        <v>1811</v>
      </c>
      <c r="B1282" s="3" t="s">
        <v>2161</v>
      </c>
      <c r="C1282" s="4">
        <v>297</v>
      </c>
      <c r="D1282" s="3" t="s">
        <v>209</v>
      </c>
      <c r="E1282" s="3" t="s">
        <v>22</v>
      </c>
      <c r="F1282" s="5">
        <v>7496.64</v>
      </c>
      <c r="G1282" s="5">
        <v>10630.89</v>
      </c>
      <c r="H1282" s="5">
        <f t="shared" si="38"/>
        <v>3134.2499999999991</v>
      </c>
      <c r="I1282" s="9">
        <f t="shared" si="39"/>
        <v>0.41808730311179398</v>
      </c>
      <c r="J1282" s="3" t="s">
        <v>4604</v>
      </c>
    </row>
    <row r="1283" spans="1:10">
      <c r="A1283" s="3" t="s">
        <v>1811</v>
      </c>
      <c r="B1283" s="3" t="s">
        <v>2162</v>
      </c>
      <c r="C1283" s="4">
        <v>232</v>
      </c>
      <c r="D1283" s="3" t="s">
        <v>95</v>
      </c>
      <c r="E1283" s="3" t="s">
        <v>13</v>
      </c>
      <c r="F1283" s="5">
        <v>15176.28</v>
      </c>
      <c r="G1283" s="5">
        <v>0</v>
      </c>
      <c r="H1283" s="5">
        <f t="shared" ref="H1283:H1346" si="40">G1283-F1283</f>
        <v>-15176.28</v>
      </c>
      <c r="I1283" s="9">
        <f t="shared" ref="I1283:I1346" si="41">IFERROR(G1283/F1283-1,0)</f>
        <v>-1</v>
      </c>
      <c r="J1283" s="3" t="s">
        <v>4603</v>
      </c>
    </row>
    <row r="1284" spans="1:10" ht="25.5">
      <c r="A1284" s="3" t="s">
        <v>1811</v>
      </c>
      <c r="B1284" s="3" t="s">
        <v>2163</v>
      </c>
      <c r="C1284" s="4">
        <v>167</v>
      </c>
      <c r="D1284" s="3" t="s">
        <v>335</v>
      </c>
      <c r="E1284" s="3" t="s">
        <v>30</v>
      </c>
      <c r="F1284" s="5">
        <v>16686.41</v>
      </c>
      <c r="G1284" s="5">
        <v>9176.64</v>
      </c>
      <c r="H1284" s="5">
        <f t="shared" si="40"/>
        <v>-7509.77</v>
      </c>
      <c r="I1284" s="9">
        <f t="shared" si="41"/>
        <v>-0.45005306713666993</v>
      </c>
      <c r="J1284" s="3" t="s">
        <v>4603</v>
      </c>
    </row>
    <row r="1285" spans="1:10" ht="25.5">
      <c r="A1285" s="3" t="s">
        <v>1811</v>
      </c>
      <c r="B1285" s="3" t="s">
        <v>2164</v>
      </c>
      <c r="C1285" s="4">
        <v>232</v>
      </c>
      <c r="D1285" s="3" t="s">
        <v>95</v>
      </c>
      <c r="E1285" s="3" t="s">
        <v>13</v>
      </c>
      <c r="F1285" s="5">
        <v>7709.88</v>
      </c>
      <c r="G1285" s="5">
        <v>0</v>
      </c>
      <c r="H1285" s="5">
        <f t="shared" si="40"/>
        <v>-7709.88</v>
      </c>
      <c r="I1285" s="9">
        <f t="shared" si="41"/>
        <v>-1</v>
      </c>
      <c r="J1285" s="3" t="s">
        <v>4603</v>
      </c>
    </row>
    <row r="1286" spans="1:10" ht="38.25">
      <c r="A1286" s="3" t="s">
        <v>1811</v>
      </c>
      <c r="B1286" s="3" t="s">
        <v>2165</v>
      </c>
      <c r="C1286" s="4">
        <v>371</v>
      </c>
      <c r="D1286" s="3" t="s">
        <v>29</v>
      </c>
      <c r="E1286" s="3" t="s">
        <v>30</v>
      </c>
      <c r="F1286" s="5">
        <v>0</v>
      </c>
      <c r="G1286" s="5">
        <v>15331.44</v>
      </c>
      <c r="H1286" s="5">
        <f t="shared" si="40"/>
        <v>15331.44</v>
      </c>
      <c r="I1286" s="9">
        <f t="shared" si="41"/>
        <v>0</v>
      </c>
      <c r="J1286" s="3" t="s">
        <v>4603</v>
      </c>
    </row>
    <row r="1287" spans="1:10" ht="25.5">
      <c r="A1287" s="3" t="s">
        <v>1811</v>
      </c>
      <c r="B1287" s="3" t="s">
        <v>2166</v>
      </c>
      <c r="C1287" s="4">
        <v>23</v>
      </c>
      <c r="D1287" s="3" t="s">
        <v>71</v>
      </c>
      <c r="E1287" s="3" t="s">
        <v>8</v>
      </c>
      <c r="F1287" s="5">
        <v>10963.08</v>
      </c>
      <c r="G1287" s="5">
        <v>13150.68</v>
      </c>
      <c r="H1287" s="5">
        <f t="shared" si="40"/>
        <v>2187.6000000000004</v>
      </c>
      <c r="I1287" s="9">
        <f t="shared" si="41"/>
        <v>0.19954246434396183</v>
      </c>
      <c r="J1287" s="3" t="s">
        <v>4603</v>
      </c>
    </row>
    <row r="1288" spans="1:10" ht="25.5">
      <c r="A1288" s="3" t="s">
        <v>1811</v>
      </c>
      <c r="B1288" s="3" t="s">
        <v>2167</v>
      </c>
      <c r="C1288" s="4">
        <v>240</v>
      </c>
      <c r="D1288" s="3" t="s">
        <v>152</v>
      </c>
      <c r="E1288" s="3" t="s">
        <v>13</v>
      </c>
      <c r="F1288" s="5">
        <v>0</v>
      </c>
      <c r="G1288" s="5">
        <v>13542.96</v>
      </c>
      <c r="H1288" s="5">
        <f t="shared" si="40"/>
        <v>13542.96</v>
      </c>
      <c r="I1288" s="9">
        <f t="shared" si="41"/>
        <v>0</v>
      </c>
      <c r="J1288" s="3" t="s">
        <v>4603</v>
      </c>
    </row>
    <row r="1289" spans="1:10" ht="25.5">
      <c r="A1289" s="3" t="s">
        <v>1811</v>
      </c>
      <c r="B1289" s="3" t="s">
        <v>2168</v>
      </c>
      <c r="C1289" s="4">
        <v>74</v>
      </c>
      <c r="D1289" s="3" t="s">
        <v>86</v>
      </c>
      <c r="E1289" s="3" t="s">
        <v>8</v>
      </c>
      <c r="F1289" s="5">
        <v>3623.4</v>
      </c>
      <c r="G1289" s="5">
        <v>4452</v>
      </c>
      <c r="H1289" s="5">
        <f t="shared" si="40"/>
        <v>828.59999999999991</v>
      </c>
      <c r="I1289" s="9">
        <f t="shared" si="41"/>
        <v>0.22868024507368756</v>
      </c>
      <c r="J1289" s="3" t="s">
        <v>4603</v>
      </c>
    </row>
    <row r="1290" spans="1:10">
      <c r="A1290" s="3" t="s">
        <v>1811</v>
      </c>
      <c r="B1290" s="3" t="s">
        <v>2169</v>
      </c>
      <c r="C1290" s="4">
        <v>15</v>
      </c>
      <c r="D1290" s="3" t="s">
        <v>33</v>
      </c>
      <c r="E1290" s="3" t="s">
        <v>13</v>
      </c>
      <c r="F1290" s="5">
        <v>0</v>
      </c>
      <c r="G1290" s="5">
        <v>32619.599999999999</v>
      </c>
      <c r="H1290" s="5">
        <f t="shared" si="40"/>
        <v>32619.599999999999</v>
      </c>
      <c r="I1290" s="9">
        <f t="shared" si="41"/>
        <v>0</v>
      </c>
      <c r="J1290" s="3" t="s">
        <v>4603</v>
      </c>
    </row>
    <row r="1291" spans="1:10" ht="25.5">
      <c r="A1291" s="3" t="s">
        <v>1811</v>
      </c>
      <c r="B1291" s="3" t="s">
        <v>2170</v>
      </c>
      <c r="C1291" s="4">
        <v>297</v>
      </c>
      <c r="D1291" s="3" t="s">
        <v>209</v>
      </c>
      <c r="E1291" s="3" t="s">
        <v>22</v>
      </c>
      <c r="F1291" s="5">
        <v>0</v>
      </c>
      <c r="G1291" s="5">
        <v>5742.42</v>
      </c>
      <c r="H1291" s="5">
        <f t="shared" si="40"/>
        <v>5742.42</v>
      </c>
      <c r="I1291" s="9">
        <f t="shared" si="41"/>
        <v>0</v>
      </c>
      <c r="J1291" s="3" t="s">
        <v>4603</v>
      </c>
    </row>
    <row r="1292" spans="1:10" ht="25.5">
      <c r="A1292" s="3" t="s">
        <v>1811</v>
      </c>
      <c r="B1292" s="3" t="s">
        <v>2171</v>
      </c>
      <c r="C1292" s="4">
        <v>267</v>
      </c>
      <c r="D1292" s="3" t="s">
        <v>417</v>
      </c>
      <c r="E1292" s="3" t="s">
        <v>13</v>
      </c>
      <c r="F1292" s="5">
        <v>3230.64</v>
      </c>
      <c r="G1292" s="5">
        <v>0</v>
      </c>
      <c r="H1292" s="5">
        <f t="shared" si="40"/>
        <v>-3230.64</v>
      </c>
      <c r="I1292" s="9">
        <f t="shared" si="41"/>
        <v>-1</v>
      </c>
      <c r="J1292" s="3" t="s">
        <v>4603</v>
      </c>
    </row>
    <row r="1293" spans="1:10">
      <c r="A1293" s="3" t="s">
        <v>1811</v>
      </c>
      <c r="B1293" s="3" t="s">
        <v>2172</v>
      </c>
      <c r="C1293" s="4">
        <v>15</v>
      </c>
      <c r="D1293" s="3" t="s">
        <v>33</v>
      </c>
      <c r="E1293" s="3" t="s">
        <v>13</v>
      </c>
      <c r="F1293" s="5">
        <v>20922.36</v>
      </c>
      <c r="G1293" s="5">
        <v>48217.86</v>
      </c>
      <c r="H1293" s="5">
        <f t="shared" si="40"/>
        <v>27295.5</v>
      </c>
      <c r="I1293" s="9">
        <f t="shared" si="41"/>
        <v>1.3046090402803507</v>
      </c>
      <c r="J1293" s="3" t="s">
        <v>4603</v>
      </c>
    </row>
    <row r="1294" spans="1:10" ht="25.5">
      <c r="A1294" s="3" t="s">
        <v>1811</v>
      </c>
      <c r="B1294" s="3" t="s">
        <v>2173</v>
      </c>
      <c r="C1294" s="4">
        <v>267</v>
      </c>
      <c r="D1294" s="3" t="s">
        <v>417</v>
      </c>
      <c r="E1294" s="3" t="s">
        <v>13</v>
      </c>
      <c r="F1294" s="5">
        <v>0</v>
      </c>
      <c r="G1294" s="5">
        <v>20979.75</v>
      </c>
      <c r="H1294" s="5">
        <f t="shared" si="40"/>
        <v>20979.75</v>
      </c>
      <c r="I1294" s="9">
        <f t="shared" si="41"/>
        <v>0</v>
      </c>
      <c r="J1294" s="3" t="s">
        <v>4603</v>
      </c>
    </row>
    <row r="1295" spans="1:10">
      <c r="A1295" s="3" t="s">
        <v>1811</v>
      </c>
      <c r="B1295" s="3" t="s">
        <v>2174</v>
      </c>
      <c r="C1295" s="4">
        <v>15</v>
      </c>
      <c r="D1295" s="3" t="s">
        <v>33</v>
      </c>
      <c r="E1295" s="3" t="s">
        <v>13</v>
      </c>
      <c r="F1295" s="5">
        <v>0</v>
      </c>
      <c r="G1295" s="5">
        <v>19558.8</v>
      </c>
      <c r="H1295" s="5">
        <f t="shared" si="40"/>
        <v>19558.8</v>
      </c>
      <c r="I1295" s="9">
        <f t="shared" si="41"/>
        <v>0</v>
      </c>
      <c r="J1295" s="3" t="s">
        <v>4603</v>
      </c>
    </row>
    <row r="1296" spans="1:10" ht="25.5">
      <c r="A1296" s="3" t="s">
        <v>1811</v>
      </c>
      <c r="B1296" s="3" t="s">
        <v>2175</v>
      </c>
      <c r="C1296" s="4">
        <v>337</v>
      </c>
      <c r="D1296" s="3" t="s">
        <v>218</v>
      </c>
      <c r="E1296" s="3" t="s">
        <v>13</v>
      </c>
      <c r="F1296" s="5">
        <v>16622.07</v>
      </c>
      <c r="G1296" s="5">
        <v>0</v>
      </c>
      <c r="H1296" s="5">
        <f t="shared" si="40"/>
        <v>-16622.07</v>
      </c>
      <c r="I1296" s="9">
        <f t="shared" si="41"/>
        <v>-1</v>
      </c>
      <c r="J1296" s="3" t="s">
        <v>4603</v>
      </c>
    </row>
    <row r="1297" spans="1:10" ht="25.5">
      <c r="A1297" s="3" t="s">
        <v>1811</v>
      </c>
      <c r="B1297" s="3" t="s">
        <v>2176</v>
      </c>
      <c r="C1297" s="4">
        <v>328</v>
      </c>
      <c r="D1297" s="3" t="s">
        <v>158</v>
      </c>
      <c r="E1297" s="3" t="s">
        <v>22</v>
      </c>
      <c r="F1297" s="5">
        <v>3344.52</v>
      </c>
      <c r="G1297" s="5">
        <v>12011.52</v>
      </c>
      <c r="H1297" s="5">
        <f t="shared" si="40"/>
        <v>8667</v>
      </c>
      <c r="I1297" s="9">
        <f t="shared" si="41"/>
        <v>2.5914032506906821</v>
      </c>
      <c r="J1297" s="3" t="s">
        <v>4603</v>
      </c>
    </row>
    <row r="1298" spans="1:10" ht="25.5">
      <c r="A1298" s="3" t="s">
        <v>1811</v>
      </c>
      <c r="B1298" s="3" t="s">
        <v>2177</v>
      </c>
      <c r="C1298" s="4">
        <v>299</v>
      </c>
      <c r="D1298" s="3" t="s">
        <v>246</v>
      </c>
      <c r="E1298" s="3" t="s">
        <v>30</v>
      </c>
      <c r="F1298" s="5">
        <v>11356.65</v>
      </c>
      <c r="G1298" s="5">
        <v>10035.540000000001</v>
      </c>
      <c r="H1298" s="5">
        <f t="shared" si="40"/>
        <v>-1321.1099999999988</v>
      </c>
      <c r="I1298" s="9">
        <f t="shared" si="41"/>
        <v>-0.11632919919166296</v>
      </c>
      <c r="J1298" s="3" t="s">
        <v>4603</v>
      </c>
    </row>
    <row r="1299" spans="1:10" ht="38.25">
      <c r="A1299" s="3" t="s">
        <v>1811</v>
      </c>
      <c r="B1299" s="3" t="s">
        <v>2178</v>
      </c>
      <c r="C1299" s="4">
        <v>34</v>
      </c>
      <c r="D1299" s="3" t="s">
        <v>136</v>
      </c>
      <c r="E1299" s="3" t="s">
        <v>30</v>
      </c>
      <c r="F1299" s="5">
        <v>21787.74</v>
      </c>
      <c r="G1299" s="5">
        <v>45559.29</v>
      </c>
      <c r="H1299" s="5">
        <f t="shared" si="40"/>
        <v>23771.55</v>
      </c>
      <c r="I1299" s="9">
        <f t="shared" si="41"/>
        <v>1.0910516648353616</v>
      </c>
      <c r="J1299" s="3" t="s">
        <v>4603</v>
      </c>
    </row>
    <row r="1300" spans="1:10" ht="38.25">
      <c r="A1300" s="3" t="s">
        <v>1811</v>
      </c>
      <c r="B1300" s="3" t="s">
        <v>2179</v>
      </c>
      <c r="C1300" s="4">
        <v>333</v>
      </c>
      <c r="D1300" s="3" t="s">
        <v>1881</v>
      </c>
      <c r="E1300" s="3" t="s">
        <v>22</v>
      </c>
      <c r="F1300" s="5">
        <v>0</v>
      </c>
      <c r="G1300" s="5">
        <v>5235.96</v>
      </c>
      <c r="H1300" s="5">
        <f t="shared" si="40"/>
        <v>5235.96</v>
      </c>
      <c r="I1300" s="9">
        <f t="shared" si="41"/>
        <v>0</v>
      </c>
      <c r="J1300" s="3" t="s">
        <v>4603</v>
      </c>
    </row>
    <row r="1301" spans="1:10" ht="25.5">
      <c r="A1301" s="3" t="s">
        <v>1811</v>
      </c>
      <c r="B1301" s="3" t="s">
        <v>2180</v>
      </c>
      <c r="C1301" s="4">
        <v>31</v>
      </c>
      <c r="D1301" s="3" t="s">
        <v>172</v>
      </c>
      <c r="E1301" s="3" t="s">
        <v>13</v>
      </c>
      <c r="F1301" s="5">
        <v>14266.38</v>
      </c>
      <c r="G1301" s="5">
        <v>8362.7800000000007</v>
      </c>
      <c r="H1301" s="5">
        <f t="shared" si="40"/>
        <v>-5903.5999999999985</v>
      </c>
      <c r="I1301" s="9">
        <f t="shared" si="41"/>
        <v>-0.4138120532328452</v>
      </c>
      <c r="J1301" s="3" t="s">
        <v>4603</v>
      </c>
    </row>
    <row r="1302" spans="1:10" ht="25.5">
      <c r="A1302" s="3" t="s">
        <v>1811</v>
      </c>
      <c r="B1302" s="3" t="s">
        <v>2181</v>
      </c>
      <c r="C1302" s="4">
        <v>335</v>
      </c>
      <c r="D1302" s="3" t="s">
        <v>7</v>
      </c>
      <c r="E1302" s="3" t="s">
        <v>8</v>
      </c>
      <c r="F1302" s="5">
        <v>0</v>
      </c>
      <c r="G1302" s="5">
        <v>48186.31</v>
      </c>
      <c r="H1302" s="5">
        <f t="shared" si="40"/>
        <v>48186.31</v>
      </c>
      <c r="I1302" s="9">
        <f t="shared" si="41"/>
        <v>0</v>
      </c>
      <c r="J1302" s="3" t="s">
        <v>4603</v>
      </c>
    </row>
    <row r="1303" spans="1:10" ht="25.5">
      <c r="A1303" s="3" t="s">
        <v>1811</v>
      </c>
      <c r="B1303" s="3" t="s">
        <v>2182</v>
      </c>
      <c r="C1303" s="4">
        <v>297</v>
      </c>
      <c r="D1303" s="3" t="s">
        <v>209</v>
      </c>
      <c r="E1303" s="3" t="s">
        <v>22</v>
      </c>
      <c r="F1303" s="5">
        <v>5687.22</v>
      </c>
      <c r="G1303" s="5">
        <v>0</v>
      </c>
      <c r="H1303" s="5">
        <f t="shared" si="40"/>
        <v>-5687.22</v>
      </c>
      <c r="I1303" s="9">
        <f t="shared" si="41"/>
        <v>-1</v>
      </c>
      <c r="J1303" s="3" t="s">
        <v>4603</v>
      </c>
    </row>
    <row r="1304" spans="1:10" ht="25.5">
      <c r="A1304" s="3" t="s">
        <v>1811</v>
      </c>
      <c r="B1304" s="3" t="s">
        <v>2183</v>
      </c>
      <c r="C1304" s="4">
        <v>335</v>
      </c>
      <c r="D1304" s="3" t="s">
        <v>7</v>
      </c>
      <c r="E1304" s="3" t="s">
        <v>8</v>
      </c>
      <c r="F1304" s="5">
        <v>0</v>
      </c>
      <c r="G1304" s="5">
        <v>8661.36</v>
      </c>
      <c r="H1304" s="5">
        <f t="shared" si="40"/>
        <v>8661.36</v>
      </c>
      <c r="I1304" s="9">
        <f t="shared" si="41"/>
        <v>0</v>
      </c>
      <c r="J1304" s="3" t="s">
        <v>4604</v>
      </c>
    </row>
    <row r="1305" spans="1:10" ht="38.25">
      <c r="A1305" s="3" t="s">
        <v>1811</v>
      </c>
      <c r="B1305" s="3" t="s">
        <v>2184</v>
      </c>
      <c r="C1305" s="4">
        <v>31</v>
      </c>
      <c r="D1305" s="3" t="s">
        <v>172</v>
      </c>
      <c r="E1305" s="3" t="s">
        <v>13</v>
      </c>
      <c r="F1305" s="5">
        <v>11182.14</v>
      </c>
      <c r="G1305" s="5">
        <v>0</v>
      </c>
      <c r="H1305" s="5">
        <f t="shared" si="40"/>
        <v>-11182.14</v>
      </c>
      <c r="I1305" s="9">
        <f t="shared" si="41"/>
        <v>-1</v>
      </c>
      <c r="J1305" s="3" t="s">
        <v>4603</v>
      </c>
    </row>
    <row r="1306" spans="1:10" ht="25.5">
      <c r="A1306" s="3" t="s">
        <v>1811</v>
      </c>
      <c r="B1306" s="3" t="s">
        <v>2185</v>
      </c>
      <c r="C1306" s="4">
        <v>31</v>
      </c>
      <c r="D1306" s="3" t="s">
        <v>172</v>
      </c>
      <c r="E1306" s="3" t="s">
        <v>13</v>
      </c>
      <c r="F1306" s="5">
        <v>11182.14</v>
      </c>
      <c r="G1306" s="5">
        <v>0</v>
      </c>
      <c r="H1306" s="5">
        <f t="shared" si="40"/>
        <v>-11182.14</v>
      </c>
      <c r="I1306" s="9">
        <f t="shared" si="41"/>
        <v>-1</v>
      </c>
      <c r="J1306" s="3" t="s">
        <v>4603</v>
      </c>
    </row>
    <row r="1307" spans="1:10" ht="25.5">
      <c r="A1307" s="3" t="s">
        <v>1811</v>
      </c>
      <c r="B1307" s="3" t="s">
        <v>2186</v>
      </c>
      <c r="C1307" s="4">
        <v>31</v>
      </c>
      <c r="D1307" s="3" t="s">
        <v>172</v>
      </c>
      <c r="E1307" s="3" t="s">
        <v>13</v>
      </c>
      <c r="F1307" s="5">
        <v>0</v>
      </c>
      <c r="G1307" s="5">
        <v>2769.6</v>
      </c>
      <c r="H1307" s="5">
        <f t="shared" si="40"/>
        <v>2769.6</v>
      </c>
      <c r="I1307" s="9">
        <f t="shared" si="41"/>
        <v>0</v>
      </c>
      <c r="J1307" s="3" t="s">
        <v>4603</v>
      </c>
    </row>
    <row r="1308" spans="1:10">
      <c r="A1308" s="3" t="s">
        <v>1811</v>
      </c>
      <c r="B1308" s="3" t="s">
        <v>2187</v>
      </c>
      <c r="C1308" s="4">
        <v>232</v>
      </c>
      <c r="D1308" s="3" t="s">
        <v>95</v>
      </c>
      <c r="E1308" s="3" t="s">
        <v>13</v>
      </c>
      <c r="F1308" s="5">
        <v>3126.36</v>
      </c>
      <c r="G1308" s="5">
        <v>0</v>
      </c>
      <c r="H1308" s="5">
        <f t="shared" si="40"/>
        <v>-3126.36</v>
      </c>
      <c r="I1308" s="9">
        <f t="shared" si="41"/>
        <v>-1</v>
      </c>
      <c r="J1308" s="3" t="s">
        <v>4603</v>
      </c>
    </row>
    <row r="1309" spans="1:10" ht="25.5">
      <c r="A1309" s="3" t="s">
        <v>1811</v>
      </c>
      <c r="B1309" s="3" t="s">
        <v>2188</v>
      </c>
      <c r="C1309" s="4">
        <v>197</v>
      </c>
      <c r="D1309" s="3" t="s">
        <v>23</v>
      </c>
      <c r="E1309" s="3" t="s">
        <v>22</v>
      </c>
      <c r="F1309" s="5">
        <v>0</v>
      </c>
      <c r="G1309" s="5">
        <v>9979.92</v>
      </c>
      <c r="H1309" s="5">
        <f t="shared" si="40"/>
        <v>9979.92</v>
      </c>
      <c r="I1309" s="9">
        <f t="shared" si="41"/>
        <v>0</v>
      </c>
      <c r="J1309" s="3" t="s">
        <v>4603</v>
      </c>
    </row>
    <row r="1310" spans="1:10" ht="25.5">
      <c r="A1310" s="3" t="s">
        <v>1811</v>
      </c>
      <c r="B1310" s="3" t="s">
        <v>2189</v>
      </c>
      <c r="C1310" s="4">
        <v>261</v>
      </c>
      <c r="D1310" s="3" t="s">
        <v>17</v>
      </c>
      <c r="E1310" s="3" t="s">
        <v>18</v>
      </c>
      <c r="F1310" s="5">
        <v>9169.44</v>
      </c>
      <c r="G1310" s="5">
        <v>0</v>
      </c>
      <c r="H1310" s="5">
        <f t="shared" si="40"/>
        <v>-9169.44</v>
      </c>
      <c r="I1310" s="9">
        <f t="shared" si="41"/>
        <v>-1</v>
      </c>
      <c r="J1310" s="3" t="s">
        <v>4603</v>
      </c>
    </row>
    <row r="1311" spans="1:10" ht="38.25">
      <c r="A1311" s="3" t="s">
        <v>1811</v>
      </c>
      <c r="B1311" s="3" t="s">
        <v>2190</v>
      </c>
      <c r="C1311" s="4">
        <v>143</v>
      </c>
      <c r="D1311" s="3" t="s">
        <v>21</v>
      </c>
      <c r="E1311" s="3" t="s">
        <v>22</v>
      </c>
      <c r="F1311" s="5">
        <v>5303.04</v>
      </c>
      <c r="G1311" s="5">
        <v>13590</v>
      </c>
      <c r="H1311" s="5">
        <f t="shared" si="40"/>
        <v>8286.9599999999991</v>
      </c>
      <c r="I1311" s="9">
        <f t="shared" si="41"/>
        <v>1.5626810282404056</v>
      </c>
      <c r="J1311" s="3" t="s">
        <v>4603</v>
      </c>
    </row>
    <row r="1312" spans="1:10">
      <c r="A1312" s="3" t="s">
        <v>1811</v>
      </c>
      <c r="B1312" s="3" t="s">
        <v>2191</v>
      </c>
      <c r="C1312" s="4">
        <v>231</v>
      </c>
      <c r="D1312" s="3" t="s">
        <v>89</v>
      </c>
      <c r="E1312" s="3" t="s">
        <v>8</v>
      </c>
      <c r="F1312" s="5">
        <v>13653.84</v>
      </c>
      <c r="G1312" s="5">
        <v>18462.36</v>
      </c>
      <c r="H1312" s="5">
        <f t="shared" si="40"/>
        <v>4808.5200000000004</v>
      </c>
      <c r="I1312" s="9">
        <f t="shared" si="41"/>
        <v>0.35217345450071202</v>
      </c>
      <c r="J1312" s="3" t="s">
        <v>4603</v>
      </c>
    </row>
    <row r="1313" spans="1:10" ht="38.25">
      <c r="A1313" s="3" t="s">
        <v>1811</v>
      </c>
      <c r="B1313" s="3" t="s">
        <v>2192</v>
      </c>
      <c r="C1313" s="4">
        <v>45</v>
      </c>
      <c r="D1313" s="3" t="s">
        <v>16</v>
      </c>
      <c r="E1313" s="3" t="s">
        <v>8</v>
      </c>
      <c r="F1313" s="5">
        <v>6778.86</v>
      </c>
      <c r="G1313" s="5">
        <v>6177.6</v>
      </c>
      <c r="H1313" s="5">
        <f t="shared" si="40"/>
        <v>-601.25999999999931</v>
      </c>
      <c r="I1313" s="9">
        <f t="shared" si="41"/>
        <v>-8.8696329471326885E-2</v>
      </c>
      <c r="J1313" s="3" t="s">
        <v>4603</v>
      </c>
    </row>
    <row r="1314" spans="1:10" ht="25.5">
      <c r="A1314" s="3" t="s">
        <v>1811</v>
      </c>
      <c r="B1314" s="3" t="s">
        <v>2193</v>
      </c>
      <c r="C1314" s="4">
        <v>320</v>
      </c>
      <c r="D1314" s="3" t="s">
        <v>188</v>
      </c>
      <c r="E1314" s="3" t="s">
        <v>30</v>
      </c>
      <c r="F1314" s="5">
        <v>0</v>
      </c>
      <c r="G1314" s="5">
        <v>13547.4</v>
      </c>
      <c r="H1314" s="5">
        <f t="shared" si="40"/>
        <v>13547.4</v>
      </c>
      <c r="I1314" s="9">
        <f t="shared" si="41"/>
        <v>0</v>
      </c>
      <c r="J1314" s="3" t="s">
        <v>4603</v>
      </c>
    </row>
    <row r="1315" spans="1:10" ht="25.5">
      <c r="A1315" s="3" t="s">
        <v>1811</v>
      </c>
      <c r="B1315" s="3" t="s">
        <v>2194</v>
      </c>
      <c r="C1315" s="4">
        <v>332</v>
      </c>
      <c r="D1315" s="3" t="s">
        <v>1850</v>
      </c>
      <c r="E1315" s="3" t="s">
        <v>9</v>
      </c>
      <c r="F1315" s="5">
        <v>0</v>
      </c>
      <c r="G1315" s="5">
        <v>7829.88</v>
      </c>
      <c r="H1315" s="5">
        <f t="shared" si="40"/>
        <v>7829.88</v>
      </c>
      <c r="I1315" s="9">
        <f t="shared" si="41"/>
        <v>0</v>
      </c>
      <c r="J1315" s="3" t="s">
        <v>4604</v>
      </c>
    </row>
    <row r="1316" spans="1:10" ht="38.25">
      <c r="A1316" s="3" t="s">
        <v>1811</v>
      </c>
      <c r="B1316" s="3" t="s">
        <v>2195</v>
      </c>
      <c r="C1316" s="4">
        <v>266</v>
      </c>
      <c r="D1316" s="3" t="s">
        <v>111</v>
      </c>
      <c r="E1316" s="3" t="s">
        <v>18</v>
      </c>
      <c r="F1316" s="5">
        <v>7966.74</v>
      </c>
      <c r="G1316" s="5">
        <v>9614.89</v>
      </c>
      <c r="H1316" s="5">
        <f t="shared" si="40"/>
        <v>1648.1499999999996</v>
      </c>
      <c r="I1316" s="9">
        <f t="shared" si="41"/>
        <v>0.20687884881394392</v>
      </c>
      <c r="J1316" s="3" t="s">
        <v>4603</v>
      </c>
    </row>
    <row r="1317" spans="1:10" ht="38.25">
      <c r="A1317" s="3" t="s">
        <v>1811</v>
      </c>
      <c r="B1317" s="3" t="s">
        <v>2196</v>
      </c>
      <c r="C1317" s="4">
        <v>371</v>
      </c>
      <c r="D1317" s="3" t="s">
        <v>29</v>
      </c>
      <c r="E1317" s="3" t="s">
        <v>30</v>
      </c>
      <c r="F1317" s="5">
        <v>3617.34</v>
      </c>
      <c r="G1317" s="5">
        <v>5786.04</v>
      </c>
      <c r="H1317" s="5">
        <f t="shared" si="40"/>
        <v>2168.6999999999998</v>
      </c>
      <c r="I1317" s="9">
        <f t="shared" si="41"/>
        <v>0.59952893562673126</v>
      </c>
      <c r="J1317" s="3" t="s">
        <v>4603</v>
      </c>
    </row>
    <row r="1318" spans="1:10" ht="25.5">
      <c r="A1318" s="3" t="s">
        <v>1811</v>
      </c>
      <c r="B1318" s="3" t="s">
        <v>2197</v>
      </c>
      <c r="C1318" s="4">
        <v>19</v>
      </c>
      <c r="D1318" s="3" t="s">
        <v>53</v>
      </c>
      <c r="E1318" s="3" t="s">
        <v>22</v>
      </c>
      <c r="F1318" s="5">
        <v>3635.28</v>
      </c>
      <c r="G1318" s="5">
        <v>0</v>
      </c>
      <c r="H1318" s="5">
        <f t="shared" si="40"/>
        <v>-3635.28</v>
      </c>
      <c r="I1318" s="9">
        <f t="shared" si="41"/>
        <v>-1</v>
      </c>
      <c r="J1318" s="3" t="s">
        <v>4604</v>
      </c>
    </row>
    <row r="1319" spans="1:10" ht="38.25">
      <c r="A1319" s="3" t="s">
        <v>1811</v>
      </c>
      <c r="B1319" s="3" t="s">
        <v>2198</v>
      </c>
      <c r="C1319" s="4">
        <v>266</v>
      </c>
      <c r="D1319" s="3" t="s">
        <v>111</v>
      </c>
      <c r="E1319" s="3" t="s">
        <v>18</v>
      </c>
      <c r="F1319" s="5">
        <v>26080.95</v>
      </c>
      <c r="G1319" s="5">
        <v>0</v>
      </c>
      <c r="H1319" s="5">
        <f t="shared" si="40"/>
        <v>-26080.95</v>
      </c>
      <c r="I1319" s="9">
        <f t="shared" si="41"/>
        <v>-1</v>
      </c>
      <c r="J1319" s="3" t="s">
        <v>4603</v>
      </c>
    </row>
    <row r="1320" spans="1:10" ht="25.5">
      <c r="A1320" s="3" t="s">
        <v>1811</v>
      </c>
      <c r="B1320" s="3" t="s">
        <v>2199</v>
      </c>
      <c r="C1320" s="4">
        <v>23</v>
      </c>
      <c r="D1320" s="3" t="s">
        <v>71</v>
      </c>
      <c r="E1320" s="3" t="s">
        <v>8</v>
      </c>
      <c r="F1320" s="5">
        <v>4283.28</v>
      </c>
      <c r="G1320" s="5">
        <v>5603.13</v>
      </c>
      <c r="H1320" s="5">
        <f t="shared" si="40"/>
        <v>1319.8500000000004</v>
      </c>
      <c r="I1320" s="9">
        <f t="shared" si="41"/>
        <v>0.30814002353336711</v>
      </c>
      <c r="J1320" s="3" t="s">
        <v>4603</v>
      </c>
    </row>
    <row r="1321" spans="1:10" ht="25.5">
      <c r="A1321" s="3" t="s">
        <v>1811</v>
      </c>
      <c r="B1321" s="3" t="s">
        <v>2200</v>
      </c>
      <c r="C1321" s="4">
        <v>261</v>
      </c>
      <c r="D1321" s="3" t="s">
        <v>17</v>
      </c>
      <c r="E1321" s="3" t="s">
        <v>18</v>
      </c>
      <c r="F1321" s="5">
        <v>4727.16</v>
      </c>
      <c r="G1321" s="5">
        <v>5672.4</v>
      </c>
      <c r="H1321" s="5">
        <f t="shared" si="40"/>
        <v>945.23999999999978</v>
      </c>
      <c r="I1321" s="9">
        <f t="shared" si="41"/>
        <v>0.19995938364684074</v>
      </c>
      <c r="J1321" s="3" t="s">
        <v>4603</v>
      </c>
    </row>
    <row r="1322" spans="1:10" ht="25.5">
      <c r="A1322" s="3" t="s">
        <v>1811</v>
      </c>
      <c r="B1322" s="3" t="s">
        <v>2201</v>
      </c>
      <c r="C1322" s="4">
        <v>74</v>
      </c>
      <c r="D1322" s="3" t="s">
        <v>86</v>
      </c>
      <c r="E1322" s="3" t="s">
        <v>8</v>
      </c>
      <c r="F1322" s="5">
        <v>9682.56</v>
      </c>
      <c r="G1322" s="5">
        <v>0</v>
      </c>
      <c r="H1322" s="5">
        <f t="shared" si="40"/>
        <v>-9682.56</v>
      </c>
      <c r="I1322" s="9">
        <f t="shared" si="41"/>
        <v>-1</v>
      </c>
      <c r="J1322" s="3" t="s">
        <v>4603</v>
      </c>
    </row>
    <row r="1323" spans="1:10" ht="25.5">
      <c r="A1323" s="3" t="s">
        <v>1811</v>
      </c>
      <c r="B1323" s="3" t="s">
        <v>2202</v>
      </c>
      <c r="C1323" s="4">
        <v>337</v>
      </c>
      <c r="D1323" s="3" t="s">
        <v>218</v>
      </c>
      <c r="E1323" s="3" t="s">
        <v>13</v>
      </c>
      <c r="F1323" s="5">
        <v>3316.44</v>
      </c>
      <c r="G1323" s="5">
        <v>6604.68</v>
      </c>
      <c r="H1323" s="5">
        <f t="shared" si="40"/>
        <v>3288.2400000000002</v>
      </c>
      <c r="I1323" s="9">
        <f t="shared" si="41"/>
        <v>0.99149690632123599</v>
      </c>
      <c r="J1323" s="3" t="s">
        <v>4603</v>
      </c>
    </row>
    <row r="1324" spans="1:10" ht="38.25">
      <c r="A1324" s="3" t="s">
        <v>1811</v>
      </c>
      <c r="B1324" s="3" t="s">
        <v>2203</v>
      </c>
      <c r="C1324" s="4">
        <v>41</v>
      </c>
      <c r="D1324" s="3" t="s">
        <v>106</v>
      </c>
      <c r="E1324" s="3" t="s">
        <v>22</v>
      </c>
      <c r="F1324" s="5">
        <v>11457.12</v>
      </c>
      <c r="G1324" s="5">
        <v>0</v>
      </c>
      <c r="H1324" s="5">
        <f t="shared" si="40"/>
        <v>-11457.12</v>
      </c>
      <c r="I1324" s="9">
        <f t="shared" si="41"/>
        <v>-1</v>
      </c>
      <c r="J1324" s="3" t="s">
        <v>4603</v>
      </c>
    </row>
    <row r="1325" spans="1:10" ht="25.5">
      <c r="A1325" s="3" t="s">
        <v>1811</v>
      </c>
      <c r="B1325" s="3" t="s">
        <v>2204</v>
      </c>
      <c r="C1325" s="4">
        <v>31</v>
      </c>
      <c r="D1325" s="3" t="s">
        <v>172</v>
      </c>
      <c r="E1325" s="3" t="s">
        <v>13</v>
      </c>
      <c r="F1325" s="5">
        <v>3971.34</v>
      </c>
      <c r="G1325" s="5">
        <v>2769.6</v>
      </c>
      <c r="H1325" s="5">
        <f t="shared" si="40"/>
        <v>-1201.7400000000002</v>
      </c>
      <c r="I1325" s="9">
        <f t="shared" si="41"/>
        <v>-0.30260315158107842</v>
      </c>
      <c r="J1325" s="3" t="s">
        <v>4603</v>
      </c>
    </row>
    <row r="1326" spans="1:10" ht="25.5">
      <c r="A1326" s="3" t="s">
        <v>1811</v>
      </c>
      <c r="B1326" s="3" t="s">
        <v>2205</v>
      </c>
      <c r="C1326" s="4">
        <v>261</v>
      </c>
      <c r="D1326" s="3" t="s">
        <v>17</v>
      </c>
      <c r="E1326" s="3" t="s">
        <v>18</v>
      </c>
      <c r="F1326" s="5">
        <v>23618.400000000001</v>
      </c>
      <c r="G1326" s="5">
        <v>16567.02</v>
      </c>
      <c r="H1326" s="5">
        <f t="shared" si="40"/>
        <v>-7051.380000000001</v>
      </c>
      <c r="I1326" s="9">
        <f t="shared" si="41"/>
        <v>-0.29855451681739664</v>
      </c>
      <c r="J1326" s="3" t="s">
        <v>4603</v>
      </c>
    </row>
    <row r="1327" spans="1:10" ht="25.5">
      <c r="A1327" s="3" t="s">
        <v>1811</v>
      </c>
      <c r="B1327" s="3" t="s">
        <v>2206</v>
      </c>
      <c r="C1327" s="4">
        <v>61</v>
      </c>
      <c r="D1327" s="3" t="s">
        <v>114</v>
      </c>
      <c r="E1327" s="3" t="s">
        <v>30</v>
      </c>
      <c r="F1327" s="5">
        <v>21136.76</v>
      </c>
      <c r="G1327" s="5">
        <v>27135.33</v>
      </c>
      <c r="H1327" s="5">
        <f t="shared" si="40"/>
        <v>5998.5700000000033</v>
      </c>
      <c r="I1327" s="9">
        <f t="shared" si="41"/>
        <v>0.28379798985274962</v>
      </c>
      <c r="J1327" s="3" t="s">
        <v>4603</v>
      </c>
    </row>
    <row r="1328" spans="1:10" ht="25.5">
      <c r="A1328" s="3" t="s">
        <v>1811</v>
      </c>
      <c r="B1328" s="3" t="s">
        <v>2207</v>
      </c>
      <c r="C1328" s="4">
        <v>266</v>
      </c>
      <c r="D1328" s="3" t="s">
        <v>111</v>
      </c>
      <c r="E1328" s="3" t="s">
        <v>18</v>
      </c>
      <c r="F1328" s="5">
        <v>11599.26</v>
      </c>
      <c r="G1328" s="5">
        <v>0</v>
      </c>
      <c r="H1328" s="5">
        <f t="shared" si="40"/>
        <v>-11599.26</v>
      </c>
      <c r="I1328" s="9">
        <f t="shared" si="41"/>
        <v>-1</v>
      </c>
      <c r="J1328" s="3" t="s">
        <v>4603</v>
      </c>
    </row>
    <row r="1329" spans="1:10" ht="25.5">
      <c r="A1329" s="3" t="s">
        <v>1811</v>
      </c>
      <c r="B1329" s="3" t="s">
        <v>2208</v>
      </c>
      <c r="C1329" s="4">
        <v>208</v>
      </c>
      <c r="D1329" s="3" t="s">
        <v>58</v>
      </c>
      <c r="E1329" s="3" t="s">
        <v>13</v>
      </c>
      <c r="F1329" s="5">
        <v>0</v>
      </c>
      <c r="G1329" s="5">
        <v>13734.48</v>
      </c>
      <c r="H1329" s="5">
        <f t="shared" si="40"/>
        <v>13734.48</v>
      </c>
      <c r="I1329" s="9">
        <f t="shared" si="41"/>
        <v>0</v>
      </c>
      <c r="J1329" s="3" t="s">
        <v>4603</v>
      </c>
    </row>
    <row r="1330" spans="1:10" ht="38.25">
      <c r="A1330" s="3" t="s">
        <v>1811</v>
      </c>
      <c r="B1330" s="3" t="s">
        <v>2209</v>
      </c>
      <c r="C1330" s="4">
        <v>45</v>
      </c>
      <c r="D1330" s="3" t="s">
        <v>16</v>
      </c>
      <c r="E1330" s="3" t="s">
        <v>8</v>
      </c>
      <c r="F1330" s="5">
        <v>6856.44</v>
      </c>
      <c r="G1330" s="5">
        <v>5393.16</v>
      </c>
      <c r="H1330" s="5">
        <f t="shared" si="40"/>
        <v>-1463.2799999999997</v>
      </c>
      <c r="I1330" s="9">
        <f t="shared" si="41"/>
        <v>-0.21341687522971098</v>
      </c>
      <c r="J1330" s="3" t="s">
        <v>4603</v>
      </c>
    </row>
    <row r="1331" spans="1:10" ht="25.5">
      <c r="A1331" s="3" t="s">
        <v>1811</v>
      </c>
      <c r="B1331" s="3" t="s">
        <v>2210</v>
      </c>
      <c r="C1331" s="4">
        <v>232</v>
      </c>
      <c r="D1331" s="3" t="s">
        <v>95</v>
      </c>
      <c r="E1331" s="3" t="s">
        <v>13</v>
      </c>
      <c r="F1331" s="5">
        <v>7017.61</v>
      </c>
      <c r="G1331" s="5">
        <v>0</v>
      </c>
      <c r="H1331" s="5">
        <f t="shared" si="40"/>
        <v>-7017.61</v>
      </c>
      <c r="I1331" s="9">
        <f t="shared" si="41"/>
        <v>-1</v>
      </c>
      <c r="J1331" s="3" t="s">
        <v>4603</v>
      </c>
    </row>
    <row r="1332" spans="1:10" ht="25.5">
      <c r="A1332" s="3" t="s">
        <v>1811</v>
      </c>
      <c r="B1332" s="3" t="s">
        <v>2211</v>
      </c>
      <c r="C1332" s="4">
        <v>39</v>
      </c>
      <c r="D1332" s="3" t="s">
        <v>26</v>
      </c>
      <c r="E1332" s="3" t="s">
        <v>9</v>
      </c>
      <c r="F1332" s="5">
        <v>2489.58</v>
      </c>
      <c r="G1332" s="5">
        <v>5113.32</v>
      </c>
      <c r="H1332" s="5">
        <f t="shared" si="40"/>
        <v>2623.74</v>
      </c>
      <c r="I1332" s="9">
        <f t="shared" si="41"/>
        <v>1.0538886077169645</v>
      </c>
      <c r="J1332" s="3" t="s">
        <v>4603</v>
      </c>
    </row>
    <row r="1333" spans="1:10" ht="38.25">
      <c r="A1333" s="3" t="s">
        <v>1811</v>
      </c>
      <c r="B1333" s="3" t="s">
        <v>2212</v>
      </c>
      <c r="C1333" s="4">
        <v>11</v>
      </c>
      <c r="D1333" s="3" t="s">
        <v>55</v>
      </c>
      <c r="E1333" s="3" t="s">
        <v>18</v>
      </c>
      <c r="F1333" s="5">
        <v>5250.24</v>
      </c>
      <c r="G1333" s="5">
        <v>0</v>
      </c>
      <c r="H1333" s="5">
        <f t="shared" si="40"/>
        <v>-5250.24</v>
      </c>
      <c r="I1333" s="9">
        <f t="shared" si="41"/>
        <v>-1</v>
      </c>
      <c r="J1333" s="3" t="s">
        <v>4603</v>
      </c>
    </row>
    <row r="1334" spans="1:10" ht="25.5">
      <c r="A1334" s="3" t="s">
        <v>1811</v>
      </c>
      <c r="B1334" s="3" t="s">
        <v>2213</v>
      </c>
      <c r="C1334" s="4">
        <v>178</v>
      </c>
      <c r="D1334" s="3" t="s">
        <v>92</v>
      </c>
      <c r="E1334" s="3" t="s">
        <v>8</v>
      </c>
      <c r="F1334" s="5">
        <v>7162.92</v>
      </c>
      <c r="G1334" s="5">
        <v>0</v>
      </c>
      <c r="H1334" s="5">
        <f t="shared" si="40"/>
        <v>-7162.92</v>
      </c>
      <c r="I1334" s="9">
        <f t="shared" si="41"/>
        <v>-1</v>
      </c>
      <c r="J1334" s="3" t="s">
        <v>4603</v>
      </c>
    </row>
    <row r="1335" spans="1:10" ht="25.5">
      <c r="A1335" s="3" t="s">
        <v>1811</v>
      </c>
      <c r="B1335" s="3" t="s">
        <v>2214</v>
      </c>
      <c r="C1335" s="4">
        <v>19</v>
      </c>
      <c r="D1335" s="3" t="s">
        <v>53</v>
      </c>
      <c r="E1335" s="3" t="s">
        <v>22</v>
      </c>
      <c r="F1335" s="5">
        <v>0</v>
      </c>
      <c r="G1335" s="5">
        <v>21183.72</v>
      </c>
      <c r="H1335" s="5">
        <f t="shared" si="40"/>
        <v>21183.72</v>
      </c>
      <c r="I1335" s="9">
        <f t="shared" si="41"/>
        <v>0</v>
      </c>
      <c r="J1335" s="3" t="s">
        <v>4603</v>
      </c>
    </row>
    <row r="1336" spans="1:10" ht="25.5">
      <c r="A1336" s="3" t="s">
        <v>1811</v>
      </c>
      <c r="B1336" s="3" t="s">
        <v>2215</v>
      </c>
      <c r="C1336" s="4">
        <v>74</v>
      </c>
      <c r="D1336" s="3" t="s">
        <v>86</v>
      </c>
      <c r="E1336" s="3" t="s">
        <v>8</v>
      </c>
      <c r="F1336" s="5">
        <v>10546.56</v>
      </c>
      <c r="G1336" s="5">
        <v>0</v>
      </c>
      <c r="H1336" s="5">
        <f t="shared" si="40"/>
        <v>-10546.56</v>
      </c>
      <c r="I1336" s="9">
        <f t="shared" si="41"/>
        <v>-1</v>
      </c>
      <c r="J1336" s="3" t="s">
        <v>4603</v>
      </c>
    </row>
    <row r="1337" spans="1:10" ht="25.5">
      <c r="A1337" s="3" t="s">
        <v>1811</v>
      </c>
      <c r="B1337" s="3" t="s">
        <v>2216</v>
      </c>
      <c r="C1337" s="4">
        <v>231</v>
      </c>
      <c r="D1337" s="3" t="s">
        <v>89</v>
      </c>
      <c r="E1337" s="3" t="s">
        <v>8</v>
      </c>
      <c r="F1337" s="5">
        <v>0</v>
      </c>
      <c r="G1337" s="5">
        <v>12655.08</v>
      </c>
      <c r="H1337" s="5">
        <f t="shared" si="40"/>
        <v>12655.08</v>
      </c>
      <c r="I1337" s="9">
        <f t="shared" si="41"/>
        <v>0</v>
      </c>
      <c r="J1337" s="3" t="s">
        <v>4603</v>
      </c>
    </row>
    <row r="1338" spans="1:10" ht="51">
      <c r="A1338" s="3" t="s">
        <v>1811</v>
      </c>
      <c r="B1338" s="3" t="s">
        <v>2217</v>
      </c>
      <c r="C1338" s="4">
        <v>282</v>
      </c>
      <c r="D1338" s="3" t="s">
        <v>298</v>
      </c>
      <c r="E1338" s="3" t="s">
        <v>9</v>
      </c>
      <c r="F1338" s="5">
        <v>0</v>
      </c>
      <c r="G1338" s="5">
        <v>3926.88</v>
      </c>
      <c r="H1338" s="5">
        <f t="shared" si="40"/>
        <v>3926.88</v>
      </c>
      <c r="I1338" s="9">
        <f t="shared" si="41"/>
        <v>0</v>
      </c>
      <c r="J1338" s="3" t="s">
        <v>4603</v>
      </c>
    </row>
    <row r="1339" spans="1:10" ht="38.25">
      <c r="A1339" s="3" t="s">
        <v>1811</v>
      </c>
      <c r="B1339" s="3" t="s">
        <v>2218</v>
      </c>
      <c r="C1339" s="4">
        <v>371</v>
      </c>
      <c r="D1339" s="3" t="s">
        <v>29</v>
      </c>
      <c r="E1339" s="3" t="s">
        <v>30</v>
      </c>
      <c r="F1339" s="5">
        <v>0</v>
      </c>
      <c r="G1339" s="5">
        <v>14896.71</v>
      </c>
      <c r="H1339" s="5">
        <f t="shared" si="40"/>
        <v>14896.71</v>
      </c>
      <c r="I1339" s="9">
        <f t="shared" si="41"/>
        <v>0</v>
      </c>
      <c r="J1339" s="3" t="s">
        <v>4603</v>
      </c>
    </row>
    <row r="1340" spans="1:10" ht="38.25">
      <c r="A1340" s="3" t="s">
        <v>1811</v>
      </c>
      <c r="B1340" s="3" t="s">
        <v>2219</v>
      </c>
      <c r="C1340" s="4">
        <v>34</v>
      </c>
      <c r="D1340" s="3" t="s">
        <v>136</v>
      </c>
      <c r="E1340" s="3" t="s">
        <v>30</v>
      </c>
      <c r="F1340" s="5">
        <v>5857.95</v>
      </c>
      <c r="G1340" s="5">
        <v>0</v>
      </c>
      <c r="H1340" s="5">
        <f t="shared" si="40"/>
        <v>-5857.95</v>
      </c>
      <c r="I1340" s="9">
        <f t="shared" si="41"/>
        <v>-1</v>
      </c>
      <c r="J1340" s="3" t="s">
        <v>4603</v>
      </c>
    </row>
    <row r="1341" spans="1:10" ht="25.5">
      <c r="A1341" s="3" t="s">
        <v>1811</v>
      </c>
      <c r="B1341" s="3" t="s">
        <v>2220</v>
      </c>
      <c r="C1341" s="4">
        <v>93</v>
      </c>
      <c r="D1341" s="3" t="s">
        <v>42</v>
      </c>
      <c r="E1341" s="3" t="s">
        <v>8</v>
      </c>
      <c r="F1341" s="5">
        <v>5138.28</v>
      </c>
      <c r="G1341" s="5">
        <v>0</v>
      </c>
      <c r="H1341" s="5">
        <f t="shared" si="40"/>
        <v>-5138.28</v>
      </c>
      <c r="I1341" s="9">
        <f t="shared" si="41"/>
        <v>-1</v>
      </c>
      <c r="J1341" s="3" t="s">
        <v>4603</v>
      </c>
    </row>
    <row r="1342" spans="1:10">
      <c r="A1342" s="3" t="s">
        <v>1811</v>
      </c>
      <c r="B1342" s="3" t="s">
        <v>2221</v>
      </c>
      <c r="C1342" s="4">
        <v>315</v>
      </c>
      <c r="D1342" s="3" t="s">
        <v>79</v>
      </c>
      <c r="E1342" s="3" t="s">
        <v>8</v>
      </c>
      <c r="F1342" s="5">
        <v>14726.04</v>
      </c>
      <c r="G1342" s="5">
        <v>14293.492</v>
      </c>
      <c r="H1342" s="5">
        <f t="shared" si="40"/>
        <v>-432.54800000000068</v>
      </c>
      <c r="I1342" s="9">
        <f t="shared" si="41"/>
        <v>-2.9373001838919444E-2</v>
      </c>
      <c r="J1342" s="3" t="s">
        <v>4603</v>
      </c>
    </row>
    <row r="1343" spans="1:10" ht="25.5">
      <c r="A1343" s="3" t="s">
        <v>1811</v>
      </c>
      <c r="B1343" s="3" t="s">
        <v>2222</v>
      </c>
      <c r="C1343" s="4">
        <v>266</v>
      </c>
      <c r="D1343" s="3" t="s">
        <v>111</v>
      </c>
      <c r="E1343" s="3" t="s">
        <v>18</v>
      </c>
      <c r="F1343" s="5">
        <v>3008.88</v>
      </c>
      <c r="G1343" s="5">
        <v>0</v>
      </c>
      <c r="H1343" s="5">
        <f t="shared" si="40"/>
        <v>-3008.88</v>
      </c>
      <c r="I1343" s="9">
        <f t="shared" si="41"/>
        <v>-1</v>
      </c>
      <c r="J1343" s="3" t="s">
        <v>4603</v>
      </c>
    </row>
    <row r="1344" spans="1:10" ht="38.25">
      <c r="A1344" s="3" t="s">
        <v>1811</v>
      </c>
      <c r="B1344" s="3" t="s">
        <v>2223</v>
      </c>
      <c r="C1344" s="4">
        <v>45</v>
      </c>
      <c r="D1344" s="3" t="s">
        <v>16</v>
      </c>
      <c r="E1344" s="3" t="s">
        <v>8</v>
      </c>
      <c r="F1344" s="5">
        <v>15005.76</v>
      </c>
      <c r="G1344" s="5">
        <v>16244.13</v>
      </c>
      <c r="H1344" s="5">
        <f t="shared" si="40"/>
        <v>1238.369999999999</v>
      </c>
      <c r="I1344" s="9">
        <f t="shared" si="41"/>
        <v>8.2526309896999495E-2</v>
      </c>
      <c r="J1344" s="3" t="s">
        <v>4603</v>
      </c>
    </row>
    <row r="1345" spans="1:10">
      <c r="A1345" s="3" t="s">
        <v>1811</v>
      </c>
      <c r="B1345" s="3" t="s">
        <v>2224</v>
      </c>
      <c r="C1345" s="4">
        <v>231</v>
      </c>
      <c r="D1345" s="3" t="s">
        <v>89</v>
      </c>
      <c r="E1345" s="3" t="s">
        <v>8</v>
      </c>
      <c r="F1345" s="5">
        <v>6910.8</v>
      </c>
      <c r="G1345" s="5">
        <v>0</v>
      </c>
      <c r="H1345" s="5">
        <f t="shared" si="40"/>
        <v>-6910.8</v>
      </c>
      <c r="I1345" s="9">
        <f t="shared" si="41"/>
        <v>-1</v>
      </c>
      <c r="J1345" s="3" t="s">
        <v>4603</v>
      </c>
    </row>
    <row r="1346" spans="1:10" ht="25.5">
      <c r="A1346" s="3" t="s">
        <v>1811</v>
      </c>
      <c r="B1346" s="3" t="s">
        <v>2225</v>
      </c>
      <c r="C1346" s="4">
        <v>321</v>
      </c>
      <c r="D1346" s="3" t="s">
        <v>125</v>
      </c>
      <c r="E1346" s="3" t="s">
        <v>22</v>
      </c>
      <c r="F1346" s="5">
        <v>15111.69</v>
      </c>
      <c r="G1346" s="5">
        <v>0</v>
      </c>
      <c r="H1346" s="5">
        <f t="shared" si="40"/>
        <v>-15111.69</v>
      </c>
      <c r="I1346" s="9">
        <f t="shared" si="41"/>
        <v>-1</v>
      </c>
      <c r="J1346" s="3" t="s">
        <v>4603</v>
      </c>
    </row>
    <row r="1347" spans="1:10" ht="25.5">
      <c r="A1347" s="3" t="s">
        <v>1811</v>
      </c>
      <c r="B1347" s="3" t="s">
        <v>2226</v>
      </c>
      <c r="C1347" s="4">
        <v>315</v>
      </c>
      <c r="D1347" s="3" t="s">
        <v>79</v>
      </c>
      <c r="E1347" s="3" t="s">
        <v>8</v>
      </c>
      <c r="F1347" s="5">
        <v>0</v>
      </c>
      <c r="G1347" s="5">
        <v>13185.79</v>
      </c>
      <c r="H1347" s="5">
        <f t="shared" ref="H1347:H1410" si="42">G1347-F1347</f>
        <v>13185.79</v>
      </c>
      <c r="I1347" s="9">
        <f t="shared" ref="I1347:I1410" si="43">IFERROR(G1347/F1347-1,0)</f>
        <v>0</v>
      </c>
      <c r="J1347" s="3" t="s">
        <v>4603</v>
      </c>
    </row>
    <row r="1348" spans="1:10" ht="25.5">
      <c r="A1348" s="3" t="s">
        <v>1811</v>
      </c>
      <c r="B1348" s="3" t="s">
        <v>2227</v>
      </c>
      <c r="C1348" s="4">
        <v>327</v>
      </c>
      <c r="D1348" s="3" t="s">
        <v>76</v>
      </c>
      <c r="E1348" s="3" t="s">
        <v>8</v>
      </c>
      <c r="F1348" s="5">
        <v>0</v>
      </c>
      <c r="G1348" s="5">
        <v>15228.42</v>
      </c>
      <c r="H1348" s="5">
        <f t="shared" si="42"/>
        <v>15228.42</v>
      </c>
      <c r="I1348" s="9">
        <f t="shared" si="43"/>
        <v>0</v>
      </c>
      <c r="J1348" s="3" t="s">
        <v>4603</v>
      </c>
    </row>
    <row r="1349" spans="1:10" ht="38.25">
      <c r="A1349" s="3" t="s">
        <v>1811</v>
      </c>
      <c r="B1349" s="3" t="s">
        <v>2228</v>
      </c>
      <c r="C1349" s="4">
        <v>143</v>
      </c>
      <c r="D1349" s="3" t="s">
        <v>21</v>
      </c>
      <c r="E1349" s="3" t="s">
        <v>22</v>
      </c>
      <c r="F1349" s="5">
        <v>16401.419999999998</v>
      </c>
      <c r="G1349" s="5">
        <v>0</v>
      </c>
      <c r="H1349" s="5">
        <f t="shared" si="42"/>
        <v>-16401.419999999998</v>
      </c>
      <c r="I1349" s="9">
        <f t="shared" si="43"/>
        <v>-1</v>
      </c>
      <c r="J1349" s="3" t="s">
        <v>4603</v>
      </c>
    </row>
    <row r="1350" spans="1:10" ht="25.5">
      <c r="A1350" s="3" t="s">
        <v>1811</v>
      </c>
      <c r="B1350" s="3" t="s">
        <v>2229</v>
      </c>
      <c r="C1350" s="4">
        <v>93</v>
      </c>
      <c r="D1350" s="3" t="s">
        <v>42</v>
      </c>
      <c r="E1350" s="3" t="s">
        <v>8</v>
      </c>
      <c r="F1350" s="5">
        <v>9868.5</v>
      </c>
      <c r="G1350" s="5">
        <v>11466.57</v>
      </c>
      <c r="H1350" s="5">
        <f t="shared" si="42"/>
        <v>1598.0699999999997</v>
      </c>
      <c r="I1350" s="9">
        <f t="shared" si="43"/>
        <v>0.16193646450828392</v>
      </c>
      <c r="J1350" s="3" t="s">
        <v>4603</v>
      </c>
    </row>
    <row r="1351" spans="1:10" ht="38.25">
      <c r="A1351" s="3" t="s">
        <v>1811</v>
      </c>
      <c r="B1351" s="3" t="s">
        <v>2230</v>
      </c>
      <c r="C1351" s="4">
        <v>292</v>
      </c>
      <c r="D1351" s="3" t="s">
        <v>619</v>
      </c>
      <c r="E1351" s="3" t="s">
        <v>30</v>
      </c>
      <c r="F1351" s="5">
        <v>0</v>
      </c>
      <c r="G1351" s="5">
        <v>10734.72</v>
      </c>
      <c r="H1351" s="5">
        <f t="shared" si="42"/>
        <v>10734.72</v>
      </c>
      <c r="I1351" s="9">
        <f t="shared" si="43"/>
        <v>0</v>
      </c>
      <c r="J1351" s="3" t="s">
        <v>4603</v>
      </c>
    </row>
    <row r="1352" spans="1:10" ht="25.5">
      <c r="A1352" s="3" t="s">
        <v>1811</v>
      </c>
      <c r="B1352" s="3" t="s">
        <v>2231</v>
      </c>
      <c r="C1352" s="4">
        <v>232</v>
      </c>
      <c r="D1352" s="3" t="s">
        <v>95</v>
      </c>
      <c r="E1352" s="3" t="s">
        <v>13</v>
      </c>
      <c r="F1352" s="5">
        <v>0</v>
      </c>
      <c r="G1352" s="5">
        <v>11514.36</v>
      </c>
      <c r="H1352" s="5">
        <f t="shared" si="42"/>
        <v>11514.36</v>
      </c>
      <c r="I1352" s="9">
        <f t="shared" si="43"/>
        <v>0</v>
      </c>
      <c r="J1352" s="3" t="s">
        <v>4603</v>
      </c>
    </row>
    <row r="1353" spans="1:10">
      <c r="A1353" s="3" t="s">
        <v>1811</v>
      </c>
      <c r="B1353" s="3" t="s">
        <v>2232</v>
      </c>
      <c r="C1353" s="4">
        <v>232</v>
      </c>
      <c r="D1353" s="3" t="s">
        <v>95</v>
      </c>
      <c r="E1353" s="3" t="s">
        <v>13</v>
      </c>
      <c r="F1353" s="5">
        <v>4054.08</v>
      </c>
      <c r="G1353" s="5">
        <v>11514.36</v>
      </c>
      <c r="H1353" s="5">
        <f t="shared" si="42"/>
        <v>7460.2800000000007</v>
      </c>
      <c r="I1353" s="9">
        <f t="shared" si="43"/>
        <v>1.8401906227800144</v>
      </c>
      <c r="J1353" s="3" t="s">
        <v>4603</v>
      </c>
    </row>
    <row r="1354" spans="1:10" ht="25.5">
      <c r="A1354" s="3" t="s">
        <v>1811</v>
      </c>
      <c r="B1354" s="3" t="s">
        <v>2233</v>
      </c>
      <c r="C1354" s="4">
        <v>328</v>
      </c>
      <c r="D1354" s="3" t="s">
        <v>158</v>
      </c>
      <c r="E1354" s="3" t="s">
        <v>22</v>
      </c>
      <c r="F1354" s="5">
        <v>0</v>
      </c>
      <c r="G1354" s="5">
        <v>11311.23</v>
      </c>
      <c r="H1354" s="5">
        <f t="shared" si="42"/>
        <v>11311.23</v>
      </c>
      <c r="I1354" s="9">
        <f t="shared" si="43"/>
        <v>0</v>
      </c>
      <c r="J1354" s="3" t="s">
        <v>4603</v>
      </c>
    </row>
    <row r="1355" spans="1:10">
      <c r="A1355" s="3" t="s">
        <v>1811</v>
      </c>
      <c r="B1355" s="3" t="s">
        <v>2234</v>
      </c>
      <c r="C1355" s="4">
        <v>240</v>
      </c>
      <c r="D1355" s="3" t="s">
        <v>152</v>
      </c>
      <c r="E1355" s="3" t="s">
        <v>13</v>
      </c>
      <c r="F1355" s="5">
        <v>7783.38</v>
      </c>
      <c r="G1355" s="5">
        <v>13986.96</v>
      </c>
      <c r="H1355" s="5">
        <f t="shared" si="42"/>
        <v>6203.579999999999</v>
      </c>
      <c r="I1355" s="9">
        <f t="shared" si="43"/>
        <v>0.79702905421552073</v>
      </c>
      <c r="J1355" s="3" t="s">
        <v>4603</v>
      </c>
    </row>
    <row r="1356" spans="1:10">
      <c r="A1356" s="3" t="s">
        <v>1811</v>
      </c>
      <c r="B1356" s="3" t="s">
        <v>2235</v>
      </c>
      <c r="C1356" s="4">
        <v>217</v>
      </c>
      <c r="D1356" s="3" t="s">
        <v>253</v>
      </c>
      <c r="E1356" s="3" t="s">
        <v>13</v>
      </c>
      <c r="F1356" s="5">
        <v>2912.46</v>
      </c>
      <c r="G1356" s="5">
        <v>0</v>
      </c>
      <c r="H1356" s="5">
        <f t="shared" si="42"/>
        <v>-2912.46</v>
      </c>
      <c r="I1356" s="9">
        <f t="shared" si="43"/>
        <v>-1</v>
      </c>
      <c r="J1356" s="3" t="s">
        <v>4603</v>
      </c>
    </row>
    <row r="1357" spans="1:10" ht="25.5">
      <c r="A1357" s="3" t="s">
        <v>1811</v>
      </c>
      <c r="B1357" s="3" t="s">
        <v>2236</v>
      </c>
      <c r="C1357" s="4">
        <v>167</v>
      </c>
      <c r="D1357" s="3" t="s">
        <v>335</v>
      </c>
      <c r="E1357" s="3" t="s">
        <v>30</v>
      </c>
      <c r="F1357" s="5">
        <v>3377.46</v>
      </c>
      <c r="G1357" s="5">
        <v>0</v>
      </c>
      <c r="H1357" s="5">
        <f t="shared" si="42"/>
        <v>-3377.46</v>
      </c>
      <c r="I1357" s="9">
        <f t="shared" si="43"/>
        <v>-1</v>
      </c>
      <c r="J1357" s="3" t="s">
        <v>4603</v>
      </c>
    </row>
    <row r="1358" spans="1:10" ht="25.5">
      <c r="A1358" s="3" t="s">
        <v>1811</v>
      </c>
      <c r="B1358" s="3" t="s">
        <v>2237</v>
      </c>
      <c r="C1358" s="4">
        <v>23</v>
      </c>
      <c r="D1358" s="3" t="s">
        <v>71</v>
      </c>
      <c r="E1358" s="3" t="s">
        <v>8</v>
      </c>
      <c r="F1358" s="5">
        <v>0</v>
      </c>
      <c r="G1358" s="5">
        <v>1597.92</v>
      </c>
      <c r="H1358" s="5">
        <f t="shared" si="42"/>
        <v>1597.92</v>
      </c>
      <c r="I1358" s="9">
        <f t="shared" si="43"/>
        <v>0</v>
      </c>
      <c r="J1358" s="3" t="s">
        <v>4603</v>
      </c>
    </row>
    <row r="1359" spans="1:10" ht="25.5">
      <c r="A1359" s="3" t="s">
        <v>1811</v>
      </c>
      <c r="B1359" s="3" t="s">
        <v>2238</v>
      </c>
      <c r="C1359" s="4">
        <v>334</v>
      </c>
      <c r="D1359" s="3" t="s">
        <v>585</v>
      </c>
      <c r="E1359" s="3" t="s">
        <v>8</v>
      </c>
      <c r="F1359" s="5">
        <v>0</v>
      </c>
      <c r="G1359" s="5">
        <v>5347.83</v>
      </c>
      <c r="H1359" s="5">
        <f t="shared" si="42"/>
        <v>5347.83</v>
      </c>
      <c r="I1359" s="9">
        <f t="shared" si="43"/>
        <v>0</v>
      </c>
      <c r="J1359" s="3" t="s">
        <v>4603</v>
      </c>
    </row>
    <row r="1360" spans="1:10" ht="38.25">
      <c r="A1360" s="3" t="s">
        <v>1811</v>
      </c>
      <c r="B1360" s="3" t="s">
        <v>2239</v>
      </c>
      <c r="C1360" s="4">
        <v>292</v>
      </c>
      <c r="D1360" s="3" t="s">
        <v>619</v>
      </c>
      <c r="E1360" s="3" t="s">
        <v>30</v>
      </c>
      <c r="F1360" s="5">
        <v>2267.52</v>
      </c>
      <c r="G1360" s="5">
        <v>0</v>
      </c>
      <c r="H1360" s="5">
        <f t="shared" si="42"/>
        <v>-2267.52</v>
      </c>
      <c r="I1360" s="9">
        <f t="shared" si="43"/>
        <v>-1</v>
      </c>
      <c r="J1360" s="3" t="s">
        <v>4603</v>
      </c>
    </row>
    <row r="1361" spans="1:10" ht="25.5">
      <c r="A1361" s="3" t="s">
        <v>1811</v>
      </c>
      <c r="B1361" s="3" t="s">
        <v>2240</v>
      </c>
      <c r="C1361" s="4">
        <v>261</v>
      </c>
      <c r="D1361" s="3" t="s">
        <v>17</v>
      </c>
      <c r="E1361" s="3" t="s">
        <v>18</v>
      </c>
      <c r="F1361" s="5">
        <v>0</v>
      </c>
      <c r="G1361" s="5">
        <v>2999.88</v>
      </c>
      <c r="H1361" s="5">
        <f t="shared" si="42"/>
        <v>2999.88</v>
      </c>
      <c r="I1361" s="9">
        <f t="shared" si="43"/>
        <v>0</v>
      </c>
      <c r="J1361" s="3" t="s">
        <v>4604</v>
      </c>
    </row>
    <row r="1362" spans="1:10" ht="25.5">
      <c r="A1362" s="3" t="s">
        <v>1811</v>
      </c>
      <c r="B1362" s="3" t="s">
        <v>2241</v>
      </c>
      <c r="C1362" s="4">
        <v>296</v>
      </c>
      <c r="D1362" s="3" t="s">
        <v>137</v>
      </c>
      <c r="E1362" s="3" t="s">
        <v>8</v>
      </c>
      <c r="F1362" s="5">
        <v>3461.76</v>
      </c>
      <c r="G1362" s="5">
        <v>0</v>
      </c>
      <c r="H1362" s="5">
        <f t="shared" si="42"/>
        <v>-3461.76</v>
      </c>
      <c r="I1362" s="9">
        <f t="shared" si="43"/>
        <v>-1</v>
      </c>
      <c r="J1362" s="3" t="s">
        <v>4603</v>
      </c>
    </row>
    <row r="1363" spans="1:10" ht="25.5">
      <c r="A1363" s="3" t="s">
        <v>1811</v>
      </c>
      <c r="B1363" s="3" t="s">
        <v>2242</v>
      </c>
      <c r="C1363" s="4">
        <v>217</v>
      </c>
      <c r="D1363" s="3" t="s">
        <v>253</v>
      </c>
      <c r="E1363" s="3" t="s">
        <v>13</v>
      </c>
      <c r="F1363" s="5">
        <v>0</v>
      </c>
      <c r="G1363" s="5">
        <v>6139.56</v>
      </c>
      <c r="H1363" s="5">
        <f t="shared" si="42"/>
        <v>6139.56</v>
      </c>
      <c r="I1363" s="9">
        <f t="shared" si="43"/>
        <v>0</v>
      </c>
      <c r="J1363" s="3" t="s">
        <v>4603</v>
      </c>
    </row>
    <row r="1364" spans="1:10" ht="25.5">
      <c r="A1364" s="3" t="s">
        <v>1811</v>
      </c>
      <c r="B1364" s="3" t="s">
        <v>2243</v>
      </c>
      <c r="C1364" s="4">
        <v>19</v>
      </c>
      <c r="D1364" s="3" t="s">
        <v>53</v>
      </c>
      <c r="E1364" s="3" t="s">
        <v>22</v>
      </c>
      <c r="F1364" s="5">
        <v>4607.28</v>
      </c>
      <c r="G1364" s="5">
        <v>0</v>
      </c>
      <c r="H1364" s="5">
        <f t="shared" si="42"/>
        <v>-4607.28</v>
      </c>
      <c r="I1364" s="9">
        <f t="shared" si="43"/>
        <v>-1</v>
      </c>
      <c r="J1364" s="3" t="s">
        <v>4603</v>
      </c>
    </row>
    <row r="1365" spans="1:10" ht="25.5">
      <c r="A1365" s="3" t="s">
        <v>1811</v>
      </c>
      <c r="B1365" s="3" t="s">
        <v>2244</v>
      </c>
      <c r="C1365" s="4">
        <v>93</v>
      </c>
      <c r="D1365" s="3" t="s">
        <v>42</v>
      </c>
      <c r="E1365" s="3" t="s">
        <v>8</v>
      </c>
      <c r="F1365" s="5">
        <v>73201.919999999998</v>
      </c>
      <c r="G1365" s="5">
        <v>0</v>
      </c>
      <c r="H1365" s="5">
        <f t="shared" si="42"/>
        <v>-73201.919999999998</v>
      </c>
      <c r="I1365" s="9">
        <f t="shared" si="43"/>
        <v>-1</v>
      </c>
      <c r="J1365" s="3" t="s">
        <v>4604</v>
      </c>
    </row>
    <row r="1366" spans="1:10" ht="38.25">
      <c r="A1366" s="3" t="s">
        <v>1811</v>
      </c>
      <c r="B1366" s="3" t="s">
        <v>2245</v>
      </c>
      <c r="C1366" s="4">
        <v>371</v>
      </c>
      <c r="D1366" s="3" t="s">
        <v>29</v>
      </c>
      <c r="E1366" s="3" t="s">
        <v>30</v>
      </c>
      <c r="F1366" s="5">
        <v>34145.19</v>
      </c>
      <c r="G1366" s="5">
        <v>28615.788</v>
      </c>
      <c r="H1366" s="5">
        <f t="shared" si="42"/>
        <v>-5529.4020000000019</v>
      </c>
      <c r="I1366" s="9">
        <f t="shared" si="43"/>
        <v>-0.16193794792180105</v>
      </c>
      <c r="J1366" s="3" t="s">
        <v>4603</v>
      </c>
    </row>
    <row r="1367" spans="1:10" ht="25.5">
      <c r="A1367" s="3" t="s">
        <v>1811</v>
      </c>
      <c r="B1367" s="3" t="s">
        <v>2246</v>
      </c>
      <c r="C1367" s="4">
        <v>315</v>
      </c>
      <c r="D1367" s="3" t="s">
        <v>79</v>
      </c>
      <c r="E1367" s="3" t="s">
        <v>8</v>
      </c>
      <c r="F1367" s="5">
        <v>16983.09</v>
      </c>
      <c r="G1367" s="5">
        <v>0</v>
      </c>
      <c r="H1367" s="5">
        <f t="shared" si="42"/>
        <v>-16983.09</v>
      </c>
      <c r="I1367" s="9">
        <f t="shared" si="43"/>
        <v>-1</v>
      </c>
      <c r="J1367" s="3" t="s">
        <v>4603</v>
      </c>
    </row>
    <row r="1368" spans="1:10" ht="25.5">
      <c r="A1368" s="3" t="s">
        <v>1811</v>
      </c>
      <c r="B1368" s="3" t="s">
        <v>2247</v>
      </c>
      <c r="C1368" s="4">
        <v>19</v>
      </c>
      <c r="D1368" s="3" t="s">
        <v>53</v>
      </c>
      <c r="E1368" s="3" t="s">
        <v>22</v>
      </c>
      <c r="F1368" s="5">
        <v>0</v>
      </c>
      <c r="G1368" s="5">
        <v>10519</v>
      </c>
      <c r="H1368" s="5">
        <f t="shared" si="42"/>
        <v>10519</v>
      </c>
      <c r="I1368" s="9">
        <f t="shared" si="43"/>
        <v>0</v>
      </c>
      <c r="J1368" s="3" t="s">
        <v>4603</v>
      </c>
    </row>
    <row r="1369" spans="1:10" ht="25.5">
      <c r="A1369" s="3" t="s">
        <v>1811</v>
      </c>
      <c r="B1369" s="3" t="s">
        <v>2248</v>
      </c>
      <c r="C1369" s="4">
        <v>261</v>
      </c>
      <c r="D1369" s="3" t="s">
        <v>17</v>
      </c>
      <c r="E1369" s="3" t="s">
        <v>18</v>
      </c>
      <c r="F1369" s="5">
        <v>8678.4</v>
      </c>
      <c r="G1369" s="5">
        <v>8728.4359999999997</v>
      </c>
      <c r="H1369" s="5">
        <f t="shared" si="42"/>
        <v>50.036000000000058</v>
      </c>
      <c r="I1369" s="9">
        <f t="shared" si="43"/>
        <v>5.7655789085546694E-3</v>
      </c>
      <c r="J1369" s="3" t="s">
        <v>4603</v>
      </c>
    </row>
    <row r="1370" spans="1:10" ht="25.5">
      <c r="A1370" s="3" t="s">
        <v>1811</v>
      </c>
      <c r="B1370" s="3" t="s">
        <v>2249</v>
      </c>
      <c r="C1370" s="4">
        <v>41</v>
      </c>
      <c r="D1370" s="3" t="s">
        <v>106</v>
      </c>
      <c r="E1370" s="3" t="s">
        <v>22</v>
      </c>
      <c r="F1370" s="5">
        <v>2302.8000000000002</v>
      </c>
      <c r="G1370" s="5">
        <v>6329.96</v>
      </c>
      <c r="H1370" s="5">
        <f t="shared" si="42"/>
        <v>4027.16</v>
      </c>
      <c r="I1370" s="9">
        <f t="shared" si="43"/>
        <v>1.7488101441723116</v>
      </c>
      <c r="J1370" s="3" t="s">
        <v>4603</v>
      </c>
    </row>
    <row r="1371" spans="1:10" ht="25.5">
      <c r="A1371" s="3" t="s">
        <v>1811</v>
      </c>
      <c r="B1371" s="3" t="s">
        <v>2250</v>
      </c>
      <c r="C1371" s="4">
        <v>187</v>
      </c>
      <c r="D1371" s="3" t="s">
        <v>460</v>
      </c>
      <c r="E1371" s="3" t="s">
        <v>8</v>
      </c>
      <c r="F1371" s="5">
        <v>4193.22</v>
      </c>
      <c r="G1371" s="5">
        <v>0</v>
      </c>
      <c r="H1371" s="5">
        <f t="shared" si="42"/>
        <v>-4193.22</v>
      </c>
      <c r="I1371" s="9">
        <f t="shared" si="43"/>
        <v>-1</v>
      </c>
      <c r="J1371" s="3" t="s">
        <v>4603</v>
      </c>
    </row>
    <row r="1372" spans="1:10">
      <c r="A1372" s="3" t="s">
        <v>1811</v>
      </c>
      <c r="B1372" s="3" t="s">
        <v>2251</v>
      </c>
      <c r="C1372" s="4">
        <v>232</v>
      </c>
      <c r="D1372" s="3" t="s">
        <v>95</v>
      </c>
      <c r="E1372" s="3" t="s">
        <v>13</v>
      </c>
      <c r="F1372" s="5">
        <v>3756.6</v>
      </c>
      <c r="G1372" s="5">
        <v>0</v>
      </c>
      <c r="H1372" s="5">
        <f t="shared" si="42"/>
        <v>-3756.6</v>
      </c>
      <c r="I1372" s="9">
        <f t="shared" si="43"/>
        <v>-1</v>
      </c>
      <c r="J1372" s="3" t="s">
        <v>4603</v>
      </c>
    </row>
    <row r="1373" spans="1:10" ht="25.5">
      <c r="A1373" s="3" t="s">
        <v>1811</v>
      </c>
      <c r="B1373" s="3" t="s">
        <v>2252</v>
      </c>
      <c r="C1373" s="4">
        <v>19</v>
      </c>
      <c r="D1373" s="3" t="s">
        <v>53</v>
      </c>
      <c r="E1373" s="3" t="s">
        <v>18</v>
      </c>
      <c r="F1373" s="5">
        <v>3493.59</v>
      </c>
      <c r="G1373" s="5">
        <v>0</v>
      </c>
      <c r="H1373" s="5">
        <f t="shared" si="42"/>
        <v>-3493.59</v>
      </c>
      <c r="I1373" s="9">
        <f t="shared" si="43"/>
        <v>-1</v>
      </c>
      <c r="J1373" s="3" t="s">
        <v>4604</v>
      </c>
    </row>
    <row r="1374" spans="1:10" ht="25.5">
      <c r="A1374" s="3" t="s">
        <v>1811</v>
      </c>
      <c r="B1374" s="3" t="s">
        <v>2252</v>
      </c>
      <c r="C1374" s="4">
        <v>19</v>
      </c>
      <c r="D1374" s="3" t="s">
        <v>53</v>
      </c>
      <c r="E1374" s="3" t="s">
        <v>8</v>
      </c>
      <c r="F1374" s="5">
        <v>3493.59</v>
      </c>
      <c r="G1374" s="5">
        <v>0</v>
      </c>
      <c r="H1374" s="5">
        <f t="shared" si="42"/>
        <v>-3493.59</v>
      </c>
      <c r="I1374" s="9">
        <f t="shared" si="43"/>
        <v>-1</v>
      </c>
      <c r="J1374" s="3" t="s">
        <v>4604</v>
      </c>
    </row>
    <row r="1375" spans="1:10" ht="25.5">
      <c r="A1375" s="3" t="s">
        <v>1811</v>
      </c>
      <c r="B1375" s="3" t="s">
        <v>2253</v>
      </c>
      <c r="C1375" s="4">
        <v>93</v>
      </c>
      <c r="D1375" s="3" t="s">
        <v>42</v>
      </c>
      <c r="E1375" s="3" t="s">
        <v>8</v>
      </c>
      <c r="F1375" s="5">
        <v>0</v>
      </c>
      <c r="G1375" s="5">
        <v>9063</v>
      </c>
      <c r="H1375" s="5">
        <f t="shared" si="42"/>
        <v>9063</v>
      </c>
      <c r="I1375" s="9">
        <f t="shared" si="43"/>
        <v>0</v>
      </c>
      <c r="J1375" s="3" t="s">
        <v>4603</v>
      </c>
    </row>
    <row r="1376" spans="1:10">
      <c r="A1376" s="3" t="s">
        <v>1811</v>
      </c>
      <c r="B1376" s="3" t="s">
        <v>2254</v>
      </c>
      <c r="C1376" s="4">
        <v>232</v>
      </c>
      <c r="D1376" s="3" t="s">
        <v>95</v>
      </c>
      <c r="E1376" s="3" t="s">
        <v>13</v>
      </c>
      <c r="F1376" s="5">
        <v>3178.8</v>
      </c>
      <c r="G1376" s="5">
        <v>10345.83</v>
      </c>
      <c r="H1376" s="5">
        <f t="shared" si="42"/>
        <v>7167.03</v>
      </c>
      <c r="I1376" s="9">
        <f t="shared" si="43"/>
        <v>2.2546338240845598</v>
      </c>
      <c r="J1376" s="3" t="s">
        <v>4603</v>
      </c>
    </row>
    <row r="1377" spans="1:10" ht="25.5">
      <c r="A1377" s="3" t="s">
        <v>1811</v>
      </c>
      <c r="B1377" s="3" t="s">
        <v>2255</v>
      </c>
      <c r="C1377" s="4">
        <v>317</v>
      </c>
      <c r="D1377" s="3" t="s">
        <v>54</v>
      </c>
      <c r="E1377" s="3" t="s">
        <v>18</v>
      </c>
      <c r="F1377" s="5">
        <v>0</v>
      </c>
      <c r="G1377" s="5">
        <v>7955.76</v>
      </c>
      <c r="H1377" s="5">
        <f t="shared" si="42"/>
        <v>7955.76</v>
      </c>
      <c r="I1377" s="9">
        <f t="shared" si="43"/>
        <v>0</v>
      </c>
      <c r="J1377" s="3" t="s">
        <v>4603</v>
      </c>
    </row>
    <row r="1378" spans="1:10" ht="25.5">
      <c r="A1378" s="3" t="s">
        <v>1811</v>
      </c>
      <c r="B1378" s="3" t="s">
        <v>2256</v>
      </c>
      <c r="C1378" s="4">
        <v>317</v>
      </c>
      <c r="D1378" s="3" t="s">
        <v>54</v>
      </c>
      <c r="E1378" s="3" t="s">
        <v>18</v>
      </c>
      <c r="F1378" s="5">
        <v>11504.04</v>
      </c>
      <c r="G1378" s="5">
        <v>0</v>
      </c>
      <c r="H1378" s="5">
        <f t="shared" si="42"/>
        <v>-11504.04</v>
      </c>
      <c r="I1378" s="9">
        <f t="shared" si="43"/>
        <v>-1</v>
      </c>
      <c r="J1378" s="3" t="s">
        <v>4603</v>
      </c>
    </row>
    <row r="1379" spans="1:10" ht="25.5">
      <c r="A1379" s="3" t="s">
        <v>1811</v>
      </c>
      <c r="B1379" s="3" t="s">
        <v>2257</v>
      </c>
      <c r="C1379" s="4">
        <v>340</v>
      </c>
      <c r="D1379" s="3" t="s">
        <v>2258</v>
      </c>
      <c r="E1379" s="3" t="s">
        <v>8</v>
      </c>
      <c r="F1379" s="5">
        <v>0</v>
      </c>
      <c r="G1379" s="5">
        <v>6981.27</v>
      </c>
      <c r="H1379" s="5">
        <f t="shared" si="42"/>
        <v>6981.27</v>
      </c>
      <c r="I1379" s="9">
        <f t="shared" si="43"/>
        <v>0</v>
      </c>
      <c r="J1379" s="3" t="s">
        <v>4603</v>
      </c>
    </row>
    <row r="1380" spans="1:10" ht="25.5">
      <c r="A1380" s="3" t="s">
        <v>1811</v>
      </c>
      <c r="B1380" s="3" t="s">
        <v>2259</v>
      </c>
      <c r="C1380" s="4">
        <v>39</v>
      </c>
      <c r="D1380" s="3" t="s">
        <v>26</v>
      </c>
      <c r="E1380" s="3" t="s">
        <v>9</v>
      </c>
      <c r="F1380" s="5">
        <v>7624.86</v>
      </c>
      <c r="G1380" s="5">
        <v>0</v>
      </c>
      <c r="H1380" s="5">
        <f t="shared" si="42"/>
        <v>-7624.86</v>
      </c>
      <c r="I1380" s="9">
        <f t="shared" si="43"/>
        <v>-1</v>
      </c>
      <c r="J1380" s="3" t="s">
        <v>4603</v>
      </c>
    </row>
    <row r="1381" spans="1:10" ht="25.5">
      <c r="A1381" s="3" t="s">
        <v>1811</v>
      </c>
      <c r="B1381" s="3" t="s">
        <v>2260</v>
      </c>
      <c r="C1381" s="4">
        <v>296</v>
      </c>
      <c r="D1381" s="3" t="s">
        <v>137</v>
      </c>
      <c r="E1381" s="3" t="s">
        <v>18</v>
      </c>
      <c r="F1381" s="5">
        <v>7325.16</v>
      </c>
      <c r="G1381" s="5">
        <v>7957.73</v>
      </c>
      <c r="H1381" s="5">
        <f t="shared" si="42"/>
        <v>632.56999999999971</v>
      </c>
      <c r="I1381" s="9">
        <f t="shared" si="43"/>
        <v>8.6355792911008145E-2</v>
      </c>
      <c r="J1381" s="3" t="s">
        <v>4603</v>
      </c>
    </row>
    <row r="1382" spans="1:10" ht="38.25">
      <c r="A1382" s="3" t="s">
        <v>1811</v>
      </c>
      <c r="B1382" s="3" t="s">
        <v>2261</v>
      </c>
      <c r="C1382" s="4">
        <v>371</v>
      </c>
      <c r="D1382" s="3" t="s">
        <v>29</v>
      </c>
      <c r="E1382" s="3" t="s">
        <v>30</v>
      </c>
      <c r="F1382" s="5">
        <v>10653.45</v>
      </c>
      <c r="G1382" s="5">
        <v>11440.2</v>
      </c>
      <c r="H1382" s="5">
        <f t="shared" si="42"/>
        <v>786.75</v>
      </c>
      <c r="I1382" s="9">
        <f t="shared" si="43"/>
        <v>7.3849316418624911E-2</v>
      </c>
      <c r="J1382" s="3" t="s">
        <v>4603</v>
      </c>
    </row>
    <row r="1383" spans="1:10">
      <c r="A1383" s="3" t="s">
        <v>1811</v>
      </c>
      <c r="B1383" s="3" t="s">
        <v>2262</v>
      </c>
      <c r="C1383" s="4">
        <v>232</v>
      </c>
      <c r="D1383" s="3" t="s">
        <v>95</v>
      </c>
      <c r="E1383" s="3" t="s">
        <v>13</v>
      </c>
      <c r="F1383" s="5">
        <v>0</v>
      </c>
      <c r="G1383" s="5">
        <v>2607.84</v>
      </c>
      <c r="H1383" s="5">
        <f t="shared" si="42"/>
        <v>2607.84</v>
      </c>
      <c r="I1383" s="9">
        <f t="shared" si="43"/>
        <v>0</v>
      </c>
      <c r="J1383" s="3" t="s">
        <v>4603</v>
      </c>
    </row>
    <row r="1384" spans="1:10" ht="25.5">
      <c r="A1384" s="3" t="s">
        <v>1811</v>
      </c>
      <c r="B1384" s="3" t="s">
        <v>2263</v>
      </c>
      <c r="C1384" s="4">
        <v>266</v>
      </c>
      <c r="D1384" s="3" t="s">
        <v>111</v>
      </c>
      <c r="E1384" s="3" t="s">
        <v>18</v>
      </c>
      <c r="F1384" s="5">
        <v>0</v>
      </c>
      <c r="G1384" s="5">
        <v>5869.38</v>
      </c>
      <c r="H1384" s="5">
        <f t="shared" si="42"/>
        <v>5869.38</v>
      </c>
      <c r="I1384" s="9">
        <f t="shared" si="43"/>
        <v>0</v>
      </c>
      <c r="J1384" s="3" t="s">
        <v>4603</v>
      </c>
    </row>
    <row r="1385" spans="1:10" ht="25.5">
      <c r="A1385" s="3" t="s">
        <v>1811</v>
      </c>
      <c r="B1385" s="3" t="s">
        <v>2264</v>
      </c>
      <c r="C1385" s="4">
        <v>178</v>
      </c>
      <c r="D1385" s="3" t="s">
        <v>92</v>
      </c>
      <c r="E1385" s="3" t="s">
        <v>8</v>
      </c>
      <c r="F1385" s="5">
        <v>2903.34</v>
      </c>
      <c r="G1385" s="5">
        <v>0</v>
      </c>
      <c r="H1385" s="5">
        <f t="shared" si="42"/>
        <v>-2903.34</v>
      </c>
      <c r="I1385" s="9">
        <f t="shared" si="43"/>
        <v>-1</v>
      </c>
      <c r="J1385" s="3" t="s">
        <v>4603</v>
      </c>
    </row>
    <row r="1386" spans="1:10" ht="25.5">
      <c r="A1386" s="3" t="s">
        <v>1811</v>
      </c>
      <c r="B1386" s="3" t="s">
        <v>2265</v>
      </c>
      <c r="C1386" s="4">
        <v>23</v>
      </c>
      <c r="D1386" s="3" t="s">
        <v>71</v>
      </c>
      <c r="E1386" s="3" t="s">
        <v>8</v>
      </c>
      <c r="F1386" s="5">
        <v>6083.04</v>
      </c>
      <c r="G1386" s="5">
        <v>7635.72</v>
      </c>
      <c r="H1386" s="5">
        <f t="shared" si="42"/>
        <v>1552.6800000000003</v>
      </c>
      <c r="I1386" s="9">
        <f t="shared" si="43"/>
        <v>0.25524737631184413</v>
      </c>
      <c r="J1386" s="3" t="s">
        <v>4603</v>
      </c>
    </row>
    <row r="1387" spans="1:10" ht="25.5">
      <c r="A1387" s="3" t="s">
        <v>1811</v>
      </c>
      <c r="B1387" s="3" t="s">
        <v>2266</v>
      </c>
      <c r="C1387" s="4">
        <v>53</v>
      </c>
      <c r="D1387" s="3" t="s">
        <v>340</v>
      </c>
      <c r="E1387" s="3" t="s">
        <v>13</v>
      </c>
      <c r="F1387" s="5">
        <v>7982.62</v>
      </c>
      <c r="G1387" s="5">
        <v>0</v>
      </c>
      <c r="H1387" s="5">
        <f t="shared" si="42"/>
        <v>-7982.62</v>
      </c>
      <c r="I1387" s="9">
        <f t="shared" si="43"/>
        <v>-1</v>
      </c>
      <c r="J1387" s="3" t="s">
        <v>4603</v>
      </c>
    </row>
    <row r="1388" spans="1:10" ht="25.5">
      <c r="A1388" s="3" t="s">
        <v>1811</v>
      </c>
      <c r="B1388" s="3" t="s">
        <v>2267</v>
      </c>
      <c r="C1388" s="4">
        <v>264</v>
      </c>
      <c r="D1388" s="3" t="s">
        <v>632</v>
      </c>
      <c r="E1388" s="3" t="s">
        <v>18</v>
      </c>
      <c r="F1388" s="5">
        <v>3155.4</v>
      </c>
      <c r="G1388" s="5">
        <v>0</v>
      </c>
      <c r="H1388" s="5">
        <f t="shared" si="42"/>
        <v>-3155.4</v>
      </c>
      <c r="I1388" s="9">
        <f t="shared" si="43"/>
        <v>-1</v>
      </c>
      <c r="J1388" s="3" t="s">
        <v>4603</v>
      </c>
    </row>
    <row r="1389" spans="1:10" ht="38.25">
      <c r="A1389" s="3" t="s">
        <v>1811</v>
      </c>
      <c r="B1389" s="3" t="s">
        <v>2268</v>
      </c>
      <c r="C1389" s="4">
        <v>45</v>
      </c>
      <c r="D1389" s="3" t="s">
        <v>16</v>
      </c>
      <c r="E1389" s="3" t="s">
        <v>8</v>
      </c>
      <c r="F1389" s="5">
        <v>2567.52</v>
      </c>
      <c r="G1389" s="5">
        <v>0</v>
      </c>
      <c r="H1389" s="5">
        <f t="shared" si="42"/>
        <v>-2567.52</v>
      </c>
      <c r="I1389" s="9">
        <f t="shared" si="43"/>
        <v>-1</v>
      </c>
      <c r="J1389" s="3" t="s">
        <v>4603</v>
      </c>
    </row>
    <row r="1390" spans="1:10" ht="25.5">
      <c r="A1390" s="3" t="s">
        <v>1811</v>
      </c>
      <c r="B1390" s="3" t="s">
        <v>2269</v>
      </c>
      <c r="C1390" s="4">
        <v>23</v>
      </c>
      <c r="D1390" s="3" t="s">
        <v>71</v>
      </c>
      <c r="E1390" s="3" t="s">
        <v>8</v>
      </c>
      <c r="F1390" s="5">
        <v>0</v>
      </c>
      <c r="G1390" s="5">
        <v>3015.6</v>
      </c>
      <c r="H1390" s="5">
        <f t="shared" si="42"/>
        <v>3015.6</v>
      </c>
      <c r="I1390" s="9">
        <f t="shared" si="43"/>
        <v>0</v>
      </c>
      <c r="J1390" s="3" t="s">
        <v>4603</v>
      </c>
    </row>
    <row r="1391" spans="1:10" ht="38.25">
      <c r="A1391" s="3" t="s">
        <v>1811</v>
      </c>
      <c r="B1391" s="3" t="s">
        <v>2270</v>
      </c>
      <c r="C1391" s="4">
        <v>45</v>
      </c>
      <c r="D1391" s="3" t="s">
        <v>16</v>
      </c>
      <c r="E1391" s="3" t="s">
        <v>8</v>
      </c>
      <c r="F1391" s="5">
        <v>2483.52</v>
      </c>
      <c r="G1391" s="5">
        <v>0</v>
      </c>
      <c r="H1391" s="5">
        <f t="shared" si="42"/>
        <v>-2483.52</v>
      </c>
      <c r="I1391" s="9">
        <f t="shared" si="43"/>
        <v>-1</v>
      </c>
      <c r="J1391" s="3" t="s">
        <v>4603</v>
      </c>
    </row>
    <row r="1392" spans="1:10" ht="25.5">
      <c r="A1392" s="3" t="s">
        <v>1811</v>
      </c>
      <c r="B1392" s="3" t="s">
        <v>2271</v>
      </c>
      <c r="C1392" s="4">
        <v>266</v>
      </c>
      <c r="D1392" s="3" t="s">
        <v>111</v>
      </c>
      <c r="E1392" s="3" t="s">
        <v>18</v>
      </c>
      <c r="F1392" s="5">
        <v>4174.08</v>
      </c>
      <c r="G1392" s="5">
        <v>0</v>
      </c>
      <c r="H1392" s="5">
        <f t="shared" si="42"/>
        <v>-4174.08</v>
      </c>
      <c r="I1392" s="9">
        <f t="shared" si="43"/>
        <v>-1</v>
      </c>
      <c r="J1392" s="3" t="s">
        <v>4603</v>
      </c>
    </row>
    <row r="1393" spans="1:10" ht="25.5">
      <c r="A1393" s="3" t="s">
        <v>1811</v>
      </c>
      <c r="B1393" s="3" t="s">
        <v>2272</v>
      </c>
      <c r="C1393" s="4">
        <v>240</v>
      </c>
      <c r="D1393" s="3" t="s">
        <v>152</v>
      </c>
      <c r="E1393" s="3" t="s">
        <v>13</v>
      </c>
      <c r="F1393" s="5">
        <v>0</v>
      </c>
      <c r="G1393" s="5">
        <v>10343.4</v>
      </c>
      <c r="H1393" s="5">
        <f t="shared" si="42"/>
        <v>10343.4</v>
      </c>
      <c r="I1393" s="9">
        <f t="shared" si="43"/>
        <v>0</v>
      </c>
      <c r="J1393" s="3" t="s">
        <v>4603</v>
      </c>
    </row>
    <row r="1394" spans="1:10" ht="51">
      <c r="A1394" s="3" t="s">
        <v>1811</v>
      </c>
      <c r="B1394" s="3" t="s">
        <v>2273</v>
      </c>
      <c r="C1394" s="4">
        <v>282</v>
      </c>
      <c r="D1394" s="3" t="s">
        <v>298</v>
      </c>
      <c r="E1394" s="3" t="s">
        <v>9</v>
      </c>
      <c r="F1394" s="5">
        <v>1799.64</v>
      </c>
      <c r="G1394" s="5">
        <v>5140.5600000000004</v>
      </c>
      <c r="H1394" s="5">
        <f t="shared" si="42"/>
        <v>3340.92</v>
      </c>
      <c r="I1394" s="9">
        <f t="shared" si="43"/>
        <v>1.8564379542575185</v>
      </c>
      <c r="J1394" s="3" t="s">
        <v>4603</v>
      </c>
    </row>
    <row r="1395" spans="1:10" ht="38.25">
      <c r="A1395" s="3" t="s">
        <v>1811</v>
      </c>
      <c r="B1395" s="3" t="s">
        <v>2274</v>
      </c>
      <c r="C1395" s="4">
        <v>45</v>
      </c>
      <c r="D1395" s="3" t="s">
        <v>16</v>
      </c>
      <c r="E1395" s="3" t="s">
        <v>8</v>
      </c>
      <c r="F1395" s="5">
        <v>16017.24</v>
      </c>
      <c r="G1395" s="5">
        <v>12999.03</v>
      </c>
      <c r="H1395" s="5">
        <f t="shared" si="42"/>
        <v>-3018.2099999999991</v>
      </c>
      <c r="I1395" s="9">
        <f t="shared" si="43"/>
        <v>-0.18843508619462523</v>
      </c>
      <c r="J1395" s="3" t="s">
        <v>4603</v>
      </c>
    </row>
    <row r="1396" spans="1:10" ht="25.5">
      <c r="A1396" s="3" t="s">
        <v>1811</v>
      </c>
      <c r="B1396" s="3" t="s">
        <v>2275</v>
      </c>
      <c r="C1396" s="4">
        <v>74</v>
      </c>
      <c r="D1396" s="3" t="s">
        <v>86</v>
      </c>
      <c r="E1396" s="3" t="s">
        <v>8</v>
      </c>
      <c r="F1396" s="5">
        <v>0</v>
      </c>
      <c r="G1396" s="5">
        <v>17353.919999999998</v>
      </c>
      <c r="H1396" s="5">
        <f t="shared" si="42"/>
        <v>17353.919999999998</v>
      </c>
      <c r="I1396" s="9">
        <f t="shared" si="43"/>
        <v>0</v>
      </c>
      <c r="J1396" s="3" t="s">
        <v>4603</v>
      </c>
    </row>
    <row r="1397" spans="1:10" ht="25.5">
      <c r="A1397" s="3" t="s">
        <v>1811</v>
      </c>
      <c r="B1397" s="3" t="s">
        <v>2276</v>
      </c>
      <c r="C1397" s="4">
        <v>267</v>
      </c>
      <c r="D1397" s="3" t="s">
        <v>417</v>
      </c>
      <c r="E1397" s="3" t="s">
        <v>13</v>
      </c>
      <c r="F1397" s="5">
        <v>8290.5</v>
      </c>
      <c r="G1397" s="5">
        <v>0</v>
      </c>
      <c r="H1397" s="5">
        <f t="shared" si="42"/>
        <v>-8290.5</v>
      </c>
      <c r="I1397" s="9">
        <f t="shared" si="43"/>
        <v>-1</v>
      </c>
      <c r="J1397" s="3" t="s">
        <v>4603</v>
      </c>
    </row>
    <row r="1398" spans="1:10" ht="25.5">
      <c r="A1398" s="3" t="s">
        <v>1811</v>
      </c>
      <c r="B1398" s="3" t="s">
        <v>2277</v>
      </c>
      <c r="C1398" s="4">
        <v>93</v>
      </c>
      <c r="D1398" s="3" t="s">
        <v>42</v>
      </c>
      <c r="E1398" s="3" t="s">
        <v>8</v>
      </c>
      <c r="F1398" s="5">
        <v>15090.45</v>
      </c>
      <c r="G1398" s="5">
        <v>0</v>
      </c>
      <c r="H1398" s="5">
        <f t="shared" si="42"/>
        <v>-15090.45</v>
      </c>
      <c r="I1398" s="9">
        <f t="shared" si="43"/>
        <v>-1</v>
      </c>
      <c r="J1398" s="3" t="s">
        <v>4603</v>
      </c>
    </row>
    <row r="1399" spans="1:10" ht="38.25">
      <c r="A1399" s="3" t="s">
        <v>1811</v>
      </c>
      <c r="B1399" s="3" t="s">
        <v>2278</v>
      </c>
      <c r="C1399" s="4">
        <v>45</v>
      </c>
      <c r="D1399" s="3" t="s">
        <v>16</v>
      </c>
      <c r="E1399" s="3" t="s">
        <v>8</v>
      </c>
      <c r="F1399" s="5">
        <v>0</v>
      </c>
      <c r="G1399" s="5">
        <v>3838.05</v>
      </c>
      <c r="H1399" s="5">
        <f t="shared" si="42"/>
        <v>3838.05</v>
      </c>
      <c r="I1399" s="9">
        <f t="shared" si="43"/>
        <v>0</v>
      </c>
      <c r="J1399" s="3" t="s">
        <v>4603</v>
      </c>
    </row>
    <row r="1400" spans="1:10" ht="25.5">
      <c r="A1400" s="3" t="s">
        <v>1811</v>
      </c>
      <c r="B1400" s="3" t="s">
        <v>2279</v>
      </c>
      <c r="C1400" s="4">
        <v>194</v>
      </c>
      <c r="D1400" s="3" t="s">
        <v>179</v>
      </c>
      <c r="E1400" s="3" t="s">
        <v>13</v>
      </c>
      <c r="F1400" s="5">
        <v>2639.4</v>
      </c>
      <c r="G1400" s="5">
        <v>0</v>
      </c>
      <c r="H1400" s="5">
        <f t="shared" si="42"/>
        <v>-2639.4</v>
      </c>
      <c r="I1400" s="9">
        <f t="shared" si="43"/>
        <v>-1</v>
      </c>
      <c r="J1400" s="3" t="s">
        <v>4603</v>
      </c>
    </row>
    <row r="1401" spans="1:10" ht="25.5">
      <c r="A1401" s="3" t="s">
        <v>1811</v>
      </c>
      <c r="B1401" s="3" t="s">
        <v>2280</v>
      </c>
      <c r="C1401" s="4">
        <v>93</v>
      </c>
      <c r="D1401" s="3" t="s">
        <v>42</v>
      </c>
      <c r="E1401" s="3" t="s">
        <v>8</v>
      </c>
      <c r="F1401" s="5">
        <v>0</v>
      </c>
      <c r="G1401" s="5">
        <v>57944.4</v>
      </c>
      <c r="H1401" s="5">
        <f t="shared" si="42"/>
        <v>57944.4</v>
      </c>
      <c r="I1401" s="9">
        <f t="shared" si="43"/>
        <v>0</v>
      </c>
      <c r="J1401" s="3" t="s">
        <v>4604</v>
      </c>
    </row>
    <row r="1402" spans="1:10" ht="25.5">
      <c r="A1402" s="3" t="s">
        <v>1811</v>
      </c>
      <c r="B1402" s="3" t="s">
        <v>2281</v>
      </c>
      <c r="C1402" s="4">
        <v>297</v>
      </c>
      <c r="D1402" s="3" t="s">
        <v>209</v>
      </c>
      <c r="E1402" s="3" t="s">
        <v>22</v>
      </c>
      <c r="F1402" s="5">
        <v>0</v>
      </c>
      <c r="G1402" s="5">
        <v>3749.79</v>
      </c>
      <c r="H1402" s="5">
        <f t="shared" si="42"/>
        <v>3749.79</v>
      </c>
      <c r="I1402" s="9">
        <f t="shared" si="43"/>
        <v>0</v>
      </c>
      <c r="J1402" s="3" t="s">
        <v>4603</v>
      </c>
    </row>
    <row r="1403" spans="1:10" ht="38.25">
      <c r="A1403" s="3" t="s">
        <v>1811</v>
      </c>
      <c r="B1403" s="3" t="s">
        <v>2282</v>
      </c>
      <c r="C1403" s="4">
        <v>45</v>
      </c>
      <c r="D1403" s="3" t="s">
        <v>16</v>
      </c>
      <c r="E1403" s="3" t="s">
        <v>8</v>
      </c>
      <c r="F1403" s="5">
        <v>45610.86</v>
      </c>
      <c r="G1403" s="5">
        <v>109502.31</v>
      </c>
      <c r="H1403" s="5">
        <f t="shared" si="42"/>
        <v>63891.45</v>
      </c>
      <c r="I1403" s="9">
        <f t="shared" si="43"/>
        <v>1.4007946791619363</v>
      </c>
      <c r="J1403" s="3" t="s">
        <v>4603</v>
      </c>
    </row>
    <row r="1404" spans="1:10">
      <c r="A1404" s="3" t="s">
        <v>1811</v>
      </c>
      <c r="B1404" s="3" t="s">
        <v>2283</v>
      </c>
      <c r="C1404" s="4">
        <v>167</v>
      </c>
      <c r="D1404" s="3" t="s">
        <v>335</v>
      </c>
      <c r="E1404" s="3" t="s">
        <v>30</v>
      </c>
      <c r="F1404" s="5">
        <v>7971.78</v>
      </c>
      <c r="G1404" s="5">
        <v>17417.34</v>
      </c>
      <c r="H1404" s="5">
        <f t="shared" si="42"/>
        <v>9445.5600000000013</v>
      </c>
      <c r="I1404" s="9">
        <f t="shared" si="43"/>
        <v>1.1848746453113357</v>
      </c>
      <c r="J1404" s="3" t="s">
        <v>4603</v>
      </c>
    </row>
    <row r="1405" spans="1:10" ht="38.25">
      <c r="A1405" s="3" t="s">
        <v>1811</v>
      </c>
      <c r="B1405" s="3" t="s">
        <v>2284</v>
      </c>
      <c r="C1405" s="4">
        <v>301</v>
      </c>
      <c r="D1405" s="3" t="s">
        <v>12</v>
      </c>
      <c r="E1405" s="3" t="s">
        <v>13</v>
      </c>
      <c r="F1405" s="5">
        <v>0</v>
      </c>
      <c r="G1405" s="5">
        <v>22721.9</v>
      </c>
      <c r="H1405" s="5">
        <f t="shared" si="42"/>
        <v>22721.9</v>
      </c>
      <c r="I1405" s="9">
        <f t="shared" si="43"/>
        <v>0</v>
      </c>
      <c r="J1405" s="3" t="s">
        <v>4603</v>
      </c>
    </row>
    <row r="1406" spans="1:10" ht="51">
      <c r="A1406" s="3" t="s">
        <v>1811</v>
      </c>
      <c r="B1406" s="3" t="s">
        <v>2285</v>
      </c>
      <c r="C1406" s="4">
        <v>282</v>
      </c>
      <c r="D1406" s="3" t="s">
        <v>298</v>
      </c>
      <c r="E1406" s="3" t="s">
        <v>9</v>
      </c>
      <c r="F1406" s="5">
        <v>4133.22</v>
      </c>
      <c r="G1406" s="5">
        <v>0</v>
      </c>
      <c r="H1406" s="5">
        <f t="shared" si="42"/>
        <v>-4133.22</v>
      </c>
      <c r="I1406" s="9">
        <f t="shared" si="43"/>
        <v>-1</v>
      </c>
      <c r="J1406" s="3" t="s">
        <v>4603</v>
      </c>
    </row>
    <row r="1407" spans="1:10" ht="38.25">
      <c r="A1407" s="3" t="s">
        <v>1811</v>
      </c>
      <c r="B1407" s="3" t="s">
        <v>2286</v>
      </c>
      <c r="C1407" s="4">
        <v>45</v>
      </c>
      <c r="D1407" s="3" t="s">
        <v>16</v>
      </c>
      <c r="E1407" s="3" t="s">
        <v>8</v>
      </c>
      <c r="F1407" s="5">
        <v>26809.86</v>
      </c>
      <c r="G1407" s="5">
        <v>19532.580000000002</v>
      </c>
      <c r="H1407" s="5">
        <f t="shared" si="42"/>
        <v>-7277.2799999999988</v>
      </c>
      <c r="I1407" s="9">
        <f t="shared" si="43"/>
        <v>-0.27144043273631413</v>
      </c>
      <c r="J1407" s="3" t="s">
        <v>4603</v>
      </c>
    </row>
    <row r="1408" spans="1:10" ht="25.5">
      <c r="A1408" s="3" t="s">
        <v>1811</v>
      </c>
      <c r="B1408" s="3" t="s">
        <v>2287</v>
      </c>
      <c r="C1408" s="4">
        <v>299</v>
      </c>
      <c r="D1408" s="3" t="s">
        <v>246</v>
      </c>
      <c r="E1408" s="3" t="s">
        <v>30</v>
      </c>
      <c r="F1408" s="5">
        <v>0</v>
      </c>
      <c r="G1408" s="5">
        <v>24860.91</v>
      </c>
      <c r="H1408" s="5">
        <f t="shared" si="42"/>
        <v>24860.91</v>
      </c>
      <c r="I1408" s="9">
        <f t="shared" si="43"/>
        <v>0</v>
      </c>
      <c r="J1408" s="3" t="s">
        <v>4603</v>
      </c>
    </row>
    <row r="1409" spans="1:10" ht="25.5">
      <c r="A1409" s="3" t="s">
        <v>1811</v>
      </c>
      <c r="B1409" s="3" t="s">
        <v>2288</v>
      </c>
      <c r="C1409" s="4">
        <v>261</v>
      </c>
      <c r="D1409" s="3" t="s">
        <v>17</v>
      </c>
      <c r="E1409" s="3" t="s">
        <v>18</v>
      </c>
      <c r="F1409" s="5">
        <v>0</v>
      </c>
      <c r="G1409" s="5">
        <v>11617.47</v>
      </c>
      <c r="H1409" s="5">
        <f t="shared" si="42"/>
        <v>11617.47</v>
      </c>
      <c r="I1409" s="9">
        <f t="shared" si="43"/>
        <v>0</v>
      </c>
      <c r="J1409" s="3" t="s">
        <v>4603</v>
      </c>
    </row>
    <row r="1410" spans="1:10" ht="25.5">
      <c r="A1410" s="3" t="s">
        <v>1811</v>
      </c>
      <c r="B1410" s="3" t="s">
        <v>2289</v>
      </c>
      <c r="C1410" s="4">
        <v>19</v>
      </c>
      <c r="D1410" s="3" t="s">
        <v>53</v>
      </c>
      <c r="E1410" s="3" t="s">
        <v>22</v>
      </c>
      <c r="F1410" s="5">
        <v>17918.04</v>
      </c>
      <c r="G1410" s="5">
        <v>29381.45</v>
      </c>
      <c r="H1410" s="5">
        <f t="shared" si="42"/>
        <v>11463.41</v>
      </c>
      <c r="I1410" s="9">
        <f t="shared" si="43"/>
        <v>0.63976919350553962</v>
      </c>
      <c r="J1410" s="3" t="s">
        <v>4603</v>
      </c>
    </row>
    <row r="1411" spans="1:10" ht="38.25">
      <c r="A1411" s="3" t="s">
        <v>1811</v>
      </c>
      <c r="B1411" s="3" t="s">
        <v>2290</v>
      </c>
      <c r="C1411" s="4">
        <v>301</v>
      </c>
      <c r="D1411" s="3" t="s">
        <v>12</v>
      </c>
      <c r="E1411" s="3" t="s">
        <v>13</v>
      </c>
      <c r="F1411" s="5">
        <v>0</v>
      </c>
      <c r="G1411" s="5">
        <v>28110.18</v>
      </c>
      <c r="H1411" s="5">
        <f t="shared" ref="H1411:H1474" si="44">G1411-F1411</f>
        <v>28110.18</v>
      </c>
      <c r="I1411" s="9">
        <f t="shared" ref="I1411:I1474" si="45">IFERROR(G1411/F1411-1,0)</f>
        <v>0</v>
      </c>
      <c r="J1411" s="3" t="s">
        <v>4604</v>
      </c>
    </row>
    <row r="1412" spans="1:10" ht="25.5">
      <c r="A1412" s="3" t="s">
        <v>1811</v>
      </c>
      <c r="B1412" s="3" t="s">
        <v>2291</v>
      </c>
      <c r="C1412" s="4">
        <v>299</v>
      </c>
      <c r="D1412" s="3" t="s">
        <v>246</v>
      </c>
      <c r="E1412" s="3" t="s">
        <v>30</v>
      </c>
      <c r="F1412" s="5">
        <v>8560.3799999999992</v>
      </c>
      <c r="G1412" s="5">
        <v>8257.08</v>
      </c>
      <c r="H1412" s="5">
        <f t="shared" si="44"/>
        <v>-303.29999999999927</v>
      </c>
      <c r="I1412" s="9">
        <f t="shared" si="45"/>
        <v>-3.5430670133802411E-2</v>
      </c>
      <c r="J1412" s="3" t="s">
        <v>4603</v>
      </c>
    </row>
    <row r="1413" spans="1:10" ht="38.25">
      <c r="A1413" s="3" t="s">
        <v>1811</v>
      </c>
      <c r="B1413" s="3" t="s">
        <v>2292</v>
      </c>
      <c r="C1413" s="4">
        <v>45</v>
      </c>
      <c r="D1413" s="3" t="s">
        <v>16</v>
      </c>
      <c r="E1413" s="3" t="s">
        <v>8</v>
      </c>
      <c r="F1413" s="5">
        <v>23444.28</v>
      </c>
      <c r="G1413" s="5">
        <v>16582.439999999999</v>
      </c>
      <c r="H1413" s="5">
        <f t="shared" si="44"/>
        <v>-6861.84</v>
      </c>
      <c r="I1413" s="9">
        <f t="shared" si="45"/>
        <v>-0.29268717145504153</v>
      </c>
      <c r="J1413" s="3" t="s">
        <v>4603</v>
      </c>
    </row>
    <row r="1414" spans="1:10" ht="25.5">
      <c r="A1414" s="3" t="s">
        <v>1811</v>
      </c>
      <c r="B1414" s="3" t="s">
        <v>2293</v>
      </c>
      <c r="C1414" s="4">
        <v>178</v>
      </c>
      <c r="D1414" s="3" t="s">
        <v>92</v>
      </c>
      <c r="E1414" s="3" t="s">
        <v>8</v>
      </c>
      <c r="F1414" s="5">
        <v>37836.089999999997</v>
      </c>
      <c r="G1414" s="5">
        <v>10494.72</v>
      </c>
      <c r="H1414" s="5">
        <f t="shared" si="44"/>
        <v>-27341.369999999995</v>
      </c>
      <c r="I1414" s="9">
        <f t="shared" si="45"/>
        <v>-0.72262673019331536</v>
      </c>
      <c r="J1414" s="3" t="s">
        <v>4603</v>
      </c>
    </row>
    <row r="1415" spans="1:10" ht="25.5">
      <c r="A1415" s="3" t="s">
        <v>1811</v>
      </c>
      <c r="B1415" s="3" t="s">
        <v>2294</v>
      </c>
      <c r="C1415" s="4">
        <v>194</v>
      </c>
      <c r="D1415" s="3" t="s">
        <v>179</v>
      </c>
      <c r="E1415" s="3" t="s">
        <v>13</v>
      </c>
      <c r="F1415" s="5">
        <v>0</v>
      </c>
      <c r="G1415" s="5">
        <v>4645.8</v>
      </c>
      <c r="H1415" s="5">
        <f t="shared" si="44"/>
        <v>4645.8</v>
      </c>
      <c r="I1415" s="9">
        <f t="shared" si="45"/>
        <v>0</v>
      </c>
      <c r="J1415" s="3" t="s">
        <v>4603</v>
      </c>
    </row>
    <row r="1416" spans="1:10" ht="38.25">
      <c r="A1416" s="3" t="s">
        <v>1811</v>
      </c>
      <c r="B1416" s="3" t="s">
        <v>2295</v>
      </c>
      <c r="C1416" s="4">
        <v>143</v>
      </c>
      <c r="D1416" s="3" t="s">
        <v>21</v>
      </c>
      <c r="E1416" s="3" t="s">
        <v>22</v>
      </c>
      <c r="F1416" s="5">
        <v>18254.82</v>
      </c>
      <c r="G1416" s="5">
        <v>7507.8</v>
      </c>
      <c r="H1416" s="5">
        <f t="shared" si="44"/>
        <v>-10747.02</v>
      </c>
      <c r="I1416" s="9">
        <f t="shared" si="45"/>
        <v>-0.58872232100891708</v>
      </c>
      <c r="J1416" s="3" t="s">
        <v>4603</v>
      </c>
    </row>
    <row r="1417" spans="1:10" ht="38.25">
      <c r="A1417" s="3" t="s">
        <v>1811</v>
      </c>
      <c r="B1417" s="3" t="s">
        <v>2296</v>
      </c>
      <c r="C1417" s="4">
        <v>45</v>
      </c>
      <c r="D1417" s="3" t="s">
        <v>16</v>
      </c>
      <c r="E1417" s="3" t="s">
        <v>8</v>
      </c>
      <c r="F1417" s="5">
        <v>18831.060000000001</v>
      </c>
      <c r="G1417" s="5">
        <v>11064.24</v>
      </c>
      <c r="H1417" s="5">
        <f t="shared" si="44"/>
        <v>-7766.8200000000015</v>
      </c>
      <c r="I1417" s="9">
        <f t="shared" si="45"/>
        <v>-0.41244730779892369</v>
      </c>
      <c r="J1417" s="3" t="s">
        <v>4603</v>
      </c>
    </row>
    <row r="1418" spans="1:10" ht="25.5">
      <c r="A1418" s="3" t="s">
        <v>1811</v>
      </c>
      <c r="B1418" s="3" t="s">
        <v>2297</v>
      </c>
      <c r="C1418" s="4">
        <v>194</v>
      </c>
      <c r="D1418" s="3" t="s">
        <v>179</v>
      </c>
      <c r="E1418" s="3" t="s">
        <v>13</v>
      </c>
      <c r="F1418" s="5">
        <v>16830.48</v>
      </c>
      <c r="G1418" s="5">
        <v>0</v>
      </c>
      <c r="H1418" s="5">
        <f t="shared" si="44"/>
        <v>-16830.48</v>
      </c>
      <c r="I1418" s="9">
        <f t="shared" si="45"/>
        <v>-1</v>
      </c>
      <c r="J1418" s="3" t="s">
        <v>4603</v>
      </c>
    </row>
    <row r="1419" spans="1:10" ht="38.25">
      <c r="A1419" s="3" t="s">
        <v>1811</v>
      </c>
      <c r="B1419" s="3" t="s">
        <v>2298</v>
      </c>
      <c r="C1419" s="4">
        <v>93</v>
      </c>
      <c r="D1419" s="3" t="s">
        <v>42</v>
      </c>
      <c r="E1419" s="3" t="s">
        <v>8</v>
      </c>
      <c r="F1419" s="5">
        <v>18726.54</v>
      </c>
      <c r="G1419" s="5">
        <v>0</v>
      </c>
      <c r="H1419" s="5">
        <f t="shared" si="44"/>
        <v>-18726.54</v>
      </c>
      <c r="I1419" s="9">
        <f t="shared" si="45"/>
        <v>-1</v>
      </c>
      <c r="J1419" s="3" t="s">
        <v>4603</v>
      </c>
    </row>
    <row r="1420" spans="1:10" ht="25.5">
      <c r="A1420" s="3" t="s">
        <v>1811</v>
      </c>
      <c r="B1420" s="3" t="s">
        <v>2299</v>
      </c>
      <c r="C1420" s="4">
        <v>178</v>
      </c>
      <c r="D1420" s="3" t="s">
        <v>92</v>
      </c>
      <c r="E1420" s="3" t="s">
        <v>8</v>
      </c>
      <c r="F1420" s="5">
        <v>0</v>
      </c>
      <c r="G1420" s="5">
        <v>4324.7700000000004</v>
      </c>
      <c r="H1420" s="5">
        <f t="shared" si="44"/>
        <v>4324.7700000000004</v>
      </c>
      <c r="I1420" s="9">
        <f t="shared" si="45"/>
        <v>0</v>
      </c>
      <c r="J1420" s="3" t="s">
        <v>4603</v>
      </c>
    </row>
    <row r="1421" spans="1:10" ht="25.5">
      <c r="A1421" s="3" t="s">
        <v>1811</v>
      </c>
      <c r="B1421" s="3" t="s">
        <v>2300</v>
      </c>
      <c r="C1421" s="4">
        <v>178</v>
      </c>
      <c r="D1421" s="3" t="s">
        <v>92</v>
      </c>
      <c r="E1421" s="3" t="s">
        <v>8</v>
      </c>
      <c r="F1421" s="5">
        <v>0</v>
      </c>
      <c r="G1421" s="5">
        <v>3168.72</v>
      </c>
      <c r="H1421" s="5">
        <f t="shared" si="44"/>
        <v>3168.72</v>
      </c>
      <c r="I1421" s="9">
        <f t="shared" si="45"/>
        <v>0</v>
      </c>
      <c r="J1421" s="3" t="s">
        <v>4603</v>
      </c>
    </row>
    <row r="1422" spans="1:10" ht="25.5">
      <c r="A1422" s="3" t="s">
        <v>1811</v>
      </c>
      <c r="B1422" s="3" t="s">
        <v>2301</v>
      </c>
      <c r="C1422" s="4">
        <v>178</v>
      </c>
      <c r="D1422" s="3" t="s">
        <v>92</v>
      </c>
      <c r="E1422" s="3" t="s">
        <v>8</v>
      </c>
      <c r="F1422" s="5">
        <v>0</v>
      </c>
      <c r="G1422" s="5">
        <v>5895.78</v>
      </c>
      <c r="H1422" s="5">
        <f t="shared" si="44"/>
        <v>5895.78</v>
      </c>
      <c r="I1422" s="9">
        <f t="shared" si="45"/>
        <v>0</v>
      </c>
      <c r="J1422" s="3" t="s">
        <v>4603</v>
      </c>
    </row>
    <row r="1423" spans="1:10" ht="25.5">
      <c r="A1423" s="3" t="s">
        <v>1811</v>
      </c>
      <c r="B1423" s="3" t="s">
        <v>2302</v>
      </c>
      <c r="C1423" s="4">
        <v>93</v>
      </c>
      <c r="D1423" s="3" t="s">
        <v>42</v>
      </c>
      <c r="E1423" s="3" t="s">
        <v>8</v>
      </c>
      <c r="F1423" s="5">
        <v>12963.33</v>
      </c>
      <c r="G1423" s="5">
        <v>0</v>
      </c>
      <c r="H1423" s="5">
        <f t="shared" si="44"/>
        <v>-12963.33</v>
      </c>
      <c r="I1423" s="9">
        <f t="shared" si="45"/>
        <v>-1</v>
      </c>
      <c r="J1423" s="3" t="s">
        <v>4603</v>
      </c>
    </row>
    <row r="1424" spans="1:10" ht="25.5">
      <c r="A1424" s="3" t="s">
        <v>1811</v>
      </c>
      <c r="B1424" s="3" t="s">
        <v>2303</v>
      </c>
      <c r="C1424" s="4">
        <v>208</v>
      </c>
      <c r="D1424" s="3" t="s">
        <v>58</v>
      </c>
      <c r="E1424" s="3" t="s">
        <v>13</v>
      </c>
      <c r="F1424" s="5">
        <v>0</v>
      </c>
      <c r="G1424" s="5">
        <v>14914.68</v>
      </c>
      <c r="H1424" s="5">
        <f t="shared" si="44"/>
        <v>14914.68</v>
      </c>
      <c r="I1424" s="9">
        <f t="shared" si="45"/>
        <v>0</v>
      </c>
      <c r="J1424" s="3" t="s">
        <v>4603</v>
      </c>
    </row>
    <row r="1425" spans="1:10" ht="25.5">
      <c r="A1425" s="3" t="s">
        <v>1811</v>
      </c>
      <c r="B1425" s="3" t="s">
        <v>2304</v>
      </c>
      <c r="C1425" s="4">
        <v>93</v>
      </c>
      <c r="D1425" s="3" t="s">
        <v>42</v>
      </c>
      <c r="E1425" s="3" t="s">
        <v>8</v>
      </c>
      <c r="F1425" s="5">
        <v>0</v>
      </c>
      <c r="G1425" s="5">
        <v>13795.8</v>
      </c>
      <c r="H1425" s="5">
        <f t="shared" si="44"/>
        <v>13795.8</v>
      </c>
      <c r="I1425" s="9">
        <f t="shared" si="45"/>
        <v>0</v>
      </c>
      <c r="J1425" s="3" t="s">
        <v>4603</v>
      </c>
    </row>
    <row r="1426" spans="1:10" ht="38.25">
      <c r="A1426" s="3" t="s">
        <v>1811</v>
      </c>
      <c r="B1426" s="3" t="s">
        <v>2305</v>
      </c>
      <c r="C1426" s="4">
        <v>11</v>
      </c>
      <c r="D1426" s="3" t="s">
        <v>55</v>
      </c>
      <c r="E1426" s="3" t="s">
        <v>18</v>
      </c>
      <c r="F1426" s="5">
        <v>8530.6200000000008</v>
      </c>
      <c r="G1426" s="5">
        <v>26033.88</v>
      </c>
      <c r="H1426" s="5">
        <f t="shared" si="44"/>
        <v>17503.260000000002</v>
      </c>
      <c r="I1426" s="9">
        <f t="shared" si="45"/>
        <v>2.0518156945216171</v>
      </c>
      <c r="J1426" s="3" t="s">
        <v>4603</v>
      </c>
    </row>
    <row r="1427" spans="1:10" ht="25.5">
      <c r="A1427" s="3" t="s">
        <v>1811</v>
      </c>
      <c r="B1427" s="3" t="s">
        <v>2306</v>
      </c>
      <c r="C1427" s="4">
        <v>317</v>
      </c>
      <c r="D1427" s="3" t="s">
        <v>54</v>
      </c>
      <c r="E1427" s="3" t="s">
        <v>18</v>
      </c>
      <c r="F1427" s="5">
        <v>0</v>
      </c>
      <c r="G1427" s="5">
        <v>18134.16</v>
      </c>
      <c r="H1427" s="5">
        <f t="shared" si="44"/>
        <v>18134.16</v>
      </c>
      <c r="I1427" s="9">
        <f t="shared" si="45"/>
        <v>0</v>
      </c>
      <c r="J1427" s="3" t="s">
        <v>4603</v>
      </c>
    </row>
    <row r="1428" spans="1:10" ht="38.25">
      <c r="A1428" s="3" t="s">
        <v>1811</v>
      </c>
      <c r="B1428" s="3" t="s">
        <v>2307</v>
      </c>
      <c r="C1428" s="4">
        <v>11</v>
      </c>
      <c r="D1428" s="3" t="s">
        <v>55</v>
      </c>
      <c r="E1428" s="3" t="s">
        <v>18</v>
      </c>
      <c r="F1428" s="5">
        <v>0</v>
      </c>
      <c r="G1428" s="5">
        <v>16056.42</v>
      </c>
      <c r="H1428" s="5">
        <f t="shared" si="44"/>
        <v>16056.42</v>
      </c>
      <c r="I1428" s="9">
        <f t="shared" si="45"/>
        <v>0</v>
      </c>
      <c r="J1428" s="3" t="s">
        <v>4603</v>
      </c>
    </row>
    <row r="1429" spans="1:10" ht="25.5">
      <c r="A1429" s="3" t="s">
        <v>1811</v>
      </c>
      <c r="B1429" s="3" t="s">
        <v>2308</v>
      </c>
      <c r="C1429" s="4">
        <v>167</v>
      </c>
      <c r="D1429" s="3" t="s">
        <v>335</v>
      </c>
      <c r="E1429" s="3" t="s">
        <v>30</v>
      </c>
      <c r="F1429" s="5">
        <v>2732.58</v>
      </c>
      <c r="G1429" s="5">
        <v>0</v>
      </c>
      <c r="H1429" s="5">
        <f t="shared" si="44"/>
        <v>-2732.58</v>
      </c>
      <c r="I1429" s="9">
        <f t="shared" si="45"/>
        <v>-1</v>
      </c>
      <c r="J1429" s="3" t="s">
        <v>4603</v>
      </c>
    </row>
    <row r="1430" spans="1:10" ht="25.5">
      <c r="A1430" s="3" t="s">
        <v>1811</v>
      </c>
      <c r="B1430" s="3" t="s">
        <v>2309</v>
      </c>
      <c r="C1430" s="4">
        <v>299</v>
      </c>
      <c r="D1430" s="3" t="s">
        <v>246</v>
      </c>
      <c r="E1430" s="3" t="s">
        <v>30</v>
      </c>
      <c r="F1430" s="5">
        <v>9550.56</v>
      </c>
      <c r="G1430" s="5">
        <v>0</v>
      </c>
      <c r="H1430" s="5">
        <f t="shared" si="44"/>
        <v>-9550.56</v>
      </c>
      <c r="I1430" s="9">
        <f t="shared" si="45"/>
        <v>-1</v>
      </c>
      <c r="J1430" s="3" t="s">
        <v>4603</v>
      </c>
    </row>
    <row r="1431" spans="1:10" ht="25.5">
      <c r="A1431" s="3" t="s">
        <v>1811</v>
      </c>
      <c r="B1431" s="3" t="s">
        <v>2310</v>
      </c>
      <c r="C1431" s="4">
        <v>327</v>
      </c>
      <c r="D1431" s="3" t="s">
        <v>76</v>
      </c>
      <c r="E1431" s="3" t="s">
        <v>8</v>
      </c>
      <c r="F1431" s="5">
        <v>2897.46</v>
      </c>
      <c r="G1431" s="5">
        <v>4133.79</v>
      </c>
      <c r="H1431" s="5">
        <f t="shared" si="44"/>
        <v>1236.33</v>
      </c>
      <c r="I1431" s="9">
        <f t="shared" si="45"/>
        <v>0.42669441510840533</v>
      </c>
      <c r="J1431" s="3" t="s">
        <v>4603</v>
      </c>
    </row>
    <row r="1432" spans="1:10" ht="25.5">
      <c r="A1432" s="3" t="s">
        <v>1811</v>
      </c>
      <c r="B1432" s="3" t="s">
        <v>2311</v>
      </c>
      <c r="C1432" s="4">
        <v>74</v>
      </c>
      <c r="D1432" s="3" t="s">
        <v>86</v>
      </c>
      <c r="E1432" s="3" t="s">
        <v>8</v>
      </c>
      <c r="F1432" s="5">
        <v>2466</v>
      </c>
      <c r="G1432" s="5">
        <v>2001.84</v>
      </c>
      <c r="H1432" s="5">
        <f t="shared" si="44"/>
        <v>-464.16000000000008</v>
      </c>
      <c r="I1432" s="9">
        <f t="shared" si="45"/>
        <v>-0.18822384428223848</v>
      </c>
      <c r="J1432" s="3" t="s">
        <v>4603</v>
      </c>
    </row>
    <row r="1433" spans="1:10" ht="38.25">
      <c r="A1433" s="3" t="s">
        <v>1811</v>
      </c>
      <c r="B1433" s="3" t="s">
        <v>2312</v>
      </c>
      <c r="C1433" s="4">
        <v>38</v>
      </c>
      <c r="D1433" s="3" t="s">
        <v>229</v>
      </c>
      <c r="E1433" s="3" t="s">
        <v>30</v>
      </c>
      <c r="F1433" s="5">
        <v>15366.72</v>
      </c>
      <c r="G1433" s="5">
        <v>9013.02</v>
      </c>
      <c r="H1433" s="5">
        <f t="shared" si="44"/>
        <v>-6353.6999999999989</v>
      </c>
      <c r="I1433" s="9">
        <f t="shared" si="45"/>
        <v>-0.41347144999062901</v>
      </c>
      <c r="J1433" s="3" t="s">
        <v>4603</v>
      </c>
    </row>
    <row r="1434" spans="1:10" ht="25.5">
      <c r="A1434" s="3" t="s">
        <v>1811</v>
      </c>
      <c r="B1434" s="3" t="s">
        <v>2313</v>
      </c>
      <c r="C1434" s="4">
        <v>327</v>
      </c>
      <c r="D1434" s="3" t="s">
        <v>76</v>
      </c>
      <c r="E1434" s="3" t="s">
        <v>8</v>
      </c>
      <c r="F1434" s="5">
        <v>0</v>
      </c>
      <c r="G1434" s="5">
        <v>16708.02</v>
      </c>
      <c r="H1434" s="5">
        <f t="shared" si="44"/>
        <v>16708.02</v>
      </c>
      <c r="I1434" s="9">
        <f t="shared" si="45"/>
        <v>0</v>
      </c>
      <c r="J1434" s="3" t="s">
        <v>4603</v>
      </c>
    </row>
    <row r="1435" spans="1:10" ht="25.5">
      <c r="A1435" s="3" t="s">
        <v>1811</v>
      </c>
      <c r="B1435" s="3" t="s">
        <v>2314</v>
      </c>
      <c r="C1435" s="4">
        <v>194</v>
      </c>
      <c r="D1435" s="3" t="s">
        <v>179</v>
      </c>
      <c r="E1435" s="3" t="s">
        <v>13</v>
      </c>
      <c r="F1435" s="5">
        <v>20048.64</v>
      </c>
      <c r="G1435" s="5">
        <v>15650.16</v>
      </c>
      <c r="H1435" s="5">
        <f t="shared" si="44"/>
        <v>-4398.4799999999996</v>
      </c>
      <c r="I1435" s="9">
        <f t="shared" si="45"/>
        <v>-0.21939044244397621</v>
      </c>
      <c r="J1435" s="3" t="s">
        <v>4603</v>
      </c>
    </row>
    <row r="1436" spans="1:10" ht="38.25">
      <c r="A1436" s="3" t="s">
        <v>1811</v>
      </c>
      <c r="B1436" s="3" t="s">
        <v>2315</v>
      </c>
      <c r="C1436" s="4">
        <v>296</v>
      </c>
      <c r="D1436" s="3" t="s">
        <v>137</v>
      </c>
      <c r="E1436" s="3" t="s">
        <v>18</v>
      </c>
      <c r="F1436" s="5">
        <v>4929.21</v>
      </c>
      <c r="G1436" s="5">
        <v>0</v>
      </c>
      <c r="H1436" s="5">
        <f t="shared" si="44"/>
        <v>-4929.21</v>
      </c>
      <c r="I1436" s="9">
        <f t="shared" si="45"/>
        <v>-1</v>
      </c>
      <c r="J1436" s="3" t="s">
        <v>4603</v>
      </c>
    </row>
    <row r="1437" spans="1:10" ht="25.5">
      <c r="A1437" s="3" t="s">
        <v>1811</v>
      </c>
      <c r="B1437" s="3" t="s">
        <v>2316</v>
      </c>
      <c r="C1437" s="4">
        <v>321</v>
      </c>
      <c r="D1437" s="3" t="s">
        <v>125</v>
      </c>
      <c r="E1437" s="3" t="s">
        <v>22</v>
      </c>
      <c r="F1437" s="5">
        <v>13746.48</v>
      </c>
      <c r="G1437" s="5">
        <v>13280.97</v>
      </c>
      <c r="H1437" s="5">
        <f t="shared" si="44"/>
        <v>-465.51000000000022</v>
      </c>
      <c r="I1437" s="9">
        <f t="shared" si="45"/>
        <v>-3.3863941896398186E-2</v>
      </c>
      <c r="J1437" s="3" t="s">
        <v>4603</v>
      </c>
    </row>
    <row r="1438" spans="1:10" ht="38.25">
      <c r="A1438" s="3" t="s">
        <v>1811</v>
      </c>
      <c r="B1438" s="3" t="s">
        <v>2317</v>
      </c>
      <c r="C1438" s="4">
        <v>34</v>
      </c>
      <c r="D1438" s="3" t="s">
        <v>136</v>
      </c>
      <c r="E1438" s="3" t="s">
        <v>30</v>
      </c>
      <c r="F1438" s="5">
        <v>0</v>
      </c>
      <c r="G1438" s="5">
        <v>4660.4399999999996</v>
      </c>
      <c r="H1438" s="5">
        <f t="shared" si="44"/>
        <v>4660.4399999999996</v>
      </c>
      <c r="I1438" s="9">
        <f t="shared" si="45"/>
        <v>0</v>
      </c>
      <c r="J1438" s="3" t="s">
        <v>4603</v>
      </c>
    </row>
    <row r="1439" spans="1:10" ht="38.25">
      <c r="A1439" s="3" t="s">
        <v>1811</v>
      </c>
      <c r="B1439" s="3" t="s">
        <v>2318</v>
      </c>
      <c r="C1439" s="4">
        <v>38</v>
      </c>
      <c r="D1439" s="3" t="s">
        <v>229</v>
      </c>
      <c r="E1439" s="3" t="s">
        <v>30</v>
      </c>
      <c r="F1439" s="5">
        <v>19587</v>
      </c>
      <c r="G1439" s="5">
        <v>13963.92</v>
      </c>
      <c r="H1439" s="5">
        <f t="shared" si="44"/>
        <v>-5623.08</v>
      </c>
      <c r="I1439" s="9">
        <f t="shared" si="45"/>
        <v>-0.28708224843008112</v>
      </c>
      <c r="J1439" s="3" t="s">
        <v>4603</v>
      </c>
    </row>
    <row r="1440" spans="1:10" ht="38.25">
      <c r="A1440" s="3" t="s">
        <v>1811</v>
      </c>
      <c r="B1440" s="3" t="s">
        <v>2319</v>
      </c>
      <c r="C1440" s="4">
        <v>328</v>
      </c>
      <c r="D1440" s="3" t="s">
        <v>158</v>
      </c>
      <c r="E1440" s="3" t="s">
        <v>9</v>
      </c>
      <c r="F1440" s="5">
        <v>0</v>
      </c>
      <c r="G1440" s="5">
        <v>13799.04</v>
      </c>
      <c r="H1440" s="5">
        <f t="shared" si="44"/>
        <v>13799.04</v>
      </c>
      <c r="I1440" s="9">
        <f t="shared" si="45"/>
        <v>0</v>
      </c>
      <c r="J1440" s="3" t="s">
        <v>4603</v>
      </c>
    </row>
    <row r="1441" spans="1:10" ht="38.25">
      <c r="A1441" s="3" t="s">
        <v>1811</v>
      </c>
      <c r="B1441" s="3" t="s">
        <v>2319</v>
      </c>
      <c r="C1441" s="4">
        <v>328</v>
      </c>
      <c r="D1441" s="3" t="s">
        <v>158</v>
      </c>
      <c r="E1441" s="3" t="s">
        <v>22</v>
      </c>
      <c r="F1441" s="5">
        <v>0</v>
      </c>
      <c r="G1441" s="5">
        <v>13799.04</v>
      </c>
      <c r="H1441" s="5">
        <f t="shared" si="44"/>
        <v>13799.04</v>
      </c>
      <c r="I1441" s="9">
        <f t="shared" si="45"/>
        <v>0</v>
      </c>
      <c r="J1441" s="3" t="s">
        <v>4603</v>
      </c>
    </row>
    <row r="1442" spans="1:10" ht="25.5">
      <c r="A1442" s="3" t="s">
        <v>1811</v>
      </c>
      <c r="B1442" s="3" t="s">
        <v>2320</v>
      </c>
      <c r="C1442" s="4">
        <v>297</v>
      </c>
      <c r="D1442" s="3" t="s">
        <v>209</v>
      </c>
      <c r="E1442" s="3" t="s">
        <v>22</v>
      </c>
      <c r="F1442" s="5">
        <v>18786.87</v>
      </c>
      <c r="G1442" s="5">
        <v>8106.6670000000004</v>
      </c>
      <c r="H1442" s="5">
        <f t="shared" si="44"/>
        <v>-10680.202999999998</v>
      </c>
      <c r="I1442" s="9">
        <f t="shared" si="45"/>
        <v>-0.56849294214523227</v>
      </c>
      <c r="J1442" s="3" t="s">
        <v>4603</v>
      </c>
    </row>
    <row r="1443" spans="1:10" ht="25.5">
      <c r="A1443" s="3" t="s">
        <v>1811</v>
      </c>
      <c r="B1443" s="3" t="s">
        <v>2321</v>
      </c>
      <c r="C1443" s="4">
        <v>327</v>
      </c>
      <c r="D1443" s="3" t="s">
        <v>76</v>
      </c>
      <c r="E1443" s="3" t="s">
        <v>8</v>
      </c>
      <c r="F1443" s="5">
        <v>3389.88</v>
      </c>
      <c r="G1443" s="5">
        <v>0</v>
      </c>
      <c r="H1443" s="5">
        <f t="shared" si="44"/>
        <v>-3389.88</v>
      </c>
      <c r="I1443" s="9">
        <f t="shared" si="45"/>
        <v>-1</v>
      </c>
      <c r="J1443" s="3" t="s">
        <v>4603</v>
      </c>
    </row>
    <row r="1444" spans="1:10" ht="25.5">
      <c r="A1444" s="3" t="s">
        <v>1811</v>
      </c>
      <c r="B1444" s="3" t="s">
        <v>2322</v>
      </c>
      <c r="C1444" s="4">
        <v>328</v>
      </c>
      <c r="D1444" s="3" t="s">
        <v>158</v>
      </c>
      <c r="E1444" s="3" t="s">
        <v>22</v>
      </c>
      <c r="F1444" s="5">
        <v>17133.39</v>
      </c>
      <c r="G1444" s="5">
        <v>15108.21</v>
      </c>
      <c r="H1444" s="5">
        <f t="shared" si="44"/>
        <v>-2025.1800000000003</v>
      </c>
      <c r="I1444" s="9">
        <f t="shared" si="45"/>
        <v>-0.11820077637875515</v>
      </c>
      <c r="J1444" s="3" t="s">
        <v>4603</v>
      </c>
    </row>
    <row r="1445" spans="1:10" ht="25.5">
      <c r="A1445" s="3" t="s">
        <v>1811</v>
      </c>
      <c r="B1445" s="3" t="s">
        <v>2323</v>
      </c>
      <c r="C1445" s="4">
        <v>328</v>
      </c>
      <c r="D1445" s="3" t="s">
        <v>158</v>
      </c>
      <c r="E1445" s="3" t="s">
        <v>22</v>
      </c>
      <c r="F1445" s="5">
        <v>3830.37</v>
      </c>
      <c r="G1445" s="5">
        <v>0</v>
      </c>
      <c r="H1445" s="5">
        <f t="shared" si="44"/>
        <v>-3830.37</v>
      </c>
      <c r="I1445" s="9">
        <f t="shared" si="45"/>
        <v>-1</v>
      </c>
      <c r="J1445" s="3" t="s">
        <v>4603</v>
      </c>
    </row>
    <row r="1446" spans="1:10" ht="25.5">
      <c r="A1446" s="3" t="s">
        <v>1811</v>
      </c>
      <c r="B1446" s="3" t="s">
        <v>2324</v>
      </c>
      <c r="C1446" s="4">
        <v>334</v>
      </c>
      <c r="D1446" s="3" t="s">
        <v>585</v>
      </c>
      <c r="E1446" s="3" t="s">
        <v>8</v>
      </c>
      <c r="F1446" s="5">
        <v>0</v>
      </c>
      <c r="G1446" s="5">
        <v>4252.32</v>
      </c>
      <c r="H1446" s="5">
        <f t="shared" si="44"/>
        <v>4252.32</v>
      </c>
      <c r="I1446" s="9">
        <f t="shared" si="45"/>
        <v>0</v>
      </c>
      <c r="J1446" s="3" t="s">
        <v>4603</v>
      </c>
    </row>
    <row r="1447" spans="1:10" ht="25.5">
      <c r="A1447" s="3" t="s">
        <v>1811</v>
      </c>
      <c r="B1447" s="3" t="s">
        <v>2325</v>
      </c>
      <c r="C1447" s="4">
        <v>23</v>
      </c>
      <c r="D1447" s="3" t="s">
        <v>71</v>
      </c>
      <c r="E1447" s="3" t="s">
        <v>8</v>
      </c>
      <c r="F1447" s="5">
        <v>4109.34</v>
      </c>
      <c r="G1447" s="5">
        <v>3763.38</v>
      </c>
      <c r="H1447" s="5">
        <f t="shared" si="44"/>
        <v>-345.96000000000004</v>
      </c>
      <c r="I1447" s="9">
        <f t="shared" si="45"/>
        <v>-8.4188701835331226E-2</v>
      </c>
      <c r="J1447" s="3" t="s">
        <v>4603</v>
      </c>
    </row>
    <row r="1448" spans="1:10" ht="38.25">
      <c r="A1448" s="3" t="s">
        <v>1811</v>
      </c>
      <c r="B1448" s="3" t="s">
        <v>2326</v>
      </c>
      <c r="C1448" s="4">
        <v>11</v>
      </c>
      <c r="D1448" s="3" t="s">
        <v>55</v>
      </c>
      <c r="E1448" s="3" t="s">
        <v>18</v>
      </c>
      <c r="F1448" s="5">
        <v>12045.96</v>
      </c>
      <c r="G1448" s="5">
        <v>0</v>
      </c>
      <c r="H1448" s="5">
        <f t="shared" si="44"/>
        <v>-12045.96</v>
      </c>
      <c r="I1448" s="9">
        <f t="shared" si="45"/>
        <v>-1</v>
      </c>
      <c r="J1448" s="3" t="s">
        <v>4603</v>
      </c>
    </row>
    <row r="1449" spans="1:10" ht="38.25">
      <c r="A1449" s="3" t="s">
        <v>1811</v>
      </c>
      <c r="B1449" s="3" t="s">
        <v>2327</v>
      </c>
      <c r="C1449" s="4">
        <v>371</v>
      </c>
      <c r="D1449" s="3" t="s">
        <v>29</v>
      </c>
      <c r="E1449" s="3" t="s">
        <v>30</v>
      </c>
      <c r="F1449" s="5">
        <v>12009</v>
      </c>
      <c r="G1449" s="5">
        <v>0</v>
      </c>
      <c r="H1449" s="5">
        <f t="shared" si="44"/>
        <v>-12009</v>
      </c>
      <c r="I1449" s="9">
        <f t="shared" si="45"/>
        <v>-1</v>
      </c>
      <c r="J1449" s="3" t="s">
        <v>4603</v>
      </c>
    </row>
    <row r="1450" spans="1:10" ht="25.5">
      <c r="A1450" s="3" t="s">
        <v>1811</v>
      </c>
      <c r="B1450" s="3" t="s">
        <v>2328</v>
      </c>
      <c r="C1450" s="4">
        <v>19</v>
      </c>
      <c r="D1450" s="3" t="s">
        <v>53</v>
      </c>
      <c r="E1450" s="3" t="s">
        <v>22</v>
      </c>
      <c r="F1450" s="5">
        <v>8716.65</v>
      </c>
      <c r="G1450" s="5">
        <v>0</v>
      </c>
      <c r="H1450" s="5">
        <f t="shared" si="44"/>
        <v>-8716.65</v>
      </c>
      <c r="I1450" s="9">
        <f t="shared" si="45"/>
        <v>-1</v>
      </c>
      <c r="J1450" s="3" t="s">
        <v>4603</v>
      </c>
    </row>
    <row r="1451" spans="1:10" ht="38.25">
      <c r="A1451" s="3" t="s">
        <v>1811</v>
      </c>
      <c r="B1451" s="3" t="s">
        <v>2329</v>
      </c>
      <c r="C1451" s="4">
        <v>331</v>
      </c>
      <c r="D1451" s="3" t="s">
        <v>1728</v>
      </c>
      <c r="E1451" s="3" t="s">
        <v>9</v>
      </c>
      <c r="F1451" s="5">
        <v>0</v>
      </c>
      <c r="G1451" s="5">
        <v>6281.442</v>
      </c>
      <c r="H1451" s="5">
        <f t="shared" si="44"/>
        <v>6281.442</v>
      </c>
      <c r="I1451" s="9">
        <f t="shared" si="45"/>
        <v>0</v>
      </c>
      <c r="J1451" s="3" t="s">
        <v>4603</v>
      </c>
    </row>
    <row r="1452" spans="1:10">
      <c r="A1452" s="3" t="s">
        <v>1811</v>
      </c>
      <c r="B1452" s="3" t="s">
        <v>2330</v>
      </c>
      <c r="C1452" s="4">
        <v>315</v>
      </c>
      <c r="D1452" s="3" t="s">
        <v>79</v>
      </c>
      <c r="E1452" s="3" t="s">
        <v>8</v>
      </c>
      <c r="F1452" s="5">
        <v>2901.36</v>
      </c>
      <c r="G1452" s="5">
        <v>0</v>
      </c>
      <c r="H1452" s="5">
        <f t="shared" si="44"/>
        <v>-2901.36</v>
      </c>
      <c r="I1452" s="9">
        <f t="shared" si="45"/>
        <v>-1</v>
      </c>
      <c r="J1452" s="3" t="s">
        <v>4603</v>
      </c>
    </row>
    <row r="1453" spans="1:10" ht="25.5">
      <c r="A1453" s="3" t="s">
        <v>1811</v>
      </c>
      <c r="B1453" s="3" t="s">
        <v>2331</v>
      </c>
      <c r="C1453" s="4">
        <v>218</v>
      </c>
      <c r="D1453" s="3" t="s">
        <v>155</v>
      </c>
      <c r="E1453" s="3" t="s">
        <v>13</v>
      </c>
      <c r="F1453" s="5">
        <v>0</v>
      </c>
      <c r="G1453" s="5">
        <v>7616.82</v>
      </c>
      <c r="H1453" s="5">
        <f t="shared" si="44"/>
        <v>7616.82</v>
      </c>
      <c r="I1453" s="9">
        <f t="shared" si="45"/>
        <v>0</v>
      </c>
      <c r="J1453" s="3" t="s">
        <v>4603</v>
      </c>
    </row>
    <row r="1454" spans="1:10" ht="25.5">
      <c r="A1454" s="3" t="s">
        <v>1811</v>
      </c>
      <c r="B1454" s="3" t="s">
        <v>2332</v>
      </c>
      <c r="C1454" s="4">
        <v>74</v>
      </c>
      <c r="D1454" s="3" t="s">
        <v>86</v>
      </c>
      <c r="E1454" s="3" t="s">
        <v>8</v>
      </c>
      <c r="F1454" s="5">
        <v>0</v>
      </c>
      <c r="G1454" s="5">
        <v>4674.4799999999996</v>
      </c>
      <c r="H1454" s="5">
        <f t="shared" si="44"/>
        <v>4674.4799999999996</v>
      </c>
      <c r="I1454" s="9">
        <f t="shared" si="45"/>
        <v>0</v>
      </c>
      <c r="J1454" s="3" t="s">
        <v>4603</v>
      </c>
    </row>
    <row r="1455" spans="1:10" ht="38.25">
      <c r="A1455" s="3" t="s">
        <v>1811</v>
      </c>
      <c r="B1455" s="3" t="s">
        <v>2333</v>
      </c>
      <c r="C1455" s="4">
        <v>11</v>
      </c>
      <c r="D1455" s="3" t="s">
        <v>55</v>
      </c>
      <c r="E1455" s="3" t="s">
        <v>18</v>
      </c>
      <c r="F1455" s="5">
        <v>0</v>
      </c>
      <c r="G1455" s="5">
        <v>23400.54</v>
      </c>
      <c r="H1455" s="5">
        <f t="shared" si="44"/>
        <v>23400.54</v>
      </c>
      <c r="I1455" s="9">
        <f t="shared" si="45"/>
        <v>0</v>
      </c>
      <c r="J1455" s="3" t="s">
        <v>4603</v>
      </c>
    </row>
    <row r="1456" spans="1:10" ht="25.5">
      <c r="A1456" s="3" t="s">
        <v>1811</v>
      </c>
      <c r="B1456" s="3" t="s">
        <v>2334</v>
      </c>
      <c r="C1456" s="4">
        <v>315</v>
      </c>
      <c r="D1456" s="3" t="s">
        <v>79</v>
      </c>
      <c r="E1456" s="3" t="s">
        <v>8</v>
      </c>
      <c r="F1456" s="5">
        <v>0</v>
      </c>
      <c r="G1456" s="5">
        <v>7660.8</v>
      </c>
      <c r="H1456" s="5">
        <f t="shared" si="44"/>
        <v>7660.8</v>
      </c>
      <c r="I1456" s="9">
        <f t="shared" si="45"/>
        <v>0</v>
      </c>
      <c r="J1456" s="3" t="s">
        <v>4604</v>
      </c>
    </row>
    <row r="1457" spans="1:10" ht="38.25">
      <c r="A1457" s="3" t="s">
        <v>1811</v>
      </c>
      <c r="B1457" s="3" t="s">
        <v>2335</v>
      </c>
      <c r="C1457" s="4">
        <v>371</v>
      </c>
      <c r="D1457" s="3" t="s">
        <v>29</v>
      </c>
      <c r="E1457" s="3" t="s">
        <v>30</v>
      </c>
      <c r="F1457" s="5">
        <v>2303.52</v>
      </c>
      <c r="G1457" s="5">
        <v>0</v>
      </c>
      <c r="H1457" s="5">
        <f t="shared" si="44"/>
        <v>-2303.52</v>
      </c>
      <c r="I1457" s="9">
        <f t="shared" si="45"/>
        <v>-1</v>
      </c>
      <c r="J1457" s="3" t="s">
        <v>4603</v>
      </c>
    </row>
    <row r="1458" spans="1:10" ht="25.5">
      <c r="A1458" s="3" t="s">
        <v>1811</v>
      </c>
      <c r="B1458" s="3" t="s">
        <v>2336</v>
      </c>
      <c r="C1458" s="4">
        <v>261</v>
      </c>
      <c r="D1458" s="3" t="s">
        <v>17</v>
      </c>
      <c r="E1458" s="3" t="s">
        <v>18</v>
      </c>
      <c r="F1458" s="5">
        <v>0</v>
      </c>
      <c r="G1458" s="5">
        <v>15326.46</v>
      </c>
      <c r="H1458" s="5">
        <f t="shared" si="44"/>
        <v>15326.46</v>
      </c>
      <c r="I1458" s="9">
        <f t="shared" si="45"/>
        <v>0</v>
      </c>
      <c r="J1458" s="3" t="s">
        <v>4603</v>
      </c>
    </row>
    <row r="1459" spans="1:10" ht="25.5">
      <c r="A1459" s="3" t="s">
        <v>1811</v>
      </c>
      <c r="B1459" s="3" t="s">
        <v>2337</v>
      </c>
      <c r="C1459" s="4">
        <v>231</v>
      </c>
      <c r="D1459" s="3" t="s">
        <v>89</v>
      </c>
      <c r="E1459" s="3" t="s">
        <v>8</v>
      </c>
      <c r="F1459" s="5">
        <v>7564.86</v>
      </c>
      <c r="G1459" s="5">
        <v>0</v>
      </c>
      <c r="H1459" s="5">
        <f t="shared" si="44"/>
        <v>-7564.86</v>
      </c>
      <c r="I1459" s="9">
        <f t="shared" si="45"/>
        <v>-1</v>
      </c>
      <c r="J1459" s="3" t="s">
        <v>4604</v>
      </c>
    </row>
    <row r="1460" spans="1:10" ht="25.5">
      <c r="A1460" s="3" t="s">
        <v>1811</v>
      </c>
      <c r="B1460" s="3" t="s">
        <v>2338</v>
      </c>
      <c r="C1460" s="4">
        <v>266</v>
      </c>
      <c r="D1460" s="3" t="s">
        <v>111</v>
      </c>
      <c r="E1460" s="3" t="s">
        <v>18</v>
      </c>
      <c r="F1460" s="5">
        <v>13256.52</v>
      </c>
      <c r="G1460" s="5">
        <v>0</v>
      </c>
      <c r="H1460" s="5">
        <f t="shared" si="44"/>
        <v>-13256.52</v>
      </c>
      <c r="I1460" s="9">
        <f t="shared" si="45"/>
        <v>-1</v>
      </c>
      <c r="J1460" s="3" t="s">
        <v>4604</v>
      </c>
    </row>
    <row r="1461" spans="1:10" ht="25.5">
      <c r="A1461" s="3" t="s">
        <v>1811</v>
      </c>
      <c r="B1461" s="3" t="s">
        <v>2339</v>
      </c>
      <c r="C1461" s="4">
        <v>61</v>
      </c>
      <c r="D1461" s="3" t="s">
        <v>114</v>
      </c>
      <c r="E1461" s="3" t="s">
        <v>30</v>
      </c>
      <c r="F1461" s="5">
        <v>22853.73</v>
      </c>
      <c r="G1461" s="5">
        <v>21041.88</v>
      </c>
      <c r="H1461" s="5">
        <f t="shared" si="44"/>
        <v>-1811.8499999999985</v>
      </c>
      <c r="I1461" s="9">
        <f t="shared" si="45"/>
        <v>-7.9280275036066272E-2</v>
      </c>
      <c r="J1461" s="3" t="s">
        <v>4603</v>
      </c>
    </row>
    <row r="1462" spans="1:10" ht="38.25">
      <c r="A1462" s="3" t="s">
        <v>1811</v>
      </c>
      <c r="B1462" s="3" t="s">
        <v>2340</v>
      </c>
      <c r="C1462" s="4">
        <v>338</v>
      </c>
      <c r="D1462" s="3" t="s">
        <v>2341</v>
      </c>
      <c r="E1462" s="3" t="s">
        <v>22</v>
      </c>
      <c r="F1462" s="5">
        <v>0</v>
      </c>
      <c r="G1462" s="5">
        <v>1745.4</v>
      </c>
      <c r="H1462" s="5">
        <f t="shared" si="44"/>
        <v>1745.4</v>
      </c>
      <c r="I1462" s="9">
        <f t="shared" si="45"/>
        <v>0</v>
      </c>
      <c r="J1462" s="3" t="s">
        <v>4603</v>
      </c>
    </row>
    <row r="1463" spans="1:10" ht="38.25">
      <c r="A1463" s="3" t="s">
        <v>1811</v>
      </c>
      <c r="B1463" s="3" t="s">
        <v>2342</v>
      </c>
      <c r="C1463" s="4">
        <v>74</v>
      </c>
      <c r="D1463" s="3" t="s">
        <v>86</v>
      </c>
      <c r="E1463" s="3" t="s">
        <v>8</v>
      </c>
      <c r="F1463" s="5">
        <v>54307.14</v>
      </c>
      <c r="G1463" s="5">
        <v>72632.97</v>
      </c>
      <c r="H1463" s="5">
        <f t="shared" si="44"/>
        <v>18325.830000000002</v>
      </c>
      <c r="I1463" s="9">
        <f t="shared" si="45"/>
        <v>0.33744789359189231</v>
      </c>
      <c r="J1463" s="3" t="s">
        <v>4603</v>
      </c>
    </row>
    <row r="1464" spans="1:10" ht="25.5">
      <c r="A1464" s="3" t="s">
        <v>1811</v>
      </c>
      <c r="B1464" s="3" t="s">
        <v>2343</v>
      </c>
      <c r="C1464" s="4">
        <v>218</v>
      </c>
      <c r="D1464" s="3" t="s">
        <v>155</v>
      </c>
      <c r="E1464" s="3" t="s">
        <v>13</v>
      </c>
      <c r="F1464" s="5">
        <v>17178.3</v>
      </c>
      <c r="G1464" s="5">
        <v>3131.4</v>
      </c>
      <c r="H1464" s="5">
        <f t="shared" si="44"/>
        <v>-14046.9</v>
      </c>
      <c r="I1464" s="9">
        <f t="shared" si="45"/>
        <v>-0.81771188068668033</v>
      </c>
      <c r="J1464" s="3" t="s">
        <v>4603</v>
      </c>
    </row>
    <row r="1465" spans="1:10" ht="25.5">
      <c r="A1465" s="3" t="s">
        <v>1811</v>
      </c>
      <c r="B1465" s="3" t="s">
        <v>2344</v>
      </c>
      <c r="C1465" s="4">
        <v>218</v>
      </c>
      <c r="D1465" s="3" t="s">
        <v>155</v>
      </c>
      <c r="E1465" s="3" t="s">
        <v>13</v>
      </c>
      <c r="F1465" s="5">
        <v>3167.28</v>
      </c>
      <c r="G1465" s="5">
        <v>7030.32</v>
      </c>
      <c r="H1465" s="5">
        <f t="shared" si="44"/>
        <v>3863.0399999999995</v>
      </c>
      <c r="I1465" s="9">
        <f t="shared" si="45"/>
        <v>1.2196711373797071</v>
      </c>
      <c r="J1465" s="3" t="s">
        <v>4603</v>
      </c>
    </row>
    <row r="1466" spans="1:10" ht="25.5">
      <c r="A1466" s="3" t="s">
        <v>1811</v>
      </c>
      <c r="B1466" s="3" t="s">
        <v>2345</v>
      </c>
      <c r="C1466" s="4">
        <v>266</v>
      </c>
      <c r="D1466" s="3" t="s">
        <v>111</v>
      </c>
      <c r="E1466" s="3" t="s">
        <v>18</v>
      </c>
      <c r="F1466" s="5">
        <v>10996.14</v>
      </c>
      <c r="G1466" s="5">
        <v>0</v>
      </c>
      <c r="H1466" s="5">
        <f t="shared" si="44"/>
        <v>-10996.14</v>
      </c>
      <c r="I1466" s="9">
        <f t="shared" si="45"/>
        <v>-1</v>
      </c>
      <c r="J1466" s="3" t="s">
        <v>4603</v>
      </c>
    </row>
    <row r="1467" spans="1:10" ht="38.25">
      <c r="A1467" s="3" t="s">
        <v>1811</v>
      </c>
      <c r="B1467" s="3" t="s">
        <v>2346</v>
      </c>
      <c r="C1467" s="4">
        <v>143</v>
      </c>
      <c r="D1467" s="3" t="s">
        <v>21</v>
      </c>
      <c r="E1467" s="3" t="s">
        <v>22</v>
      </c>
      <c r="F1467" s="5">
        <v>12969.96</v>
      </c>
      <c r="G1467" s="5">
        <v>0</v>
      </c>
      <c r="H1467" s="5">
        <f t="shared" si="44"/>
        <v>-12969.96</v>
      </c>
      <c r="I1467" s="9">
        <f t="shared" si="45"/>
        <v>-1</v>
      </c>
      <c r="J1467" s="3" t="s">
        <v>4603</v>
      </c>
    </row>
    <row r="1468" spans="1:10" ht="25.5">
      <c r="A1468" s="3" t="s">
        <v>1811</v>
      </c>
      <c r="B1468" s="3" t="s">
        <v>2347</v>
      </c>
      <c r="C1468" s="4">
        <v>231</v>
      </c>
      <c r="D1468" s="3" t="s">
        <v>89</v>
      </c>
      <c r="E1468" s="3" t="s">
        <v>8</v>
      </c>
      <c r="F1468" s="5">
        <v>0</v>
      </c>
      <c r="G1468" s="5">
        <v>3120.36</v>
      </c>
      <c r="H1468" s="5">
        <f t="shared" si="44"/>
        <v>3120.36</v>
      </c>
      <c r="I1468" s="9">
        <f t="shared" si="45"/>
        <v>0</v>
      </c>
      <c r="J1468" s="3" t="s">
        <v>4603</v>
      </c>
    </row>
    <row r="1469" spans="1:10" ht="25.5">
      <c r="A1469" s="3" t="s">
        <v>1811</v>
      </c>
      <c r="B1469" s="3" t="s">
        <v>2348</v>
      </c>
      <c r="C1469" s="4">
        <v>61</v>
      </c>
      <c r="D1469" s="3" t="s">
        <v>114</v>
      </c>
      <c r="E1469" s="3" t="s">
        <v>30</v>
      </c>
      <c r="F1469" s="5">
        <v>14497.8</v>
      </c>
      <c r="G1469" s="5">
        <v>18937.080000000002</v>
      </c>
      <c r="H1469" s="5">
        <f t="shared" si="44"/>
        <v>4439.2800000000025</v>
      </c>
      <c r="I1469" s="9">
        <f t="shared" si="45"/>
        <v>0.30620369987170482</v>
      </c>
      <c r="J1469" s="3" t="s">
        <v>4603</v>
      </c>
    </row>
    <row r="1470" spans="1:10" ht="51">
      <c r="A1470" s="3" t="s">
        <v>1811</v>
      </c>
      <c r="B1470" s="3" t="s">
        <v>2349</v>
      </c>
      <c r="C1470" s="4">
        <v>282</v>
      </c>
      <c r="D1470" s="3" t="s">
        <v>298</v>
      </c>
      <c r="E1470" s="3" t="s">
        <v>9</v>
      </c>
      <c r="F1470" s="5">
        <v>3664.19</v>
      </c>
      <c r="G1470" s="5">
        <v>0</v>
      </c>
      <c r="H1470" s="5">
        <f t="shared" si="44"/>
        <v>-3664.19</v>
      </c>
      <c r="I1470" s="9">
        <f t="shared" si="45"/>
        <v>-1</v>
      </c>
      <c r="J1470" s="3" t="s">
        <v>4603</v>
      </c>
    </row>
    <row r="1471" spans="1:10" ht="38.25">
      <c r="A1471" s="3" t="s">
        <v>1811</v>
      </c>
      <c r="B1471" s="3" t="s">
        <v>2350</v>
      </c>
      <c r="C1471" s="4">
        <v>371</v>
      </c>
      <c r="D1471" s="3" t="s">
        <v>29</v>
      </c>
      <c r="E1471" s="3" t="s">
        <v>30</v>
      </c>
      <c r="F1471" s="5">
        <v>21842.43</v>
      </c>
      <c r="G1471" s="5">
        <v>23108.240000000002</v>
      </c>
      <c r="H1471" s="5">
        <f t="shared" si="44"/>
        <v>1265.8100000000013</v>
      </c>
      <c r="I1471" s="9">
        <f t="shared" si="45"/>
        <v>5.7951885390041369E-2</v>
      </c>
      <c r="J1471" s="3" t="s">
        <v>4603</v>
      </c>
    </row>
    <row r="1472" spans="1:10" ht="25.5">
      <c r="A1472" s="3" t="s">
        <v>1811</v>
      </c>
      <c r="B1472" s="3" t="s">
        <v>2351</v>
      </c>
      <c r="C1472" s="4">
        <v>19</v>
      </c>
      <c r="D1472" s="3" t="s">
        <v>53</v>
      </c>
      <c r="E1472" s="3" t="s">
        <v>22</v>
      </c>
      <c r="F1472" s="5">
        <v>0</v>
      </c>
      <c r="G1472" s="5">
        <v>20362.36</v>
      </c>
      <c r="H1472" s="5">
        <f t="shared" si="44"/>
        <v>20362.36</v>
      </c>
      <c r="I1472" s="9">
        <f t="shared" si="45"/>
        <v>0</v>
      </c>
      <c r="J1472" s="3" t="s">
        <v>4603</v>
      </c>
    </row>
    <row r="1473" spans="1:10" ht="25.5">
      <c r="A1473" s="3" t="s">
        <v>1811</v>
      </c>
      <c r="B1473" s="3" t="s">
        <v>2352</v>
      </c>
      <c r="C1473" s="4">
        <v>297</v>
      </c>
      <c r="D1473" s="3" t="s">
        <v>209</v>
      </c>
      <c r="E1473" s="3" t="s">
        <v>22</v>
      </c>
      <c r="F1473" s="5">
        <v>18494.939999999999</v>
      </c>
      <c r="G1473" s="5">
        <v>18334.349999999999</v>
      </c>
      <c r="H1473" s="5">
        <f t="shared" si="44"/>
        <v>-160.59000000000015</v>
      </c>
      <c r="I1473" s="9">
        <f t="shared" si="45"/>
        <v>-8.6829154352487947E-3</v>
      </c>
      <c r="J1473" s="3" t="s">
        <v>4603</v>
      </c>
    </row>
    <row r="1474" spans="1:10" ht="51">
      <c r="A1474" s="3" t="s">
        <v>1811</v>
      </c>
      <c r="B1474" s="3" t="s">
        <v>2353</v>
      </c>
      <c r="C1474" s="4">
        <v>282</v>
      </c>
      <c r="D1474" s="3" t="s">
        <v>298</v>
      </c>
      <c r="E1474" s="3" t="s">
        <v>9</v>
      </c>
      <c r="F1474" s="5">
        <v>0</v>
      </c>
      <c r="G1474" s="5">
        <v>5401.8050000000003</v>
      </c>
      <c r="H1474" s="5">
        <f t="shared" si="44"/>
        <v>5401.8050000000003</v>
      </c>
      <c r="I1474" s="9">
        <f t="shared" si="45"/>
        <v>0</v>
      </c>
      <c r="J1474" s="3" t="s">
        <v>4603</v>
      </c>
    </row>
    <row r="1475" spans="1:10" ht="25.5">
      <c r="A1475" s="3" t="s">
        <v>1811</v>
      </c>
      <c r="B1475" s="3" t="s">
        <v>2354</v>
      </c>
      <c r="C1475" s="4">
        <v>23</v>
      </c>
      <c r="D1475" s="3" t="s">
        <v>71</v>
      </c>
      <c r="E1475" s="3" t="s">
        <v>8</v>
      </c>
      <c r="F1475" s="5">
        <v>0</v>
      </c>
      <c r="G1475" s="5">
        <v>13160.88</v>
      </c>
      <c r="H1475" s="5">
        <f t="shared" ref="H1475:H1538" si="46">G1475-F1475</f>
        <v>13160.88</v>
      </c>
      <c r="I1475" s="9">
        <f t="shared" ref="I1475:I1538" si="47">IFERROR(G1475/F1475-1,0)</f>
        <v>0</v>
      </c>
      <c r="J1475" s="3" t="s">
        <v>4603</v>
      </c>
    </row>
    <row r="1476" spans="1:10" ht="25.5">
      <c r="A1476" s="3" t="s">
        <v>1811</v>
      </c>
      <c r="B1476" s="3" t="s">
        <v>2355</v>
      </c>
      <c r="C1476" s="4">
        <v>270</v>
      </c>
      <c r="D1476" s="3" t="s">
        <v>312</v>
      </c>
      <c r="E1476" s="3" t="s">
        <v>30</v>
      </c>
      <c r="F1476" s="5">
        <v>0</v>
      </c>
      <c r="G1476" s="5">
        <v>7844.13</v>
      </c>
      <c r="H1476" s="5">
        <f t="shared" si="46"/>
        <v>7844.13</v>
      </c>
      <c r="I1476" s="9">
        <f t="shared" si="47"/>
        <v>0</v>
      </c>
      <c r="J1476" s="3" t="s">
        <v>4603</v>
      </c>
    </row>
    <row r="1477" spans="1:10" ht="38.25">
      <c r="A1477" s="3" t="s">
        <v>1811</v>
      </c>
      <c r="B1477" s="3" t="s">
        <v>2356</v>
      </c>
      <c r="C1477" s="4">
        <v>240</v>
      </c>
      <c r="D1477" s="3" t="s">
        <v>152</v>
      </c>
      <c r="E1477" s="3" t="s">
        <v>13</v>
      </c>
      <c r="F1477" s="5">
        <v>9906.5400000000009</v>
      </c>
      <c r="G1477" s="5">
        <v>0</v>
      </c>
      <c r="H1477" s="5">
        <f t="shared" si="46"/>
        <v>-9906.5400000000009</v>
      </c>
      <c r="I1477" s="9">
        <f t="shared" si="47"/>
        <v>-1</v>
      </c>
      <c r="J1477" s="3" t="s">
        <v>4603</v>
      </c>
    </row>
    <row r="1478" spans="1:10" ht="25.5">
      <c r="A1478" s="3" t="s">
        <v>1811</v>
      </c>
      <c r="B1478" s="3" t="s">
        <v>2357</v>
      </c>
      <c r="C1478" s="4">
        <v>23</v>
      </c>
      <c r="D1478" s="3" t="s">
        <v>71</v>
      </c>
      <c r="E1478" s="3" t="s">
        <v>8</v>
      </c>
      <c r="F1478" s="5">
        <v>7079.04</v>
      </c>
      <c r="G1478" s="5">
        <v>8126.64</v>
      </c>
      <c r="H1478" s="5">
        <f t="shared" si="46"/>
        <v>1047.6000000000004</v>
      </c>
      <c r="I1478" s="9">
        <f t="shared" si="47"/>
        <v>0.14798616761594796</v>
      </c>
      <c r="J1478" s="3" t="s">
        <v>4603</v>
      </c>
    </row>
    <row r="1479" spans="1:10" ht="38.25">
      <c r="A1479" s="3" t="s">
        <v>1811</v>
      </c>
      <c r="B1479" s="3" t="s">
        <v>2358</v>
      </c>
      <c r="C1479" s="4">
        <v>34</v>
      </c>
      <c r="D1479" s="3" t="s">
        <v>136</v>
      </c>
      <c r="E1479" s="3" t="s">
        <v>30</v>
      </c>
      <c r="F1479" s="5">
        <v>0</v>
      </c>
      <c r="G1479" s="5">
        <v>13016.73</v>
      </c>
      <c r="H1479" s="5">
        <f t="shared" si="46"/>
        <v>13016.73</v>
      </c>
      <c r="I1479" s="9">
        <f t="shared" si="47"/>
        <v>0</v>
      </c>
      <c r="J1479" s="3" t="s">
        <v>4603</v>
      </c>
    </row>
    <row r="1480" spans="1:10" ht="38.25">
      <c r="A1480" s="3" t="s">
        <v>1811</v>
      </c>
      <c r="B1480" s="3" t="s">
        <v>2359</v>
      </c>
      <c r="C1480" s="4">
        <v>143</v>
      </c>
      <c r="D1480" s="3" t="s">
        <v>21</v>
      </c>
      <c r="E1480" s="3" t="s">
        <v>22</v>
      </c>
      <c r="F1480" s="5">
        <v>3263.52</v>
      </c>
      <c r="G1480" s="5">
        <v>10581.12</v>
      </c>
      <c r="H1480" s="5">
        <f t="shared" si="46"/>
        <v>7317.6</v>
      </c>
      <c r="I1480" s="9">
        <f t="shared" si="47"/>
        <v>2.2422415061038392</v>
      </c>
      <c r="J1480" s="3" t="s">
        <v>4603</v>
      </c>
    </row>
    <row r="1481" spans="1:10" ht="25.5">
      <c r="A1481" s="3" t="s">
        <v>1811</v>
      </c>
      <c r="B1481" s="3" t="s">
        <v>2360</v>
      </c>
      <c r="C1481" s="4">
        <v>41</v>
      </c>
      <c r="D1481" s="3" t="s">
        <v>106</v>
      </c>
      <c r="E1481" s="3" t="s">
        <v>22</v>
      </c>
      <c r="F1481" s="5">
        <v>6326.71</v>
      </c>
      <c r="G1481" s="5">
        <v>0</v>
      </c>
      <c r="H1481" s="5">
        <f t="shared" si="46"/>
        <v>-6326.71</v>
      </c>
      <c r="I1481" s="9">
        <f t="shared" si="47"/>
        <v>-1</v>
      </c>
      <c r="J1481" s="3" t="s">
        <v>4603</v>
      </c>
    </row>
    <row r="1482" spans="1:10" ht="38.25">
      <c r="A1482" s="3" t="s">
        <v>1811</v>
      </c>
      <c r="B1482" s="3" t="s">
        <v>2361</v>
      </c>
      <c r="C1482" s="4">
        <v>301</v>
      </c>
      <c r="D1482" s="3" t="s">
        <v>12</v>
      </c>
      <c r="E1482" s="3" t="s">
        <v>13</v>
      </c>
      <c r="F1482" s="5">
        <v>14861.64</v>
      </c>
      <c r="G1482" s="5">
        <v>7078.44</v>
      </c>
      <c r="H1482" s="5">
        <f t="shared" si="46"/>
        <v>-7783.2</v>
      </c>
      <c r="I1482" s="9">
        <f t="shared" si="47"/>
        <v>-0.52371070756659432</v>
      </c>
      <c r="J1482" s="3" t="s">
        <v>4603</v>
      </c>
    </row>
    <row r="1483" spans="1:10" ht="25.5">
      <c r="A1483" s="3" t="s">
        <v>1811</v>
      </c>
      <c r="B1483" s="3" t="s">
        <v>2362</v>
      </c>
      <c r="C1483" s="4">
        <v>74</v>
      </c>
      <c r="D1483" s="3" t="s">
        <v>86</v>
      </c>
      <c r="E1483" s="3" t="s">
        <v>8</v>
      </c>
      <c r="F1483" s="5">
        <v>4811.28</v>
      </c>
      <c r="G1483" s="5">
        <v>0</v>
      </c>
      <c r="H1483" s="5">
        <f t="shared" si="46"/>
        <v>-4811.28</v>
      </c>
      <c r="I1483" s="9">
        <f t="shared" si="47"/>
        <v>-1</v>
      </c>
      <c r="J1483" s="3" t="s">
        <v>4603</v>
      </c>
    </row>
    <row r="1484" spans="1:10" ht="25.5">
      <c r="A1484" s="3" t="s">
        <v>1811</v>
      </c>
      <c r="B1484" s="3" t="s">
        <v>2363</v>
      </c>
      <c r="C1484" s="4">
        <v>299</v>
      </c>
      <c r="D1484" s="3" t="s">
        <v>246</v>
      </c>
      <c r="E1484" s="3" t="s">
        <v>30</v>
      </c>
      <c r="F1484" s="5">
        <v>3287.67</v>
      </c>
      <c r="G1484" s="5">
        <v>0</v>
      </c>
      <c r="H1484" s="5">
        <f t="shared" si="46"/>
        <v>-3287.67</v>
      </c>
      <c r="I1484" s="9">
        <f t="shared" si="47"/>
        <v>-1</v>
      </c>
      <c r="J1484" s="3" t="s">
        <v>4603</v>
      </c>
    </row>
    <row r="1485" spans="1:10" ht="25.5">
      <c r="A1485" s="3" t="s">
        <v>1811</v>
      </c>
      <c r="B1485" s="3" t="s">
        <v>2364</v>
      </c>
      <c r="C1485" s="4">
        <v>93</v>
      </c>
      <c r="D1485" s="3" t="s">
        <v>42</v>
      </c>
      <c r="E1485" s="3" t="s">
        <v>8</v>
      </c>
      <c r="F1485" s="5">
        <v>10552.2</v>
      </c>
      <c r="G1485" s="5">
        <v>5342.16</v>
      </c>
      <c r="H1485" s="5">
        <f t="shared" si="46"/>
        <v>-5210.0400000000009</v>
      </c>
      <c r="I1485" s="9">
        <f t="shared" si="47"/>
        <v>-0.49373969409222729</v>
      </c>
      <c r="J1485" s="3" t="s">
        <v>4603</v>
      </c>
    </row>
    <row r="1486" spans="1:10" ht="38.25">
      <c r="A1486" s="3" t="s">
        <v>1811</v>
      </c>
      <c r="B1486" s="3" t="s">
        <v>2365</v>
      </c>
      <c r="C1486" s="4">
        <v>218</v>
      </c>
      <c r="D1486" s="3" t="s">
        <v>155</v>
      </c>
      <c r="E1486" s="3" t="s">
        <v>13</v>
      </c>
      <c r="F1486" s="5">
        <v>3803.28</v>
      </c>
      <c r="G1486" s="5">
        <v>0</v>
      </c>
      <c r="H1486" s="5">
        <f t="shared" si="46"/>
        <v>-3803.28</v>
      </c>
      <c r="I1486" s="9">
        <f t="shared" si="47"/>
        <v>-1</v>
      </c>
      <c r="J1486" s="3" t="s">
        <v>4603</v>
      </c>
    </row>
    <row r="1487" spans="1:10" ht="25.5">
      <c r="A1487" s="3" t="s">
        <v>1811</v>
      </c>
      <c r="B1487" s="3" t="s">
        <v>2366</v>
      </c>
      <c r="C1487" s="4">
        <v>270</v>
      </c>
      <c r="D1487" s="3" t="s">
        <v>312</v>
      </c>
      <c r="E1487" s="3" t="s">
        <v>30</v>
      </c>
      <c r="F1487" s="5">
        <v>4757.34</v>
      </c>
      <c r="G1487" s="5">
        <v>13471.95</v>
      </c>
      <c r="H1487" s="5">
        <f t="shared" si="46"/>
        <v>8714.61</v>
      </c>
      <c r="I1487" s="9">
        <f t="shared" si="47"/>
        <v>1.8318240865693856</v>
      </c>
      <c r="J1487" s="3" t="s">
        <v>4603</v>
      </c>
    </row>
    <row r="1488" spans="1:10" ht="38.25">
      <c r="A1488" s="3" t="s">
        <v>1811</v>
      </c>
      <c r="B1488" s="3" t="s">
        <v>2367</v>
      </c>
      <c r="C1488" s="4">
        <v>194</v>
      </c>
      <c r="D1488" s="3" t="s">
        <v>179</v>
      </c>
      <c r="E1488" s="3" t="s">
        <v>13</v>
      </c>
      <c r="F1488" s="5">
        <v>0</v>
      </c>
      <c r="G1488" s="5">
        <v>15503.28</v>
      </c>
      <c r="H1488" s="5">
        <f t="shared" si="46"/>
        <v>15503.28</v>
      </c>
      <c r="I1488" s="9">
        <f t="shared" si="47"/>
        <v>0</v>
      </c>
      <c r="J1488" s="3" t="s">
        <v>4603</v>
      </c>
    </row>
    <row r="1489" spans="1:10" ht="25.5">
      <c r="A1489" s="3" t="s">
        <v>1811</v>
      </c>
      <c r="B1489" s="3" t="s">
        <v>2368</v>
      </c>
      <c r="C1489" s="4">
        <v>297</v>
      </c>
      <c r="D1489" s="3" t="s">
        <v>209</v>
      </c>
      <c r="E1489" s="3" t="s">
        <v>22</v>
      </c>
      <c r="F1489" s="5">
        <v>11107.9</v>
      </c>
      <c r="G1489" s="5">
        <v>12493.55</v>
      </c>
      <c r="H1489" s="5">
        <f t="shared" si="46"/>
        <v>1385.6499999999996</v>
      </c>
      <c r="I1489" s="9">
        <f t="shared" si="47"/>
        <v>0.1247445511752896</v>
      </c>
      <c r="J1489" s="3" t="s">
        <v>4603</v>
      </c>
    </row>
    <row r="1490" spans="1:10" ht="25.5">
      <c r="A1490" s="3" t="s">
        <v>1811</v>
      </c>
      <c r="B1490" s="3" t="s">
        <v>2369</v>
      </c>
      <c r="C1490" s="4">
        <v>23</v>
      </c>
      <c r="D1490" s="3" t="s">
        <v>71</v>
      </c>
      <c r="E1490" s="3" t="s">
        <v>8</v>
      </c>
      <c r="F1490" s="5">
        <v>20918.79</v>
      </c>
      <c r="G1490" s="5">
        <v>16017.254999999999</v>
      </c>
      <c r="H1490" s="5">
        <f t="shared" si="46"/>
        <v>-4901.5350000000017</v>
      </c>
      <c r="I1490" s="9">
        <f t="shared" si="47"/>
        <v>-0.23431254867035811</v>
      </c>
      <c r="J1490" s="3" t="s">
        <v>4603</v>
      </c>
    </row>
    <row r="1491" spans="1:10" ht="25.5">
      <c r="A1491" s="3" t="s">
        <v>1811</v>
      </c>
      <c r="B1491" s="3" t="s">
        <v>2370</v>
      </c>
      <c r="C1491" s="4">
        <v>315</v>
      </c>
      <c r="D1491" s="3" t="s">
        <v>79</v>
      </c>
      <c r="E1491" s="3" t="s">
        <v>8</v>
      </c>
      <c r="F1491" s="5">
        <v>8302.65</v>
      </c>
      <c r="G1491" s="5">
        <v>0</v>
      </c>
      <c r="H1491" s="5">
        <f t="shared" si="46"/>
        <v>-8302.65</v>
      </c>
      <c r="I1491" s="9">
        <f t="shared" si="47"/>
        <v>-1</v>
      </c>
      <c r="J1491" s="3" t="s">
        <v>4603</v>
      </c>
    </row>
    <row r="1492" spans="1:10" ht="25.5">
      <c r="A1492" s="3" t="s">
        <v>1811</v>
      </c>
      <c r="B1492" s="3" t="s">
        <v>2371</v>
      </c>
      <c r="C1492" s="4">
        <v>194</v>
      </c>
      <c r="D1492" s="3" t="s">
        <v>179</v>
      </c>
      <c r="E1492" s="3" t="s">
        <v>13</v>
      </c>
      <c r="F1492" s="5">
        <v>0</v>
      </c>
      <c r="G1492" s="5">
        <v>6518.16</v>
      </c>
      <c r="H1492" s="5">
        <f t="shared" si="46"/>
        <v>6518.16</v>
      </c>
      <c r="I1492" s="9">
        <f t="shared" si="47"/>
        <v>0</v>
      </c>
      <c r="J1492" s="3" t="s">
        <v>4603</v>
      </c>
    </row>
    <row r="1493" spans="1:10" ht="25.5">
      <c r="A1493" s="3" t="s">
        <v>1811</v>
      </c>
      <c r="B1493" s="3" t="s">
        <v>2372</v>
      </c>
      <c r="C1493" s="4">
        <v>197</v>
      </c>
      <c r="D1493" s="3" t="s">
        <v>23</v>
      </c>
      <c r="E1493" s="3" t="s">
        <v>22</v>
      </c>
      <c r="F1493" s="5">
        <v>6504.84</v>
      </c>
      <c r="G1493" s="5">
        <v>3654.24</v>
      </c>
      <c r="H1493" s="5">
        <f t="shared" si="46"/>
        <v>-2850.6000000000004</v>
      </c>
      <c r="I1493" s="9">
        <f t="shared" si="47"/>
        <v>-0.43822753518918223</v>
      </c>
      <c r="J1493" s="3" t="s">
        <v>4603</v>
      </c>
    </row>
    <row r="1494" spans="1:10" ht="38.25">
      <c r="A1494" s="3" t="s">
        <v>1811</v>
      </c>
      <c r="B1494" s="3" t="s">
        <v>2373</v>
      </c>
      <c r="C1494" s="4">
        <v>371</v>
      </c>
      <c r="D1494" s="3" t="s">
        <v>29</v>
      </c>
      <c r="E1494" s="3" t="s">
        <v>30</v>
      </c>
      <c r="F1494" s="5">
        <v>0</v>
      </c>
      <c r="G1494" s="5">
        <v>1884.96</v>
      </c>
      <c r="H1494" s="5">
        <f t="shared" si="46"/>
        <v>1884.96</v>
      </c>
      <c r="I1494" s="9">
        <f t="shared" si="47"/>
        <v>0</v>
      </c>
      <c r="J1494" s="3" t="s">
        <v>4603</v>
      </c>
    </row>
    <row r="1495" spans="1:10" ht="25.5">
      <c r="A1495" s="3" t="s">
        <v>1811</v>
      </c>
      <c r="B1495" s="3" t="s">
        <v>2374</v>
      </c>
      <c r="C1495" s="4">
        <v>317</v>
      </c>
      <c r="D1495" s="3" t="s">
        <v>54</v>
      </c>
      <c r="E1495" s="3" t="s">
        <v>18</v>
      </c>
      <c r="F1495" s="5">
        <v>3120.72</v>
      </c>
      <c r="G1495" s="5">
        <v>0</v>
      </c>
      <c r="H1495" s="5">
        <f t="shared" si="46"/>
        <v>-3120.72</v>
      </c>
      <c r="I1495" s="9">
        <f t="shared" si="47"/>
        <v>-1</v>
      </c>
      <c r="J1495" s="3" t="s">
        <v>4603</v>
      </c>
    </row>
    <row r="1496" spans="1:10" ht="25.5">
      <c r="A1496" s="3" t="s">
        <v>1811</v>
      </c>
      <c r="B1496" s="3" t="s">
        <v>2375</v>
      </c>
      <c r="C1496" s="4">
        <v>74</v>
      </c>
      <c r="D1496" s="3" t="s">
        <v>86</v>
      </c>
      <c r="E1496" s="3" t="s">
        <v>8</v>
      </c>
      <c r="F1496" s="5">
        <v>6227.04</v>
      </c>
      <c r="G1496" s="5">
        <v>12461.04</v>
      </c>
      <c r="H1496" s="5">
        <f t="shared" si="46"/>
        <v>6234.0000000000009</v>
      </c>
      <c r="I1496" s="9">
        <f t="shared" si="47"/>
        <v>1.0011177060047793</v>
      </c>
      <c r="J1496" s="3" t="s">
        <v>4603</v>
      </c>
    </row>
    <row r="1497" spans="1:10" ht="25.5">
      <c r="A1497" s="3" t="s">
        <v>1811</v>
      </c>
      <c r="B1497" s="3" t="s">
        <v>2376</v>
      </c>
      <c r="C1497" s="4">
        <v>23</v>
      </c>
      <c r="D1497" s="3" t="s">
        <v>71</v>
      </c>
      <c r="E1497" s="3" t="s">
        <v>8</v>
      </c>
      <c r="F1497" s="5">
        <v>12238.14</v>
      </c>
      <c r="G1497" s="5">
        <v>4556.58</v>
      </c>
      <c r="H1497" s="5">
        <f t="shared" si="46"/>
        <v>-7681.5599999999995</v>
      </c>
      <c r="I1497" s="9">
        <f t="shared" si="47"/>
        <v>-0.6276738131774926</v>
      </c>
      <c r="J1497" s="3" t="s">
        <v>4603</v>
      </c>
    </row>
    <row r="1498" spans="1:10" ht="38.25">
      <c r="A1498" s="3" t="s">
        <v>1811</v>
      </c>
      <c r="B1498" s="3" t="s">
        <v>2377</v>
      </c>
      <c r="C1498" s="4">
        <v>143</v>
      </c>
      <c r="D1498" s="3" t="s">
        <v>21</v>
      </c>
      <c r="E1498" s="3" t="s">
        <v>22</v>
      </c>
      <c r="F1498" s="5">
        <v>0</v>
      </c>
      <c r="G1498" s="5">
        <v>11726.64</v>
      </c>
      <c r="H1498" s="5">
        <f t="shared" si="46"/>
        <v>11726.64</v>
      </c>
      <c r="I1498" s="9">
        <f t="shared" si="47"/>
        <v>0</v>
      </c>
      <c r="J1498" s="3" t="s">
        <v>4603</v>
      </c>
    </row>
    <row r="1499" spans="1:10" ht="25.5">
      <c r="A1499" s="3" t="s">
        <v>1811</v>
      </c>
      <c r="B1499" s="3" t="s">
        <v>2378</v>
      </c>
      <c r="C1499" s="4">
        <v>61</v>
      </c>
      <c r="D1499" s="3" t="s">
        <v>114</v>
      </c>
      <c r="E1499" s="3" t="s">
        <v>30</v>
      </c>
      <c r="F1499" s="5">
        <v>17184.419999999998</v>
      </c>
      <c r="G1499" s="5">
        <v>31328.7</v>
      </c>
      <c r="H1499" s="5">
        <f t="shared" si="46"/>
        <v>14144.280000000002</v>
      </c>
      <c r="I1499" s="9">
        <f t="shared" si="47"/>
        <v>0.82308742453920503</v>
      </c>
      <c r="J1499" s="3" t="s">
        <v>4603</v>
      </c>
    </row>
    <row r="1500" spans="1:10" ht="38.25">
      <c r="A1500" s="3" t="s">
        <v>1811</v>
      </c>
      <c r="B1500" s="3" t="s">
        <v>2379</v>
      </c>
      <c r="C1500" s="4">
        <v>301</v>
      </c>
      <c r="D1500" s="3" t="s">
        <v>12</v>
      </c>
      <c r="E1500" s="3" t="s">
        <v>13</v>
      </c>
      <c r="F1500" s="5">
        <v>0</v>
      </c>
      <c r="G1500" s="5">
        <v>11354.73</v>
      </c>
      <c r="H1500" s="5">
        <f t="shared" si="46"/>
        <v>11354.73</v>
      </c>
      <c r="I1500" s="9">
        <f t="shared" si="47"/>
        <v>0</v>
      </c>
      <c r="J1500" s="3" t="s">
        <v>4604</v>
      </c>
    </row>
    <row r="1501" spans="1:10" ht="38.25">
      <c r="A1501" s="3" t="s">
        <v>1811</v>
      </c>
      <c r="B1501" s="3" t="s">
        <v>2380</v>
      </c>
      <c r="C1501" s="4">
        <v>34</v>
      </c>
      <c r="D1501" s="3" t="s">
        <v>136</v>
      </c>
      <c r="E1501" s="3" t="s">
        <v>30</v>
      </c>
      <c r="F1501" s="5">
        <v>5159.16</v>
      </c>
      <c r="G1501" s="5">
        <v>0</v>
      </c>
      <c r="H1501" s="5">
        <f t="shared" si="46"/>
        <v>-5159.16</v>
      </c>
      <c r="I1501" s="9">
        <f t="shared" si="47"/>
        <v>-1</v>
      </c>
      <c r="J1501" s="3" t="s">
        <v>4603</v>
      </c>
    </row>
    <row r="1502" spans="1:10" ht="25.5">
      <c r="A1502" s="3" t="s">
        <v>1811</v>
      </c>
      <c r="B1502" s="3" t="s">
        <v>2381</v>
      </c>
      <c r="C1502" s="4">
        <v>31</v>
      </c>
      <c r="D1502" s="3" t="s">
        <v>172</v>
      </c>
      <c r="E1502" s="3" t="s">
        <v>13</v>
      </c>
      <c r="F1502" s="5">
        <v>3167.28</v>
      </c>
      <c r="G1502" s="5">
        <v>0</v>
      </c>
      <c r="H1502" s="5">
        <f t="shared" si="46"/>
        <v>-3167.28</v>
      </c>
      <c r="I1502" s="9">
        <f t="shared" si="47"/>
        <v>-1</v>
      </c>
      <c r="J1502" s="3" t="s">
        <v>4603</v>
      </c>
    </row>
    <row r="1503" spans="1:10" ht="25.5">
      <c r="A1503" s="3" t="s">
        <v>1811</v>
      </c>
      <c r="B1503" s="3" t="s">
        <v>2382</v>
      </c>
      <c r="C1503" s="4">
        <v>194</v>
      </c>
      <c r="D1503" s="3" t="s">
        <v>179</v>
      </c>
      <c r="E1503" s="3" t="s">
        <v>13</v>
      </c>
      <c r="F1503" s="5">
        <v>5115.18</v>
      </c>
      <c r="G1503" s="5">
        <v>3259.8</v>
      </c>
      <c r="H1503" s="5">
        <f t="shared" si="46"/>
        <v>-1855.38</v>
      </c>
      <c r="I1503" s="9">
        <f t="shared" si="47"/>
        <v>-0.36272037347659325</v>
      </c>
      <c r="J1503" s="3" t="s">
        <v>4603</v>
      </c>
    </row>
    <row r="1504" spans="1:10" ht="25.5">
      <c r="A1504" s="3" t="s">
        <v>1811</v>
      </c>
      <c r="B1504" s="3" t="s">
        <v>2383</v>
      </c>
      <c r="C1504" s="4">
        <v>19</v>
      </c>
      <c r="D1504" s="3" t="s">
        <v>53</v>
      </c>
      <c r="E1504" s="3" t="s">
        <v>22</v>
      </c>
      <c r="F1504" s="5">
        <v>21617.61</v>
      </c>
      <c r="G1504" s="5">
        <v>0</v>
      </c>
      <c r="H1504" s="5">
        <f t="shared" si="46"/>
        <v>-21617.61</v>
      </c>
      <c r="I1504" s="9">
        <f t="shared" si="47"/>
        <v>-1</v>
      </c>
      <c r="J1504" s="3" t="s">
        <v>4603</v>
      </c>
    </row>
    <row r="1505" spans="1:10" ht="25.5">
      <c r="A1505" s="3" t="s">
        <v>1811</v>
      </c>
      <c r="B1505" s="3" t="s">
        <v>2384</v>
      </c>
      <c r="C1505" s="4">
        <v>327</v>
      </c>
      <c r="D1505" s="3" t="s">
        <v>76</v>
      </c>
      <c r="E1505" s="3" t="s">
        <v>8</v>
      </c>
      <c r="F1505" s="5">
        <v>0</v>
      </c>
      <c r="G1505" s="5">
        <v>2836.0340000000001</v>
      </c>
      <c r="H1505" s="5">
        <f t="shared" si="46"/>
        <v>2836.0340000000001</v>
      </c>
      <c r="I1505" s="9">
        <f t="shared" si="47"/>
        <v>0</v>
      </c>
      <c r="J1505" s="3" t="s">
        <v>4603</v>
      </c>
    </row>
    <row r="1506" spans="1:10" ht="25.5">
      <c r="A1506" s="3" t="s">
        <v>1811</v>
      </c>
      <c r="B1506" s="3" t="s">
        <v>2385</v>
      </c>
      <c r="C1506" s="4">
        <v>297</v>
      </c>
      <c r="D1506" s="3" t="s">
        <v>209</v>
      </c>
      <c r="E1506" s="3" t="s">
        <v>22</v>
      </c>
      <c r="F1506" s="5">
        <v>9798.74</v>
      </c>
      <c r="G1506" s="5">
        <v>0</v>
      </c>
      <c r="H1506" s="5">
        <f t="shared" si="46"/>
        <v>-9798.74</v>
      </c>
      <c r="I1506" s="9">
        <f t="shared" si="47"/>
        <v>-1</v>
      </c>
      <c r="J1506" s="3" t="s">
        <v>4603</v>
      </c>
    </row>
    <row r="1507" spans="1:10" ht="25.5">
      <c r="A1507" s="3" t="s">
        <v>1811</v>
      </c>
      <c r="B1507" s="3" t="s">
        <v>2386</v>
      </c>
      <c r="C1507" s="4">
        <v>261</v>
      </c>
      <c r="D1507" s="3" t="s">
        <v>17</v>
      </c>
      <c r="E1507" s="3" t="s">
        <v>18</v>
      </c>
      <c r="F1507" s="5">
        <v>0</v>
      </c>
      <c r="G1507" s="5">
        <v>9517.41</v>
      </c>
      <c r="H1507" s="5">
        <f t="shared" si="46"/>
        <v>9517.41</v>
      </c>
      <c r="I1507" s="9">
        <f t="shared" si="47"/>
        <v>0</v>
      </c>
      <c r="J1507" s="3" t="s">
        <v>4603</v>
      </c>
    </row>
    <row r="1508" spans="1:10" ht="25.5">
      <c r="A1508" s="3" t="s">
        <v>1811</v>
      </c>
      <c r="B1508" s="3" t="s">
        <v>2387</v>
      </c>
      <c r="C1508" s="4">
        <v>297</v>
      </c>
      <c r="D1508" s="3" t="s">
        <v>209</v>
      </c>
      <c r="E1508" s="3" t="s">
        <v>22</v>
      </c>
      <c r="F1508" s="5">
        <v>0</v>
      </c>
      <c r="G1508" s="5">
        <v>24085.59</v>
      </c>
      <c r="H1508" s="5">
        <f t="shared" si="46"/>
        <v>24085.59</v>
      </c>
      <c r="I1508" s="9">
        <f t="shared" si="47"/>
        <v>0</v>
      </c>
      <c r="J1508" s="3" t="s">
        <v>4603</v>
      </c>
    </row>
    <row r="1509" spans="1:10" ht="25.5">
      <c r="A1509" s="3" t="s">
        <v>1811</v>
      </c>
      <c r="B1509" s="3" t="s">
        <v>2388</v>
      </c>
      <c r="C1509" s="4">
        <v>217</v>
      </c>
      <c r="D1509" s="3" t="s">
        <v>253</v>
      </c>
      <c r="E1509" s="3" t="s">
        <v>13</v>
      </c>
      <c r="F1509" s="5">
        <v>30385.439999999999</v>
      </c>
      <c r="G1509" s="5">
        <v>0</v>
      </c>
      <c r="H1509" s="5">
        <f t="shared" si="46"/>
        <v>-30385.439999999999</v>
      </c>
      <c r="I1509" s="9">
        <f t="shared" si="47"/>
        <v>-1</v>
      </c>
      <c r="J1509" s="3" t="s">
        <v>4603</v>
      </c>
    </row>
    <row r="1510" spans="1:10" ht="25.5">
      <c r="A1510" s="3" t="s">
        <v>1811</v>
      </c>
      <c r="B1510" s="3" t="s">
        <v>2389</v>
      </c>
      <c r="C1510" s="4">
        <v>217</v>
      </c>
      <c r="D1510" s="3" t="s">
        <v>253</v>
      </c>
      <c r="E1510" s="3" t="s">
        <v>13</v>
      </c>
      <c r="F1510" s="5">
        <v>28702.32</v>
      </c>
      <c r="G1510" s="5">
        <v>25040.67</v>
      </c>
      <c r="H1510" s="5">
        <f t="shared" si="46"/>
        <v>-3661.6500000000015</v>
      </c>
      <c r="I1510" s="9">
        <f t="shared" si="47"/>
        <v>-0.12757331114697357</v>
      </c>
      <c r="J1510" s="3" t="s">
        <v>4603</v>
      </c>
    </row>
    <row r="1511" spans="1:10" ht="38.25">
      <c r="A1511" s="3" t="s">
        <v>1811</v>
      </c>
      <c r="B1511" s="3" t="s">
        <v>2390</v>
      </c>
      <c r="C1511" s="4">
        <v>270</v>
      </c>
      <c r="D1511" s="3" t="s">
        <v>312</v>
      </c>
      <c r="E1511" s="3" t="s">
        <v>30</v>
      </c>
      <c r="F1511" s="5">
        <v>0</v>
      </c>
      <c r="G1511" s="5">
        <v>6531.36</v>
      </c>
      <c r="H1511" s="5">
        <f t="shared" si="46"/>
        <v>6531.36</v>
      </c>
      <c r="I1511" s="9">
        <f t="shared" si="47"/>
        <v>0</v>
      </c>
      <c r="J1511" s="3" t="s">
        <v>4603</v>
      </c>
    </row>
    <row r="1512" spans="1:10" ht="38.25">
      <c r="A1512" s="3" t="s">
        <v>1811</v>
      </c>
      <c r="B1512" s="3" t="s">
        <v>2391</v>
      </c>
      <c r="C1512" s="4">
        <v>39</v>
      </c>
      <c r="D1512" s="3" t="s">
        <v>26</v>
      </c>
      <c r="E1512" s="3" t="s">
        <v>9</v>
      </c>
      <c r="F1512" s="5">
        <v>0</v>
      </c>
      <c r="G1512" s="5">
        <v>1826.4</v>
      </c>
      <c r="H1512" s="5">
        <f t="shared" si="46"/>
        <v>1826.4</v>
      </c>
      <c r="I1512" s="9">
        <f t="shared" si="47"/>
        <v>0</v>
      </c>
      <c r="J1512" s="3" t="s">
        <v>4603</v>
      </c>
    </row>
    <row r="1513" spans="1:10" ht="25.5">
      <c r="A1513" s="3" t="s">
        <v>1811</v>
      </c>
      <c r="B1513" s="3" t="s">
        <v>2392</v>
      </c>
      <c r="C1513" s="4">
        <v>273</v>
      </c>
      <c r="D1513" s="3" t="s">
        <v>771</v>
      </c>
      <c r="E1513" s="3" t="s">
        <v>13</v>
      </c>
      <c r="F1513" s="5">
        <v>5785.95</v>
      </c>
      <c r="G1513" s="5">
        <v>0</v>
      </c>
      <c r="H1513" s="5">
        <f t="shared" si="46"/>
        <v>-5785.95</v>
      </c>
      <c r="I1513" s="9">
        <f t="shared" si="47"/>
        <v>-1</v>
      </c>
      <c r="J1513" s="3" t="s">
        <v>4604</v>
      </c>
    </row>
    <row r="1514" spans="1:10">
      <c r="A1514" s="3" t="s">
        <v>1811</v>
      </c>
      <c r="B1514" s="3" t="s">
        <v>2393</v>
      </c>
      <c r="C1514" s="4">
        <v>240</v>
      </c>
      <c r="D1514" s="3" t="s">
        <v>152</v>
      </c>
      <c r="E1514" s="3" t="s">
        <v>13</v>
      </c>
      <c r="F1514" s="5">
        <v>7751.4</v>
      </c>
      <c r="G1514" s="5">
        <v>0</v>
      </c>
      <c r="H1514" s="5">
        <f t="shared" si="46"/>
        <v>-7751.4</v>
      </c>
      <c r="I1514" s="9">
        <f t="shared" si="47"/>
        <v>-1</v>
      </c>
      <c r="J1514" s="3" t="s">
        <v>4603</v>
      </c>
    </row>
    <row r="1515" spans="1:10" ht="25.5">
      <c r="A1515" s="3" t="s">
        <v>1811</v>
      </c>
      <c r="B1515" s="3" t="s">
        <v>2394</v>
      </c>
      <c r="C1515" s="4">
        <v>31</v>
      </c>
      <c r="D1515" s="3" t="s">
        <v>172</v>
      </c>
      <c r="E1515" s="3" t="s">
        <v>13</v>
      </c>
      <c r="F1515" s="5">
        <v>7768.68</v>
      </c>
      <c r="G1515" s="5">
        <v>0</v>
      </c>
      <c r="H1515" s="5">
        <f t="shared" si="46"/>
        <v>-7768.68</v>
      </c>
      <c r="I1515" s="9">
        <f t="shared" si="47"/>
        <v>-1</v>
      </c>
      <c r="J1515" s="3" t="s">
        <v>4603</v>
      </c>
    </row>
    <row r="1516" spans="1:10" ht="25.5">
      <c r="A1516" s="3" t="s">
        <v>1811</v>
      </c>
      <c r="B1516" s="3" t="s">
        <v>2395</v>
      </c>
      <c r="C1516" s="4">
        <v>296</v>
      </c>
      <c r="D1516" s="3" t="s">
        <v>137</v>
      </c>
      <c r="E1516" s="3" t="s">
        <v>18</v>
      </c>
      <c r="F1516" s="5">
        <v>4460.22</v>
      </c>
      <c r="G1516" s="5">
        <v>0</v>
      </c>
      <c r="H1516" s="5">
        <f t="shared" si="46"/>
        <v>-4460.22</v>
      </c>
      <c r="I1516" s="9">
        <f t="shared" si="47"/>
        <v>-1</v>
      </c>
      <c r="J1516" s="3" t="s">
        <v>4603</v>
      </c>
    </row>
    <row r="1517" spans="1:10" ht="25.5">
      <c r="A1517" s="3" t="s">
        <v>1811</v>
      </c>
      <c r="B1517" s="3" t="s">
        <v>2396</v>
      </c>
      <c r="C1517" s="4">
        <v>297</v>
      </c>
      <c r="D1517" s="3" t="s">
        <v>209</v>
      </c>
      <c r="E1517" s="3" t="s">
        <v>22</v>
      </c>
      <c r="F1517" s="5">
        <v>12527.71</v>
      </c>
      <c r="G1517" s="5">
        <v>17887.509999999998</v>
      </c>
      <c r="H1517" s="5">
        <f t="shared" si="46"/>
        <v>5359.7999999999993</v>
      </c>
      <c r="I1517" s="9">
        <f t="shared" si="47"/>
        <v>0.42783557409933648</v>
      </c>
      <c r="J1517" s="3" t="s">
        <v>4603</v>
      </c>
    </row>
    <row r="1518" spans="1:10" ht="25.5">
      <c r="A1518" s="3" t="s">
        <v>1811</v>
      </c>
      <c r="B1518" s="3" t="s">
        <v>2397</v>
      </c>
      <c r="C1518" s="4">
        <v>194</v>
      </c>
      <c r="D1518" s="3" t="s">
        <v>179</v>
      </c>
      <c r="E1518" s="3" t="s">
        <v>13</v>
      </c>
      <c r="F1518" s="5">
        <v>7966.92</v>
      </c>
      <c r="G1518" s="5">
        <v>0</v>
      </c>
      <c r="H1518" s="5">
        <f t="shared" si="46"/>
        <v>-7966.92</v>
      </c>
      <c r="I1518" s="9">
        <f t="shared" si="47"/>
        <v>-1</v>
      </c>
      <c r="J1518" s="3" t="s">
        <v>4603</v>
      </c>
    </row>
    <row r="1519" spans="1:10" ht="25.5">
      <c r="A1519" s="3" t="s">
        <v>1811</v>
      </c>
      <c r="B1519" s="3" t="s">
        <v>2398</v>
      </c>
      <c r="C1519" s="4">
        <v>299</v>
      </c>
      <c r="D1519" s="3" t="s">
        <v>246</v>
      </c>
      <c r="E1519" s="3" t="s">
        <v>30</v>
      </c>
      <c r="F1519" s="5">
        <v>4997.25</v>
      </c>
      <c r="G1519" s="5">
        <v>5072.49</v>
      </c>
      <c r="H1519" s="5">
        <f t="shared" si="46"/>
        <v>75.239999999999782</v>
      </c>
      <c r="I1519" s="9">
        <f t="shared" si="47"/>
        <v>1.5056280954524937E-2</v>
      </c>
      <c r="J1519" s="3" t="s">
        <v>4603</v>
      </c>
    </row>
    <row r="1520" spans="1:10" ht="25.5">
      <c r="A1520" s="3" t="s">
        <v>1811</v>
      </c>
      <c r="B1520" s="3" t="s">
        <v>2399</v>
      </c>
      <c r="C1520" s="4">
        <v>218</v>
      </c>
      <c r="D1520" s="3" t="s">
        <v>155</v>
      </c>
      <c r="E1520" s="3" t="s">
        <v>13</v>
      </c>
      <c r="F1520" s="5">
        <v>10284.719999999999</v>
      </c>
      <c r="G1520" s="5">
        <v>13421.52</v>
      </c>
      <c r="H1520" s="5">
        <f t="shared" si="46"/>
        <v>3136.8000000000011</v>
      </c>
      <c r="I1520" s="9">
        <f t="shared" si="47"/>
        <v>0.30499614962779753</v>
      </c>
      <c r="J1520" s="3" t="s">
        <v>4604</v>
      </c>
    </row>
    <row r="1521" spans="1:10" ht="25.5">
      <c r="A1521" s="3" t="s">
        <v>1811</v>
      </c>
      <c r="B1521" s="3" t="s">
        <v>2400</v>
      </c>
      <c r="C1521" s="4">
        <v>261</v>
      </c>
      <c r="D1521" s="3" t="s">
        <v>17</v>
      </c>
      <c r="E1521" s="3" t="s">
        <v>18</v>
      </c>
      <c r="F1521" s="5">
        <v>18278.64</v>
      </c>
      <c r="G1521" s="5">
        <v>18155.580000000002</v>
      </c>
      <c r="H1521" s="5">
        <f t="shared" si="46"/>
        <v>-123.05999999999767</v>
      </c>
      <c r="I1521" s="9">
        <f t="shared" si="47"/>
        <v>-6.7324483659614298E-3</v>
      </c>
      <c r="J1521" s="3" t="s">
        <v>4603</v>
      </c>
    </row>
    <row r="1522" spans="1:10" ht="25.5">
      <c r="A1522" s="3" t="s">
        <v>1811</v>
      </c>
      <c r="B1522" s="3" t="s">
        <v>2401</v>
      </c>
      <c r="C1522" s="4">
        <v>23</v>
      </c>
      <c r="D1522" s="3" t="s">
        <v>71</v>
      </c>
      <c r="E1522" s="3" t="s">
        <v>8</v>
      </c>
      <c r="F1522" s="5">
        <v>2861.52</v>
      </c>
      <c r="G1522" s="5">
        <v>3463.38</v>
      </c>
      <c r="H1522" s="5">
        <f t="shared" si="46"/>
        <v>601.86000000000013</v>
      </c>
      <c r="I1522" s="9">
        <f t="shared" si="47"/>
        <v>0.21032877631468594</v>
      </c>
      <c r="J1522" s="3" t="s">
        <v>4603</v>
      </c>
    </row>
    <row r="1523" spans="1:10" ht="25.5">
      <c r="A1523" s="3" t="s">
        <v>1811</v>
      </c>
      <c r="B1523" s="3" t="s">
        <v>2402</v>
      </c>
      <c r="C1523" s="4">
        <v>93</v>
      </c>
      <c r="D1523" s="3" t="s">
        <v>42</v>
      </c>
      <c r="E1523" s="3" t="s">
        <v>8</v>
      </c>
      <c r="F1523" s="5">
        <v>5627.04</v>
      </c>
      <c r="G1523" s="5">
        <v>0</v>
      </c>
      <c r="H1523" s="5">
        <f t="shared" si="46"/>
        <v>-5627.04</v>
      </c>
      <c r="I1523" s="9">
        <f t="shared" si="47"/>
        <v>-1</v>
      </c>
      <c r="J1523" s="3" t="s">
        <v>4603</v>
      </c>
    </row>
    <row r="1524" spans="1:10" ht="25.5">
      <c r="A1524" s="3" t="s">
        <v>1811</v>
      </c>
      <c r="B1524" s="3" t="s">
        <v>2403</v>
      </c>
      <c r="C1524" s="4">
        <v>297</v>
      </c>
      <c r="D1524" s="3" t="s">
        <v>209</v>
      </c>
      <c r="E1524" s="3" t="s">
        <v>22</v>
      </c>
      <c r="F1524" s="5">
        <v>0</v>
      </c>
      <c r="G1524" s="5">
        <v>4554.24</v>
      </c>
      <c r="H1524" s="5">
        <f t="shared" si="46"/>
        <v>4554.24</v>
      </c>
      <c r="I1524" s="9">
        <f t="shared" si="47"/>
        <v>0</v>
      </c>
      <c r="J1524" s="3" t="s">
        <v>4603</v>
      </c>
    </row>
    <row r="1525" spans="1:10" ht="25.5">
      <c r="A1525" s="3" t="s">
        <v>1811</v>
      </c>
      <c r="B1525" s="3" t="s">
        <v>2404</v>
      </c>
      <c r="C1525" s="4">
        <v>270</v>
      </c>
      <c r="D1525" s="3" t="s">
        <v>312</v>
      </c>
      <c r="E1525" s="3" t="s">
        <v>30</v>
      </c>
      <c r="F1525" s="5">
        <v>4562.04</v>
      </c>
      <c r="G1525" s="5">
        <v>0</v>
      </c>
      <c r="H1525" s="5">
        <f t="shared" si="46"/>
        <v>-4562.04</v>
      </c>
      <c r="I1525" s="9">
        <f t="shared" si="47"/>
        <v>-1</v>
      </c>
      <c r="J1525" s="3" t="s">
        <v>4603</v>
      </c>
    </row>
    <row r="1526" spans="1:10" ht="25.5">
      <c r="A1526" s="3" t="s">
        <v>1811</v>
      </c>
      <c r="B1526" s="3" t="s">
        <v>2405</v>
      </c>
      <c r="C1526" s="4">
        <v>232</v>
      </c>
      <c r="D1526" s="3" t="s">
        <v>95</v>
      </c>
      <c r="E1526" s="3" t="s">
        <v>13</v>
      </c>
      <c r="F1526" s="5">
        <v>3756.6</v>
      </c>
      <c r="G1526" s="5">
        <v>0</v>
      </c>
      <c r="H1526" s="5">
        <f t="shared" si="46"/>
        <v>-3756.6</v>
      </c>
      <c r="I1526" s="9">
        <f t="shared" si="47"/>
        <v>-1</v>
      </c>
      <c r="J1526" s="3" t="s">
        <v>4603</v>
      </c>
    </row>
    <row r="1527" spans="1:10" ht="25.5">
      <c r="A1527" s="3" t="s">
        <v>1811</v>
      </c>
      <c r="B1527" s="3" t="s">
        <v>2406</v>
      </c>
      <c r="C1527" s="4">
        <v>194</v>
      </c>
      <c r="D1527" s="3" t="s">
        <v>179</v>
      </c>
      <c r="E1527" s="3" t="s">
        <v>13</v>
      </c>
      <c r="F1527" s="5">
        <v>0</v>
      </c>
      <c r="G1527" s="5">
        <v>12165.03</v>
      </c>
      <c r="H1527" s="5">
        <f t="shared" si="46"/>
        <v>12165.03</v>
      </c>
      <c r="I1527" s="9">
        <f t="shared" si="47"/>
        <v>0</v>
      </c>
      <c r="J1527" s="3" t="s">
        <v>4603</v>
      </c>
    </row>
    <row r="1528" spans="1:10" ht="25.5">
      <c r="A1528" s="3" t="s">
        <v>1811</v>
      </c>
      <c r="B1528" s="3" t="s">
        <v>2407</v>
      </c>
      <c r="C1528" s="4">
        <v>61</v>
      </c>
      <c r="D1528" s="3" t="s">
        <v>114</v>
      </c>
      <c r="E1528" s="3" t="s">
        <v>30</v>
      </c>
      <c r="F1528" s="5">
        <v>0</v>
      </c>
      <c r="G1528" s="5">
        <v>11052.24</v>
      </c>
      <c r="H1528" s="5">
        <f t="shared" si="46"/>
        <v>11052.24</v>
      </c>
      <c r="I1528" s="9">
        <f t="shared" si="47"/>
        <v>0</v>
      </c>
      <c r="J1528" s="3" t="s">
        <v>4603</v>
      </c>
    </row>
    <row r="1529" spans="1:10" ht="25.5">
      <c r="A1529" s="3" t="s">
        <v>1811</v>
      </c>
      <c r="B1529" s="3" t="s">
        <v>2408</v>
      </c>
      <c r="C1529" s="4">
        <v>93</v>
      </c>
      <c r="D1529" s="3" t="s">
        <v>42</v>
      </c>
      <c r="E1529" s="3" t="s">
        <v>8</v>
      </c>
      <c r="F1529" s="5">
        <v>6659.04</v>
      </c>
      <c r="G1529" s="5">
        <v>9726.36</v>
      </c>
      <c r="H1529" s="5">
        <f t="shared" si="46"/>
        <v>3067.3200000000006</v>
      </c>
      <c r="I1529" s="9">
        <f t="shared" si="47"/>
        <v>0.46062495494846112</v>
      </c>
      <c r="J1529" s="3" t="s">
        <v>4603</v>
      </c>
    </row>
    <row r="1530" spans="1:10" ht="25.5">
      <c r="A1530" s="3" t="s">
        <v>1811</v>
      </c>
      <c r="B1530" s="3" t="s">
        <v>2409</v>
      </c>
      <c r="C1530" s="4">
        <v>261</v>
      </c>
      <c r="D1530" s="3" t="s">
        <v>17</v>
      </c>
      <c r="E1530" s="3" t="s">
        <v>18</v>
      </c>
      <c r="F1530" s="5">
        <v>7048.74</v>
      </c>
      <c r="G1530" s="5">
        <v>6926.91</v>
      </c>
      <c r="H1530" s="5">
        <f t="shared" si="46"/>
        <v>-121.82999999999993</v>
      </c>
      <c r="I1530" s="9">
        <f t="shared" si="47"/>
        <v>-1.7283940108444917E-2</v>
      </c>
      <c r="J1530" s="3" t="s">
        <v>4603</v>
      </c>
    </row>
    <row r="1531" spans="1:10" ht="25.5">
      <c r="A1531" s="3" t="s">
        <v>1811</v>
      </c>
      <c r="B1531" s="3" t="s">
        <v>2410</v>
      </c>
      <c r="C1531" s="4">
        <v>261</v>
      </c>
      <c r="D1531" s="3" t="s">
        <v>17</v>
      </c>
      <c r="E1531" s="3" t="s">
        <v>18</v>
      </c>
      <c r="F1531" s="5">
        <v>11616.48</v>
      </c>
      <c r="G1531" s="5">
        <v>9023.5499999999993</v>
      </c>
      <c r="H1531" s="5">
        <f t="shared" si="46"/>
        <v>-2592.9300000000003</v>
      </c>
      <c r="I1531" s="9">
        <f t="shared" si="47"/>
        <v>-0.22321133424238671</v>
      </c>
      <c r="J1531" s="3" t="s">
        <v>4603</v>
      </c>
    </row>
    <row r="1532" spans="1:10" ht="38.25">
      <c r="A1532" s="3" t="s">
        <v>1811</v>
      </c>
      <c r="B1532" s="3" t="s">
        <v>2411</v>
      </c>
      <c r="C1532" s="4">
        <v>297</v>
      </c>
      <c r="D1532" s="3" t="s">
        <v>209</v>
      </c>
      <c r="E1532" s="3" t="s">
        <v>22</v>
      </c>
      <c r="F1532" s="5">
        <v>9980.24</v>
      </c>
      <c r="G1532" s="5">
        <v>0</v>
      </c>
      <c r="H1532" s="5">
        <f t="shared" si="46"/>
        <v>-9980.24</v>
      </c>
      <c r="I1532" s="9">
        <f t="shared" si="47"/>
        <v>-1</v>
      </c>
      <c r="J1532" s="3" t="s">
        <v>4603</v>
      </c>
    </row>
    <row r="1533" spans="1:10" ht="25.5">
      <c r="A1533" s="3" t="s">
        <v>1811</v>
      </c>
      <c r="B1533" s="3" t="s">
        <v>2412</v>
      </c>
      <c r="C1533" s="4">
        <v>93</v>
      </c>
      <c r="D1533" s="3" t="s">
        <v>42</v>
      </c>
      <c r="E1533" s="3" t="s">
        <v>8</v>
      </c>
      <c r="F1533" s="5">
        <v>0</v>
      </c>
      <c r="G1533" s="5">
        <v>13842.84</v>
      </c>
      <c r="H1533" s="5">
        <f t="shared" si="46"/>
        <v>13842.84</v>
      </c>
      <c r="I1533" s="9">
        <f t="shared" si="47"/>
        <v>0</v>
      </c>
      <c r="J1533" s="3" t="s">
        <v>4603</v>
      </c>
    </row>
    <row r="1534" spans="1:10" ht="38.25">
      <c r="A1534" s="3" t="s">
        <v>1811</v>
      </c>
      <c r="B1534" s="3" t="s">
        <v>2413</v>
      </c>
      <c r="C1534" s="4">
        <v>34</v>
      </c>
      <c r="D1534" s="3" t="s">
        <v>136</v>
      </c>
      <c r="E1534" s="3" t="s">
        <v>30</v>
      </c>
      <c r="F1534" s="5">
        <v>11425.08</v>
      </c>
      <c r="G1534" s="5">
        <v>8262.9</v>
      </c>
      <c r="H1534" s="5">
        <f t="shared" si="46"/>
        <v>-3162.1800000000003</v>
      </c>
      <c r="I1534" s="9">
        <f t="shared" si="47"/>
        <v>-0.2767753048556334</v>
      </c>
      <c r="J1534" s="3" t="s">
        <v>4603</v>
      </c>
    </row>
    <row r="1535" spans="1:10" ht="25.5">
      <c r="A1535" s="3" t="s">
        <v>1811</v>
      </c>
      <c r="B1535" s="3" t="s">
        <v>2414</v>
      </c>
      <c r="C1535" s="4">
        <v>93</v>
      </c>
      <c r="D1535" s="3" t="s">
        <v>42</v>
      </c>
      <c r="E1535" s="3" t="s">
        <v>8</v>
      </c>
      <c r="F1535" s="5">
        <v>20327.97</v>
      </c>
      <c r="G1535" s="5">
        <v>14907.36</v>
      </c>
      <c r="H1535" s="5">
        <f t="shared" si="46"/>
        <v>-5420.6100000000006</v>
      </c>
      <c r="I1535" s="9">
        <f t="shared" si="47"/>
        <v>-0.26665771348540956</v>
      </c>
      <c r="J1535" s="3" t="s">
        <v>4603</v>
      </c>
    </row>
    <row r="1536" spans="1:10" ht="25.5">
      <c r="A1536" s="3" t="s">
        <v>1811</v>
      </c>
      <c r="B1536" s="3" t="s">
        <v>2415</v>
      </c>
      <c r="C1536" s="4">
        <v>327</v>
      </c>
      <c r="D1536" s="3" t="s">
        <v>76</v>
      </c>
      <c r="E1536" s="3" t="s">
        <v>8</v>
      </c>
      <c r="F1536" s="5">
        <v>17565.36</v>
      </c>
      <c r="G1536" s="5">
        <v>14221.8</v>
      </c>
      <c r="H1536" s="5">
        <f t="shared" si="46"/>
        <v>-3343.5600000000013</v>
      </c>
      <c r="I1536" s="9">
        <f t="shared" si="47"/>
        <v>-0.19034964270587118</v>
      </c>
      <c r="J1536" s="3" t="s">
        <v>4603</v>
      </c>
    </row>
    <row r="1537" spans="1:10" ht="25.5">
      <c r="A1537" s="3" t="s">
        <v>1811</v>
      </c>
      <c r="B1537" s="3" t="s">
        <v>2416</v>
      </c>
      <c r="C1537" s="4">
        <v>270</v>
      </c>
      <c r="D1537" s="3" t="s">
        <v>312</v>
      </c>
      <c r="E1537" s="3" t="s">
        <v>30</v>
      </c>
      <c r="F1537" s="5">
        <v>4144.68</v>
      </c>
      <c r="G1537" s="5">
        <v>0</v>
      </c>
      <c r="H1537" s="5">
        <f t="shared" si="46"/>
        <v>-4144.68</v>
      </c>
      <c r="I1537" s="9">
        <f t="shared" si="47"/>
        <v>-1</v>
      </c>
      <c r="J1537" s="3" t="s">
        <v>4603</v>
      </c>
    </row>
    <row r="1538" spans="1:10" ht="25.5">
      <c r="A1538" s="3" t="s">
        <v>1811</v>
      </c>
      <c r="B1538" s="3" t="s">
        <v>2417</v>
      </c>
      <c r="C1538" s="4">
        <v>317</v>
      </c>
      <c r="D1538" s="3" t="s">
        <v>54</v>
      </c>
      <c r="E1538" s="3" t="s">
        <v>18</v>
      </c>
      <c r="F1538" s="5">
        <v>3426.72</v>
      </c>
      <c r="G1538" s="5">
        <v>5266.48</v>
      </c>
      <c r="H1538" s="5">
        <f t="shared" si="46"/>
        <v>1839.7599999999998</v>
      </c>
      <c r="I1538" s="9">
        <f t="shared" si="47"/>
        <v>0.53688658542279488</v>
      </c>
      <c r="J1538" s="3" t="s">
        <v>4603</v>
      </c>
    </row>
    <row r="1539" spans="1:10" ht="25.5">
      <c r="A1539" s="3" t="s">
        <v>1811</v>
      </c>
      <c r="B1539" s="3" t="s">
        <v>2418</v>
      </c>
      <c r="C1539" s="4">
        <v>273</v>
      </c>
      <c r="D1539" s="3" t="s">
        <v>771</v>
      </c>
      <c r="E1539" s="3" t="s">
        <v>13</v>
      </c>
      <c r="F1539" s="5">
        <v>5818.56</v>
      </c>
      <c r="G1539" s="5">
        <v>3497.24</v>
      </c>
      <c r="H1539" s="5">
        <f t="shared" ref="H1539:H1602" si="48">G1539-F1539</f>
        <v>-2321.3200000000006</v>
      </c>
      <c r="I1539" s="9">
        <f t="shared" ref="I1539:I1602" si="49">IFERROR(G1539/F1539-1,0)</f>
        <v>-0.39895094318869284</v>
      </c>
      <c r="J1539" s="3" t="s">
        <v>4603</v>
      </c>
    </row>
    <row r="1540" spans="1:10" ht="25.5">
      <c r="A1540" s="3" t="s">
        <v>1811</v>
      </c>
      <c r="B1540" s="3" t="s">
        <v>2419</v>
      </c>
      <c r="C1540" s="4">
        <v>178</v>
      </c>
      <c r="D1540" s="3" t="s">
        <v>92</v>
      </c>
      <c r="E1540" s="3" t="s">
        <v>8</v>
      </c>
      <c r="F1540" s="5">
        <v>0</v>
      </c>
      <c r="G1540" s="5">
        <v>19249.5</v>
      </c>
      <c r="H1540" s="5">
        <f t="shared" si="48"/>
        <v>19249.5</v>
      </c>
      <c r="I1540" s="9">
        <f t="shared" si="49"/>
        <v>0</v>
      </c>
      <c r="J1540" s="3" t="s">
        <v>4603</v>
      </c>
    </row>
    <row r="1541" spans="1:10" ht="25.5">
      <c r="A1541" s="3" t="s">
        <v>1811</v>
      </c>
      <c r="B1541" s="3" t="s">
        <v>2420</v>
      </c>
      <c r="C1541" s="4">
        <v>178</v>
      </c>
      <c r="D1541" s="3" t="s">
        <v>92</v>
      </c>
      <c r="E1541" s="3" t="s">
        <v>8</v>
      </c>
      <c r="F1541" s="5">
        <v>5267.04</v>
      </c>
      <c r="G1541" s="5">
        <v>0</v>
      </c>
      <c r="H1541" s="5">
        <f t="shared" si="48"/>
        <v>-5267.04</v>
      </c>
      <c r="I1541" s="9">
        <f t="shared" si="49"/>
        <v>-1</v>
      </c>
      <c r="J1541" s="3" t="s">
        <v>4603</v>
      </c>
    </row>
    <row r="1542" spans="1:10" ht="25.5">
      <c r="A1542" s="3" t="s">
        <v>1811</v>
      </c>
      <c r="B1542" s="3" t="s">
        <v>2421</v>
      </c>
      <c r="C1542" s="4">
        <v>327</v>
      </c>
      <c r="D1542" s="3" t="s">
        <v>76</v>
      </c>
      <c r="E1542" s="3" t="s">
        <v>8</v>
      </c>
      <c r="F1542" s="5">
        <v>0</v>
      </c>
      <c r="G1542" s="5">
        <v>23259.42</v>
      </c>
      <c r="H1542" s="5">
        <f t="shared" si="48"/>
        <v>23259.42</v>
      </c>
      <c r="I1542" s="9">
        <f t="shared" si="49"/>
        <v>0</v>
      </c>
      <c r="J1542" s="3" t="s">
        <v>4603</v>
      </c>
    </row>
    <row r="1543" spans="1:10" ht="25.5">
      <c r="A1543" s="3" t="s">
        <v>1811</v>
      </c>
      <c r="B1543" s="3" t="s">
        <v>2422</v>
      </c>
      <c r="C1543" s="4">
        <v>23</v>
      </c>
      <c r="D1543" s="3" t="s">
        <v>71</v>
      </c>
      <c r="E1543" s="3" t="s">
        <v>8</v>
      </c>
      <c r="F1543" s="5">
        <v>0</v>
      </c>
      <c r="G1543" s="5">
        <v>4126.08</v>
      </c>
      <c r="H1543" s="5">
        <f t="shared" si="48"/>
        <v>4126.08</v>
      </c>
      <c r="I1543" s="9">
        <f t="shared" si="49"/>
        <v>0</v>
      </c>
      <c r="J1543" s="3" t="s">
        <v>4603</v>
      </c>
    </row>
    <row r="1544" spans="1:10" ht="25.5">
      <c r="A1544" s="3" t="s">
        <v>1811</v>
      </c>
      <c r="B1544" s="3" t="s">
        <v>2423</v>
      </c>
      <c r="C1544" s="4">
        <v>316</v>
      </c>
      <c r="D1544" s="3" t="s">
        <v>167</v>
      </c>
      <c r="E1544" s="3" t="s">
        <v>18</v>
      </c>
      <c r="F1544" s="5">
        <v>5799</v>
      </c>
      <c r="G1544" s="5">
        <v>3555</v>
      </c>
      <c r="H1544" s="5">
        <f t="shared" si="48"/>
        <v>-2244</v>
      </c>
      <c r="I1544" s="9">
        <f t="shared" si="49"/>
        <v>-0.38696326952922921</v>
      </c>
      <c r="J1544" s="3" t="s">
        <v>4603</v>
      </c>
    </row>
    <row r="1545" spans="1:10" ht="25.5">
      <c r="A1545" s="3" t="s">
        <v>1811</v>
      </c>
      <c r="B1545" s="3" t="s">
        <v>2424</v>
      </c>
      <c r="C1545" s="4">
        <v>194</v>
      </c>
      <c r="D1545" s="3" t="s">
        <v>179</v>
      </c>
      <c r="E1545" s="3" t="s">
        <v>13</v>
      </c>
      <c r="F1545" s="5">
        <v>5039.16</v>
      </c>
      <c r="G1545" s="5">
        <v>0</v>
      </c>
      <c r="H1545" s="5">
        <f t="shared" si="48"/>
        <v>-5039.16</v>
      </c>
      <c r="I1545" s="9">
        <f t="shared" si="49"/>
        <v>-1</v>
      </c>
      <c r="J1545" s="3" t="s">
        <v>4603</v>
      </c>
    </row>
    <row r="1546" spans="1:10" ht="25.5">
      <c r="A1546" s="3" t="s">
        <v>1811</v>
      </c>
      <c r="B1546" s="3" t="s">
        <v>2425</v>
      </c>
      <c r="C1546" s="4">
        <v>270</v>
      </c>
      <c r="D1546" s="3" t="s">
        <v>312</v>
      </c>
      <c r="E1546" s="3" t="s">
        <v>30</v>
      </c>
      <c r="F1546" s="5">
        <v>0</v>
      </c>
      <c r="G1546" s="5">
        <v>10253.879999999999</v>
      </c>
      <c r="H1546" s="5">
        <f t="shared" si="48"/>
        <v>10253.879999999999</v>
      </c>
      <c r="I1546" s="9">
        <f t="shared" si="49"/>
        <v>0</v>
      </c>
      <c r="J1546" s="3" t="s">
        <v>4603</v>
      </c>
    </row>
    <row r="1547" spans="1:10" ht="25.5">
      <c r="A1547" s="3" t="s">
        <v>1811</v>
      </c>
      <c r="B1547" s="3" t="s">
        <v>2426</v>
      </c>
      <c r="C1547" s="4">
        <v>270</v>
      </c>
      <c r="D1547" s="3" t="s">
        <v>312</v>
      </c>
      <c r="E1547" s="3" t="s">
        <v>30</v>
      </c>
      <c r="F1547" s="5">
        <v>13197.78</v>
      </c>
      <c r="G1547" s="5">
        <v>0</v>
      </c>
      <c r="H1547" s="5">
        <f t="shared" si="48"/>
        <v>-13197.78</v>
      </c>
      <c r="I1547" s="9">
        <f t="shared" si="49"/>
        <v>-1</v>
      </c>
      <c r="J1547" s="3" t="s">
        <v>4603</v>
      </c>
    </row>
    <row r="1548" spans="1:10">
      <c r="A1548" s="3" t="s">
        <v>1811</v>
      </c>
      <c r="B1548" s="3" t="s">
        <v>2427</v>
      </c>
      <c r="C1548" s="4">
        <v>231</v>
      </c>
      <c r="D1548" s="3" t="s">
        <v>89</v>
      </c>
      <c r="E1548" s="3" t="s">
        <v>8</v>
      </c>
      <c r="F1548" s="5">
        <v>4799.28</v>
      </c>
      <c r="G1548" s="5">
        <v>0</v>
      </c>
      <c r="H1548" s="5">
        <f t="shared" si="48"/>
        <v>-4799.28</v>
      </c>
      <c r="I1548" s="9">
        <f t="shared" si="49"/>
        <v>-1</v>
      </c>
      <c r="J1548" s="3" t="s">
        <v>4603</v>
      </c>
    </row>
    <row r="1549" spans="1:10" ht="25.5">
      <c r="A1549" s="3" t="s">
        <v>1811</v>
      </c>
      <c r="B1549" s="3" t="s">
        <v>2428</v>
      </c>
      <c r="C1549" s="4">
        <v>273</v>
      </c>
      <c r="D1549" s="3" t="s">
        <v>771</v>
      </c>
      <c r="E1549" s="3" t="s">
        <v>13</v>
      </c>
      <c r="F1549" s="5">
        <v>4198.92</v>
      </c>
      <c r="G1549" s="5">
        <v>0</v>
      </c>
      <c r="H1549" s="5">
        <f t="shared" si="48"/>
        <v>-4198.92</v>
      </c>
      <c r="I1549" s="9">
        <f t="shared" si="49"/>
        <v>-1</v>
      </c>
      <c r="J1549" s="3" t="s">
        <v>4604</v>
      </c>
    </row>
    <row r="1550" spans="1:10" ht="25.5">
      <c r="A1550" s="3" t="s">
        <v>1811</v>
      </c>
      <c r="B1550" s="3" t="s">
        <v>2429</v>
      </c>
      <c r="C1550" s="4">
        <v>194</v>
      </c>
      <c r="D1550" s="3" t="s">
        <v>179</v>
      </c>
      <c r="E1550" s="3" t="s">
        <v>13</v>
      </c>
      <c r="F1550" s="5">
        <v>2423.52</v>
      </c>
      <c r="G1550" s="5">
        <v>4182</v>
      </c>
      <c r="H1550" s="5">
        <f t="shared" si="48"/>
        <v>1758.48</v>
      </c>
      <c r="I1550" s="9">
        <f t="shared" si="49"/>
        <v>0.72558922558922556</v>
      </c>
      <c r="J1550" s="3" t="s">
        <v>4603</v>
      </c>
    </row>
    <row r="1551" spans="1:10" ht="25.5">
      <c r="A1551" s="3" t="s">
        <v>1811</v>
      </c>
      <c r="B1551" s="3" t="s">
        <v>2430</v>
      </c>
      <c r="C1551" s="4">
        <v>232</v>
      </c>
      <c r="D1551" s="3" t="s">
        <v>95</v>
      </c>
      <c r="E1551" s="3" t="s">
        <v>13</v>
      </c>
      <c r="F1551" s="5">
        <v>3377.28</v>
      </c>
      <c r="G1551" s="5">
        <v>0</v>
      </c>
      <c r="H1551" s="5">
        <f t="shared" si="48"/>
        <v>-3377.28</v>
      </c>
      <c r="I1551" s="9">
        <f t="shared" si="49"/>
        <v>-1</v>
      </c>
      <c r="J1551" s="3" t="s">
        <v>4603</v>
      </c>
    </row>
    <row r="1552" spans="1:10" ht="25.5">
      <c r="A1552" s="3" t="s">
        <v>1811</v>
      </c>
      <c r="B1552" s="3" t="s">
        <v>2431</v>
      </c>
      <c r="C1552" s="4">
        <v>187</v>
      </c>
      <c r="D1552" s="3" t="s">
        <v>460</v>
      </c>
      <c r="E1552" s="3" t="s">
        <v>8</v>
      </c>
      <c r="F1552" s="5">
        <v>6680.04</v>
      </c>
      <c r="G1552" s="5">
        <v>11155.65</v>
      </c>
      <c r="H1552" s="5">
        <f t="shared" si="48"/>
        <v>4475.6099999999997</v>
      </c>
      <c r="I1552" s="9">
        <f t="shared" si="49"/>
        <v>0.66999748504499967</v>
      </c>
      <c r="J1552" s="3" t="s">
        <v>4603</v>
      </c>
    </row>
    <row r="1553" spans="1:10" ht="25.5">
      <c r="A1553" s="3" t="s">
        <v>1811</v>
      </c>
      <c r="B1553" s="3" t="s">
        <v>2432</v>
      </c>
      <c r="C1553" s="4">
        <v>231</v>
      </c>
      <c r="D1553" s="3" t="s">
        <v>89</v>
      </c>
      <c r="E1553" s="3" t="s">
        <v>8</v>
      </c>
      <c r="F1553" s="5">
        <v>6224.01</v>
      </c>
      <c r="G1553" s="5">
        <v>0</v>
      </c>
      <c r="H1553" s="5">
        <f t="shared" si="48"/>
        <v>-6224.01</v>
      </c>
      <c r="I1553" s="9">
        <f t="shared" si="49"/>
        <v>-1</v>
      </c>
      <c r="J1553" s="3" t="s">
        <v>4603</v>
      </c>
    </row>
    <row r="1554" spans="1:10" ht="25.5">
      <c r="A1554" s="3" t="s">
        <v>1811</v>
      </c>
      <c r="B1554" s="3" t="s">
        <v>2433</v>
      </c>
      <c r="C1554" s="4">
        <v>264</v>
      </c>
      <c r="D1554" s="3" t="s">
        <v>632</v>
      </c>
      <c r="E1554" s="3" t="s">
        <v>22</v>
      </c>
      <c r="F1554" s="5">
        <v>5015.3999999999996</v>
      </c>
      <c r="G1554" s="5">
        <v>0</v>
      </c>
      <c r="H1554" s="5">
        <f t="shared" si="48"/>
        <v>-5015.3999999999996</v>
      </c>
      <c r="I1554" s="9">
        <f t="shared" si="49"/>
        <v>-1</v>
      </c>
      <c r="J1554" s="3" t="s">
        <v>4603</v>
      </c>
    </row>
    <row r="1555" spans="1:10" ht="25.5">
      <c r="A1555" s="3" t="s">
        <v>1811</v>
      </c>
      <c r="B1555" s="3" t="s">
        <v>2433</v>
      </c>
      <c r="C1555" s="4">
        <v>264</v>
      </c>
      <c r="D1555" s="3" t="s">
        <v>632</v>
      </c>
      <c r="E1555" s="3" t="s">
        <v>8</v>
      </c>
      <c r="F1555" s="5">
        <v>5015.3999999999996</v>
      </c>
      <c r="G1555" s="5">
        <v>0</v>
      </c>
      <c r="H1555" s="5">
        <f t="shared" si="48"/>
        <v>-5015.3999999999996</v>
      </c>
      <c r="I1555" s="9">
        <f t="shared" si="49"/>
        <v>-1</v>
      </c>
      <c r="J1555" s="3" t="s">
        <v>4603</v>
      </c>
    </row>
    <row r="1556" spans="1:10" ht="38.25">
      <c r="A1556" s="3" t="s">
        <v>1811</v>
      </c>
      <c r="B1556" s="3" t="s">
        <v>2434</v>
      </c>
      <c r="C1556" s="4">
        <v>317</v>
      </c>
      <c r="D1556" s="3" t="s">
        <v>54</v>
      </c>
      <c r="E1556" s="3" t="s">
        <v>18</v>
      </c>
      <c r="F1556" s="5">
        <v>39267.800000000003</v>
      </c>
      <c r="G1556" s="5">
        <v>0</v>
      </c>
      <c r="H1556" s="5">
        <f t="shared" si="48"/>
        <v>-39267.800000000003</v>
      </c>
      <c r="I1556" s="9">
        <f t="shared" si="49"/>
        <v>-1</v>
      </c>
      <c r="J1556" s="3" t="s">
        <v>4603</v>
      </c>
    </row>
    <row r="1557" spans="1:10" ht="51">
      <c r="A1557" s="3" t="s">
        <v>1811</v>
      </c>
      <c r="B1557" s="3" t="s">
        <v>2435</v>
      </c>
      <c r="C1557" s="4">
        <v>282</v>
      </c>
      <c r="D1557" s="3" t="s">
        <v>298</v>
      </c>
      <c r="E1557" s="3" t="s">
        <v>9</v>
      </c>
      <c r="F1557" s="5">
        <v>110660.28</v>
      </c>
      <c r="G1557" s="5">
        <v>0</v>
      </c>
      <c r="H1557" s="5">
        <f t="shared" si="48"/>
        <v>-110660.28</v>
      </c>
      <c r="I1557" s="9">
        <f t="shared" si="49"/>
        <v>-1</v>
      </c>
      <c r="J1557" s="3" t="s">
        <v>4603</v>
      </c>
    </row>
    <row r="1558" spans="1:10" ht="38.25">
      <c r="A1558" s="3" t="s">
        <v>1811</v>
      </c>
      <c r="B1558" s="3" t="s">
        <v>2436</v>
      </c>
      <c r="C1558" s="4">
        <v>301</v>
      </c>
      <c r="D1558" s="3" t="s">
        <v>12</v>
      </c>
      <c r="E1558" s="3" t="s">
        <v>13</v>
      </c>
      <c r="F1558" s="5">
        <v>3206.52</v>
      </c>
      <c r="G1558" s="5">
        <v>2889.44</v>
      </c>
      <c r="H1558" s="5">
        <f t="shared" si="48"/>
        <v>-317.07999999999993</v>
      </c>
      <c r="I1558" s="9">
        <f t="shared" si="49"/>
        <v>-9.8886019734790387E-2</v>
      </c>
      <c r="J1558" s="3" t="s">
        <v>4603</v>
      </c>
    </row>
    <row r="1559" spans="1:10" ht="25.5">
      <c r="A1559" s="3" t="s">
        <v>1811</v>
      </c>
      <c r="B1559" s="3" t="s">
        <v>2437</v>
      </c>
      <c r="C1559" s="4">
        <v>335</v>
      </c>
      <c r="D1559" s="3" t="s">
        <v>7</v>
      </c>
      <c r="E1559" s="3" t="s">
        <v>8</v>
      </c>
      <c r="F1559" s="5">
        <v>6874.92</v>
      </c>
      <c r="G1559" s="5">
        <v>0</v>
      </c>
      <c r="H1559" s="5">
        <f t="shared" si="48"/>
        <v>-6874.92</v>
      </c>
      <c r="I1559" s="9">
        <f t="shared" si="49"/>
        <v>-1</v>
      </c>
      <c r="J1559" s="3" t="s">
        <v>4603</v>
      </c>
    </row>
    <row r="1560" spans="1:10" ht="38.25">
      <c r="A1560" s="3" t="s">
        <v>1811</v>
      </c>
      <c r="B1560" s="3" t="s">
        <v>2438</v>
      </c>
      <c r="C1560" s="4">
        <v>45</v>
      </c>
      <c r="D1560" s="3" t="s">
        <v>16</v>
      </c>
      <c r="E1560" s="3" t="s">
        <v>8</v>
      </c>
      <c r="F1560" s="5">
        <v>37656.36</v>
      </c>
      <c r="G1560" s="5">
        <v>40306.199999999997</v>
      </c>
      <c r="H1560" s="5">
        <f t="shared" si="48"/>
        <v>2649.8399999999965</v>
      </c>
      <c r="I1560" s="9">
        <f t="shared" si="49"/>
        <v>7.0368989461541132E-2</v>
      </c>
      <c r="J1560" s="3" t="s">
        <v>4603</v>
      </c>
    </row>
    <row r="1561" spans="1:10" ht="25.5">
      <c r="A1561" s="3" t="s">
        <v>1811</v>
      </c>
      <c r="B1561" s="3" t="s">
        <v>2439</v>
      </c>
      <c r="C1561" s="4">
        <v>23</v>
      </c>
      <c r="D1561" s="3" t="s">
        <v>71</v>
      </c>
      <c r="E1561" s="3" t="s">
        <v>8</v>
      </c>
      <c r="F1561" s="5">
        <v>13833.84</v>
      </c>
      <c r="G1561" s="5">
        <v>10870.08</v>
      </c>
      <c r="H1561" s="5">
        <f t="shared" si="48"/>
        <v>-2963.76</v>
      </c>
      <c r="I1561" s="9">
        <f t="shared" si="49"/>
        <v>-0.2142398639857046</v>
      </c>
      <c r="J1561" s="3" t="s">
        <v>4603</v>
      </c>
    </row>
    <row r="1562" spans="1:10" ht="38.25">
      <c r="A1562" s="3" t="s">
        <v>1811</v>
      </c>
      <c r="B1562" s="3" t="s">
        <v>2440</v>
      </c>
      <c r="C1562" s="4">
        <v>45</v>
      </c>
      <c r="D1562" s="3" t="s">
        <v>16</v>
      </c>
      <c r="E1562" s="3" t="s">
        <v>8</v>
      </c>
      <c r="F1562" s="5">
        <v>6043.26</v>
      </c>
      <c r="G1562" s="5">
        <v>4169.6400000000003</v>
      </c>
      <c r="H1562" s="5">
        <f t="shared" si="48"/>
        <v>-1873.62</v>
      </c>
      <c r="I1562" s="9">
        <f t="shared" si="49"/>
        <v>-0.31003465017225795</v>
      </c>
      <c r="J1562" s="3" t="s">
        <v>4603</v>
      </c>
    </row>
    <row r="1563" spans="1:10" ht="25.5">
      <c r="A1563" s="3" t="s">
        <v>1811</v>
      </c>
      <c r="B1563" s="3" t="s">
        <v>2441</v>
      </c>
      <c r="C1563" s="4">
        <v>327</v>
      </c>
      <c r="D1563" s="3" t="s">
        <v>76</v>
      </c>
      <c r="E1563" s="3" t="s">
        <v>8</v>
      </c>
      <c r="F1563" s="5">
        <v>0</v>
      </c>
      <c r="G1563" s="5">
        <v>3868.56</v>
      </c>
      <c r="H1563" s="5">
        <f t="shared" si="48"/>
        <v>3868.56</v>
      </c>
      <c r="I1563" s="9">
        <f t="shared" si="49"/>
        <v>0</v>
      </c>
      <c r="J1563" s="3" t="s">
        <v>4603</v>
      </c>
    </row>
    <row r="1564" spans="1:10" ht="38.25">
      <c r="A1564" s="3" t="s">
        <v>1811</v>
      </c>
      <c r="B1564" s="3" t="s">
        <v>2442</v>
      </c>
      <c r="C1564" s="4">
        <v>371</v>
      </c>
      <c r="D1564" s="3" t="s">
        <v>29</v>
      </c>
      <c r="E1564" s="3" t="s">
        <v>30</v>
      </c>
      <c r="F1564" s="5">
        <v>2111.52</v>
      </c>
      <c r="G1564" s="5">
        <v>0</v>
      </c>
      <c r="H1564" s="5">
        <f t="shared" si="48"/>
        <v>-2111.52</v>
      </c>
      <c r="I1564" s="9">
        <f t="shared" si="49"/>
        <v>-1</v>
      </c>
      <c r="J1564" s="3" t="s">
        <v>4603</v>
      </c>
    </row>
    <row r="1565" spans="1:10" ht="25.5">
      <c r="A1565" s="3" t="s">
        <v>1811</v>
      </c>
      <c r="B1565" s="3" t="s">
        <v>2443</v>
      </c>
      <c r="C1565" s="4">
        <v>320</v>
      </c>
      <c r="D1565" s="3" t="s">
        <v>188</v>
      </c>
      <c r="E1565" s="3" t="s">
        <v>30</v>
      </c>
      <c r="F1565" s="5">
        <v>0</v>
      </c>
      <c r="G1565" s="5">
        <v>17801.238000000001</v>
      </c>
      <c r="H1565" s="5">
        <f t="shared" si="48"/>
        <v>17801.238000000001</v>
      </c>
      <c r="I1565" s="9">
        <f t="shared" si="49"/>
        <v>0</v>
      </c>
      <c r="J1565" s="3" t="s">
        <v>4603</v>
      </c>
    </row>
    <row r="1566" spans="1:10" ht="25.5">
      <c r="A1566" s="3" t="s">
        <v>1811</v>
      </c>
      <c r="B1566" s="3" t="s">
        <v>2444</v>
      </c>
      <c r="C1566" s="4">
        <v>231</v>
      </c>
      <c r="D1566" s="3" t="s">
        <v>89</v>
      </c>
      <c r="E1566" s="3" t="s">
        <v>8</v>
      </c>
      <c r="F1566" s="5">
        <v>0</v>
      </c>
      <c r="G1566" s="5">
        <v>8960.52</v>
      </c>
      <c r="H1566" s="5">
        <f t="shared" si="48"/>
        <v>8960.52</v>
      </c>
      <c r="I1566" s="9">
        <f t="shared" si="49"/>
        <v>0</v>
      </c>
      <c r="J1566" s="3" t="s">
        <v>4604</v>
      </c>
    </row>
    <row r="1567" spans="1:10" ht="25.5">
      <c r="A1567" s="3" t="s">
        <v>1811</v>
      </c>
      <c r="B1567" s="3" t="s">
        <v>2445</v>
      </c>
      <c r="C1567" s="4">
        <v>61</v>
      </c>
      <c r="D1567" s="3" t="s">
        <v>114</v>
      </c>
      <c r="E1567" s="3" t="s">
        <v>30</v>
      </c>
      <c r="F1567" s="5">
        <v>7762.65</v>
      </c>
      <c r="G1567" s="5">
        <v>8890.32</v>
      </c>
      <c r="H1567" s="5">
        <f t="shared" si="48"/>
        <v>1127.67</v>
      </c>
      <c r="I1567" s="9">
        <f t="shared" si="49"/>
        <v>0.14526869046008772</v>
      </c>
      <c r="J1567" s="3" t="s">
        <v>4603</v>
      </c>
    </row>
    <row r="1568" spans="1:10" ht="25.5">
      <c r="A1568" s="3" t="s">
        <v>1811</v>
      </c>
      <c r="B1568" s="3" t="s">
        <v>2446</v>
      </c>
      <c r="C1568" s="4">
        <v>23</v>
      </c>
      <c r="D1568" s="3" t="s">
        <v>71</v>
      </c>
      <c r="E1568" s="3" t="s">
        <v>8</v>
      </c>
      <c r="F1568" s="5">
        <v>0</v>
      </c>
      <c r="G1568" s="5">
        <v>11451.691999999999</v>
      </c>
      <c r="H1568" s="5">
        <f t="shared" si="48"/>
        <v>11451.691999999999</v>
      </c>
      <c r="I1568" s="9">
        <f t="shared" si="49"/>
        <v>0</v>
      </c>
      <c r="J1568" s="3" t="s">
        <v>4603</v>
      </c>
    </row>
    <row r="1569" spans="1:10" ht="25.5">
      <c r="A1569" s="3" t="s">
        <v>1811</v>
      </c>
      <c r="B1569" s="3" t="s">
        <v>2447</v>
      </c>
      <c r="C1569" s="4">
        <v>240</v>
      </c>
      <c r="D1569" s="3" t="s">
        <v>152</v>
      </c>
      <c r="E1569" s="3" t="s">
        <v>13</v>
      </c>
      <c r="F1569" s="5">
        <v>10841.01</v>
      </c>
      <c r="G1569" s="5">
        <v>0</v>
      </c>
      <c r="H1569" s="5">
        <f t="shared" si="48"/>
        <v>-10841.01</v>
      </c>
      <c r="I1569" s="9">
        <f t="shared" si="49"/>
        <v>-1</v>
      </c>
      <c r="J1569" s="3" t="s">
        <v>4603</v>
      </c>
    </row>
    <row r="1570" spans="1:10" ht="25.5">
      <c r="A1570" s="3" t="s">
        <v>1811</v>
      </c>
      <c r="B1570" s="3" t="s">
        <v>2448</v>
      </c>
      <c r="C1570" s="4">
        <v>93</v>
      </c>
      <c r="D1570" s="3" t="s">
        <v>42</v>
      </c>
      <c r="E1570" s="3" t="s">
        <v>8</v>
      </c>
      <c r="F1570" s="5">
        <v>7786.8</v>
      </c>
      <c r="G1570" s="5">
        <v>12179.85</v>
      </c>
      <c r="H1570" s="5">
        <f t="shared" si="48"/>
        <v>4393.05</v>
      </c>
      <c r="I1570" s="9">
        <f t="shared" si="49"/>
        <v>0.56416628139929115</v>
      </c>
      <c r="J1570" s="3" t="s">
        <v>4603</v>
      </c>
    </row>
    <row r="1571" spans="1:10" ht="25.5">
      <c r="A1571" s="3" t="s">
        <v>1811</v>
      </c>
      <c r="B1571" s="3" t="s">
        <v>2449</v>
      </c>
      <c r="C1571" s="4">
        <v>31</v>
      </c>
      <c r="D1571" s="3" t="s">
        <v>172</v>
      </c>
      <c r="E1571" s="3" t="s">
        <v>13</v>
      </c>
      <c r="F1571" s="5">
        <v>3167.28</v>
      </c>
      <c r="G1571" s="5">
        <v>0</v>
      </c>
      <c r="H1571" s="5">
        <f t="shared" si="48"/>
        <v>-3167.28</v>
      </c>
      <c r="I1571" s="9">
        <f t="shared" si="49"/>
        <v>-1</v>
      </c>
      <c r="J1571" s="3" t="s">
        <v>4604</v>
      </c>
    </row>
    <row r="1572" spans="1:10" ht="25.5">
      <c r="A1572" s="3" t="s">
        <v>1811</v>
      </c>
      <c r="B1572" s="3" t="s">
        <v>2450</v>
      </c>
      <c r="C1572" s="4">
        <v>23</v>
      </c>
      <c r="D1572" s="3" t="s">
        <v>71</v>
      </c>
      <c r="E1572" s="3" t="s">
        <v>8</v>
      </c>
      <c r="F1572" s="5">
        <v>12852.96</v>
      </c>
      <c r="G1572" s="5">
        <v>5098.32</v>
      </c>
      <c r="H1572" s="5">
        <f t="shared" si="48"/>
        <v>-7754.6399999999994</v>
      </c>
      <c r="I1572" s="9">
        <f t="shared" si="49"/>
        <v>-0.60333495163759943</v>
      </c>
      <c r="J1572" s="3" t="s">
        <v>4603</v>
      </c>
    </row>
    <row r="1573" spans="1:10" ht="25.5">
      <c r="A1573" s="3" t="s">
        <v>1811</v>
      </c>
      <c r="B1573" s="3" t="s">
        <v>2451</v>
      </c>
      <c r="C1573" s="4">
        <v>93</v>
      </c>
      <c r="D1573" s="3" t="s">
        <v>42</v>
      </c>
      <c r="E1573" s="3" t="s">
        <v>8</v>
      </c>
      <c r="F1573" s="5">
        <v>0</v>
      </c>
      <c r="G1573" s="5">
        <v>4281.84</v>
      </c>
      <c r="H1573" s="5">
        <f t="shared" si="48"/>
        <v>4281.84</v>
      </c>
      <c r="I1573" s="9">
        <f t="shared" si="49"/>
        <v>0</v>
      </c>
      <c r="J1573" s="3" t="s">
        <v>4603</v>
      </c>
    </row>
    <row r="1574" spans="1:10" ht="25.5">
      <c r="A1574" s="3" t="s">
        <v>1811</v>
      </c>
      <c r="B1574" s="3" t="s">
        <v>2452</v>
      </c>
      <c r="C1574" s="4">
        <v>297</v>
      </c>
      <c r="D1574" s="3" t="s">
        <v>209</v>
      </c>
      <c r="E1574" s="3" t="s">
        <v>22</v>
      </c>
      <c r="F1574" s="5">
        <v>13348.13</v>
      </c>
      <c r="G1574" s="5">
        <v>0</v>
      </c>
      <c r="H1574" s="5">
        <f t="shared" si="48"/>
        <v>-13348.13</v>
      </c>
      <c r="I1574" s="9">
        <f t="shared" si="49"/>
        <v>-1</v>
      </c>
      <c r="J1574" s="3" t="s">
        <v>4603</v>
      </c>
    </row>
    <row r="1575" spans="1:10" ht="25.5">
      <c r="A1575" s="3" t="s">
        <v>1811</v>
      </c>
      <c r="B1575" s="3" t="s">
        <v>2453</v>
      </c>
      <c r="C1575" s="4">
        <v>231</v>
      </c>
      <c r="D1575" s="3" t="s">
        <v>89</v>
      </c>
      <c r="E1575" s="3" t="s">
        <v>8</v>
      </c>
      <c r="F1575" s="5">
        <v>35181.449999999997</v>
      </c>
      <c r="G1575" s="5">
        <v>0</v>
      </c>
      <c r="H1575" s="5">
        <f t="shared" si="48"/>
        <v>-35181.449999999997</v>
      </c>
      <c r="I1575" s="9">
        <f t="shared" si="49"/>
        <v>-1</v>
      </c>
      <c r="J1575" s="3" t="s">
        <v>4603</v>
      </c>
    </row>
    <row r="1576" spans="1:10" ht="25.5">
      <c r="A1576" s="3" t="s">
        <v>1811</v>
      </c>
      <c r="B1576" s="3" t="s">
        <v>2454</v>
      </c>
      <c r="C1576" s="4">
        <v>23</v>
      </c>
      <c r="D1576" s="3" t="s">
        <v>71</v>
      </c>
      <c r="E1576" s="3" t="s">
        <v>8</v>
      </c>
      <c r="F1576" s="5">
        <v>0</v>
      </c>
      <c r="G1576" s="5">
        <v>1597.92</v>
      </c>
      <c r="H1576" s="5">
        <f t="shared" si="48"/>
        <v>1597.92</v>
      </c>
      <c r="I1576" s="9">
        <f t="shared" si="49"/>
        <v>0</v>
      </c>
      <c r="J1576" s="3" t="s">
        <v>4603</v>
      </c>
    </row>
    <row r="1577" spans="1:10" ht="25.5">
      <c r="A1577" s="3" t="s">
        <v>1811</v>
      </c>
      <c r="B1577" s="3" t="s">
        <v>2455</v>
      </c>
      <c r="C1577" s="4">
        <v>74</v>
      </c>
      <c r="D1577" s="3" t="s">
        <v>86</v>
      </c>
      <c r="E1577" s="3" t="s">
        <v>8</v>
      </c>
      <c r="F1577" s="5">
        <v>68813.490000000005</v>
      </c>
      <c r="G1577" s="5">
        <v>81797.37</v>
      </c>
      <c r="H1577" s="5">
        <f t="shared" si="48"/>
        <v>12983.87999999999</v>
      </c>
      <c r="I1577" s="9">
        <f t="shared" si="49"/>
        <v>0.18868219007639331</v>
      </c>
      <c r="J1577" s="3" t="s">
        <v>4603</v>
      </c>
    </row>
    <row r="1578" spans="1:10" ht="38.25">
      <c r="A1578" s="3" t="s">
        <v>1811</v>
      </c>
      <c r="B1578" s="3" t="s">
        <v>2456</v>
      </c>
      <c r="C1578" s="4">
        <v>371</v>
      </c>
      <c r="D1578" s="3" t="s">
        <v>29</v>
      </c>
      <c r="E1578" s="3" t="s">
        <v>30</v>
      </c>
      <c r="F1578" s="5">
        <v>2111.52</v>
      </c>
      <c r="G1578" s="5">
        <v>0</v>
      </c>
      <c r="H1578" s="5">
        <f t="shared" si="48"/>
        <v>-2111.52</v>
      </c>
      <c r="I1578" s="9">
        <f t="shared" si="49"/>
        <v>-1</v>
      </c>
      <c r="J1578" s="3" t="s">
        <v>4603</v>
      </c>
    </row>
    <row r="1579" spans="1:10" ht="25.5">
      <c r="A1579" s="3" t="s">
        <v>1811</v>
      </c>
      <c r="B1579" s="3" t="s">
        <v>2457</v>
      </c>
      <c r="C1579" s="4">
        <v>93</v>
      </c>
      <c r="D1579" s="3" t="s">
        <v>42</v>
      </c>
      <c r="E1579" s="3" t="s">
        <v>8</v>
      </c>
      <c r="F1579" s="5">
        <v>6934.92</v>
      </c>
      <c r="G1579" s="5">
        <v>0</v>
      </c>
      <c r="H1579" s="5">
        <f t="shared" si="48"/>
        <v>-6934.92</v>
      </c>
      <c r="I1579" s="9">
        <f t="shared" si="49"/>
        <v>-1</v>
      </c>
      <c r="J1579" s="3" t="s">
        <v>4603</v>
      </c>
    </row>
    <row r="1580" spans="1:10" ht="38.25">
      <c r="A1580" s="3" t="s">
        <v>1811</v>
      </c>
      <c r="B1580" s="3" t="s">
        <v>2458</v>
      </c>
      <c r="C1580" s="4">
        <v>218</v>
      </c>
      <c r="D1580" s="3" t="s">
        <v>155</v>
      </c>
      <c r="E1580" s="3" t="s">
        <v>13</v>
      </c>
      <c r="F1580" s="5">
        <v>3974.13</v>
      </c>
      <c r="G1580" s="5">
        <v>11398.32</v>
      </c>
      <c r="H1580" s="5">
        <f t="shared" si="48"/>
        <v>7424.19</v>
      </c>
      <c r="I1580" s="9">
        <f t="shared" si="49"/>
        <v>1.8681296283714923</v>
      </c>
      <c r="J1580" s="3" t="s">
        <v>4603</v>
      </c>
    </row>
    <row r="1581" spans="1:10" ht="38.25">
      <c r="A1581" s="3" t="s">
        <v>1811</v>
      </c>
      <c r="B1581" s="3" t="s">
        <v>2459</v>
      </c>
      <c r="C1581" s="4">
        <v>11</v>
      </c>
      <c r="D1581" s="3" t="s">
        <v>55</v>
      </c>
      <c r="E1581" s="3" t="s">
        <v>18</v>
      </c>
      <c r="F1581" s="5">
        <v>0</v>
      </c>
      <c r="G1581" s="5">
        <v>12762.6</v>
      </c>
      <c r="H1581" s="5">
        <f t="shared" si="48"/>
        <v>12762.6</v>
      </c>
      <c r="I1581" s="9">
        <f t="shared" si="49"/>
        <v>0</v>
      </c>
      <c r="J1581" s="3" t="s">
        <v>4603</v>
      </c>
    </row>
    <row r="1582" spans="1:10" ht="38.25">
      <c r="A1582" s="3" t="s">
        <v>1811</v>
      </c>
      <c r="B1582" s="3" t="s">
        <v>2460</v>
      </c>
      <c r="C1582" s="4">
        <v>45</v>
      </c>
      <c r="D1582" s="3" t="s">
        <v>16</v>
      </c>
      <c r="E1582" s="3" t="s">
        <v>8</v>
      </c>
      <c r="F1582" s="5">
        <v>4511.28</v>
      </c>
      <c r="G1582" s="5">
        <v>9465.27</v>
      </c>
      <c r="H1582" s="5">
        <f t="shared" si="48"/>
        <v>4953.9900000000007</v>
      </c>
      <c r="I1582" s="9">
        <f t="shared" si="49"/>
        <v>1.0981340107463957</v>
      </c>
      <c r="J1582" s="3" t="s">
        <v>4603</v>
      </c>
    </row>
    <row r="1583" spans="1:10">
      <c r="A1583" s="3" t="s">
        <v>1811</v>
      </c>
      <c r="B1583" s="3" t="s">
        <v>2461</v>
      </c>
      <c r="C1583" s="4">
        <v>231</v>
      </c>
      <c r="D1583" s="3" t="s">
        <v>89</v>
      </c>
      <c r="E1583" s="3" t="s">
        <v>8</v>
      </c>
      <c r="F1583" s="5">
        <v>6010.98</v>
      </c>
      <c r="G1583" s="5">
        <v>0</v>
      </c>
      <c r="H1583" s="5">
        <f t="shared" si="48"/>
        <v>-6010.98</v>
      </c>
      <c r="I1583" s="9">
        <f t="shared" si="49"/>
        <v>-1</v>
      </c>
      <c r="J1583" s="3" t="s">
        <v>4603</v>
      </c>
    </row>
    <row r="1584" spans="1:10" ht="25.5">
      <c r="A1584" s="3" t="s">
        <v>1811</v>
      </c>
      <c r="B1584" s="3" t="s">
        <v>2462</v>
      </c>
      <c r="C1584" s="4">
        <v>23</v>
      </c>
      <c r="D1584" s="3" t="s">
        <v>71</v>
      </c>
      <c r="E1584" s="3" t="s">
        <v>8</v>
      </c>
      <c r="F1584" s="5">
        <v>10486.26</v>
      </c>
      <c r="G1584" s="5">
        <v>13905.93</v>
      </c>
      <c r="H1584" s="5">
        <f t="shared" si="48"/>
        <v>3419.67</v>
      </c>
      <c r="I1584" s="9">
        <f t="shared" si="49"/>
        <v>0.32610959484124935</v>
      </c>
      <c r="J1584" s="3" t="s">
        <v>4603</v>
      </c>
    </row>
    <row r="1585" spans="1:10" ht="38.25">
      <c r="A1585" s="3" t="s">
        <v>1811</v>
      </c>
      <c r="B1585" s="3" t="s">
        <v>2463</v>
      </c>
      <c r="C1585" s="4">
        <v>331</v>
      </c>
      <c r="D1585" s="3" t="s">
        <v>1728</v>
      </c>
      <c r="E1585" s="3" t="s">
        <v>9</v>
      </c>
      <c r="F1585" s="5">
        <v>0</v>
      </c>
      <c r="G1585" s="5">
        <v>3534.4079999999999</v>
      </c>
      <c r="H1585" s="5">
        <f t="shared" si="48"/>
        <v>3534.4079999999999</v>
      </c>
      <c r="I1585" s="9">
        <f t="shared" si="49"/>
        <v>0</v>
      </c>
      <c r="J1585" s="3" t="s">
        <v>4604</v>
      </c>
    </row>
    <row r="1586" spans="1:10" ht="25.5">
      <c r="A1586" s="3" t="s">
        <v>1811</v>
      </c>
      <c r="B1586" s="3" t="s">
        <v>2464</v>
      </c>
      <c r="C1586" s="4">
        <v>23</v>
      </c>
      <c r="D1586" s="3" t="s">
        <v>71</v>
      </c>
      <c r="E1586" s="3" t="s">
        <v>8</v>
      </c>
      <c r="F1586" s="5">
        <v>0</v>
      </c>
      <c r="G1586" s="5">
        <v>11346.12</v>
      </c>
      <c r="H1586" s="5">
        <f t="shared" si="48"/>
        <v>11346.12</v>
      </c>
      <c r="I1586" s="9">
        <f t="shared" si="49"/>
        <v>0</v>
      </c>
      <c r="J1586" s="3" t="s">
        <v>4603</v>
      </c>
    </row>
    <row r="1587" spans="1:10" ht="38.25">
      <c r="A1587" s="3" t="s">
        <v>1811</v>
      </c>
      <c r="B1587" s="3" t="s">
        <v>2465</v>
      </c>
      <c r="C1587" s="4">
        <v>34</v>
      </c>
      <c r="D1587" s="3" t="s">
        <v>136</v>
      </c>
      <c r="E1587" s="3" t="s">
        <v>30</v>
      </c>
      <c r="F1587" s="5">
        <v>9358.44</v>
      </c>
      <c r="G1587" s="5">
        <v>11069.13</v>
      </c>
      <c r="H1587" s="5">
        <f t="shared" si="48"/>
        <v>1710.6899999999987</v>
      </c>
      <c r="I1587" s="9">
        <f t="shared" si="49"/>
        <v>0.1827964917229794</v>
      </c>
      <c r="J1587" s="3" t="s">
        <v>4603</v>
      </c>
    </row>
    <row r="1588" spans="1:10" ht="25.5">
      <c r="A1588" s="3" t="s">
        <v>1811</v>
      </c>
      <c r="B1588" s="3" t="s">
        <v>2466</v>
      </c>
      <c r="C1588" s="4">
        <v>208</v>
      </c>
      <c r="D1588" s="3" t="s">
        <v>58</v>
      </c>
      <c r="E1588" s="3" t="s">
        <v>13</v>
      </c>
      <c r="F1588" s="5">
        <v>56003.16</v>
      </c>
      <c r="G1588" s="5">
        <v>60285.48</v>
      </c>
      <c r="H1588" s="5">
        <f t="shared" si="48"/>
        <v>4282.32</v>
      </c>
      <c r="I1588" s="9">
        <f t="shared" si="49"/>
        <v>7.6465685150623575E-2</v>
      </c>
      <c r="J1588" s="3" t="s">
        <v>4603</v>
      </c>
    </row>
    <row r="1589" spans="1:10" ht="25.5">
      <c r="A1589" s="3" t="s">
        <v>1811</v>
      </c>
      <c r="B1589" s="3" t="s">
        <v>2467</v>
      </c>
      <c r="C1589" s="4">
        <v>194</v>
      </c>
      <c r="D1589" s="3" t="s">
        <v>179</v>
      </c>
      <c r="E1589" s="3" t="s">
        <v>13</v>
      </c>
      <c r="F1589" s="5">
        <v>14391.72</v>
      </c>
      <c r="G1589" s="5">
        <v>13983.6</v>
      </c>
      <c r="H1589" s="5">
        <f t="shared" si="48"/>
        <v>-408.11999999999898</v>
      </c>
      <c r="I1589" s="9">
        <f t="shared" si="49"/>
        <v>-2.8357972500854589E-2</v>
      </c>
      <c r="J1589" s="3" t="s">
        <v>4603</v>
      </c>
    </row>
    <row r="1590" spans="1:10" ht="25.5">
      <c r="A1590" s="3" t="s">
        <v>1811</v>
      </c>
      <c r="B1590" s="3" t="s">
        <v>2468</v>
      </c>
      <c r="C1590" s="4">
        <v>19</v>
      </c>
      <c r="D1590" s="3" t="s">
        <v>53</v>
      </c>
      <c r="E1590" s="3" t="s">
        <v>22</v>
      </c>
      <c r="F1590" s="5">
        <v>22017.64</v>
      </c>
      <c r="G1590" s="5">
        <v>18158.009999999998</v>
      </c>
      <c r="H1590" s="5">
        <f t="shared" si="48"/>
        <v>-3859.630000000001</v>
      </c>
      <c r="I1590" s="9">
        <f t="shared" si="49"/>
        <v>-0.17529717081394747</v>
      </c>
      <c r="J1590" s="3" t="s">
        <v>4603</v>
      </c>
    </row>
    <row r="1591" spans="1:10" ht="25.5">
      <c r="A1591" s="3" t="s">
        <v>1811</v>
      </c>
      <c r="B1591" s="3" t="s">
        <v>2469</v>
      </c>
      <c r="C1591" s="4">
        <v>167</v>
      </c>
      <c r="D1591" s="3" t="s">
        <v>335</v>
      </c>
      <c r="E1591" s="3" t="s">
        <v>30</v>
      </c>
      <c r="F1591" s="5">
        <v>0</v>
      </c>
      <c r="G1591" s="5">
        <v>10935.66</v>
      </c>
      <c r="H1591" s="5">
        <f t="shared" si="48"/>
        <v>10935.66</v>
      </c>
      <c r="I1591" s="9">
        <f t="shared" si="49"/>
        <v>0</v>
      </c>
      <c r="J1591" s="3" t="s">
        <v>4603</v>
      </c>
    </row>
    <row r="1592" spans="1:10">
      <c r="A1592" s="3" t="s">
        <v>1811</v>
      </c>
      <c r="B1592" s="3" t="s">
        <v>2470</v>
      </c>
      <c r="C1592" s="4">
        <v>240</v>
      </c>
      <c r="D1592" s="3" t="s">
        <v>152</v>
      </c>
      <c r="E1592" s="3" t="s">
        <v>13</v>
      </c>
      <c r="F1592" s="5">
        <v>27775.8</v>
      </c>
      <c r="G1592" s="5">
        <v>27475.200000000001</v>
      </c>
      <c r="H1592" s="5">
        <f t="shared" si="48"/>
        <v>-300.59999999999854</v>
      </c>
      <c r="I1592" s="9">
        <f t="shared" si="49"/>
        <v>-1.0822370552783345E-2</v>
      </c>
      <c r="J1592" s="3" t="s">
        <v>4603</v>
      </c>
    </row>
    <row r="1593" spans="1:10" ht="25.5">
      <c r="A1593" s="3" t="s">
        <v>1811</v>
      </c>
      <c r="B1593" s="3" t="s">
        <v>2471</v>
      </c>
      <c r="C1593" s="4">
        <v>299</v>
      </c>
      <c r="D1593" s="3" t="s">
        <v>246</v>
      </c>
      <c r="E1593" s="3" t="s">
        <v>30</v>
      </c>
      <c r="F1593" s="5">
        <v>15477.3</v>
      </c>
      <c r="G1593" s="5">
        <v>15864.33</v>
      </c>
      <c r="H1593" s="5">
        <f t="shared" si="48"/>
        <v>387.03000000000065</v>
      </c>
      <c r="I1593" s="9">
        <f t="shared" si="49"/>
        <v>2.5006299548370858E-2</v>
      </c>
      <c r="J1593" s="3" t="s">
        <v>4603</v>
      </c>
    </row>
    <row r="1594" spans="1:10" ht="38.25">
      <c r="A1594" s="3" t="s">
        <v>1811</v>
      </c>
      <c r="B1594" s="3" t="s">
        <v>2472</v>
      </c>
      <c r="C1594" s="4">
        <v>143</v>
      </c>
      <c r="D1594" s="3" t="s">
        <v>21</v>
      </c>
      <c r="E1594" s="3" t="s">
        <v>22</v>
      </c>
      <c r="F1594" s="5">
        <v>17795.66</v>
      </c>
      <c r="G1594" s="5">
        <v>27720.81</v>
      </c>
      <c r="H1594" s="5">
        <f t="shared" si="48"/>
        <v>9925.1500000000015</v>
      </c>
      <c r="I1594" s="9">
        <f t="shared" si="49"/>
        <v>0.55772868216183058</v>
      </c>
      <c r="J1594" s="3" t="s">
        <v>4603</v>
      </c>
    </row>
    <row r="1595" spans="1:10" ht="25.5">
      <c r="A1595" s="3" t="s">
        <v>1811</v>
      </c>
      <c r="B1595" s="3" t="s">
        <v>2473</v>
      </c>
      <c r="C1595" s="4">
        <v>270</v>
      </c>
      <c r="D1595" s="3" t="s">
        <v>312</v>
      </c>
      <c r="E1595" s="3" t="s">
        <v>30</v>
      </c>
      <c r="F1595" s="5">
        <v>0</v>
      </c>
      <c r="G1595" s="5">
        <v>23137.439999999999</v>
      </c>
      <c r="H1595" s="5">
        <f t="shared" si="48"/>
        <v>23137.439999999999</v>
      </c>
      <c r="I1595" s="9">
        <f t="shared" si="49"/>
        <v>0</v>
      </c>
      <c r="J1595" s="3" t="s">
        <v>4603</v>
      </c>
    </row>
    <row r="1596" spans="1:10" ht="25.5">
      <c r="A1596" s="3" t="s">
        <v>1811</v>
      </c>
      <c r="B1596" s="3" t="s">
        <v>2474</v>
      </c>
      <c r="C1596" s="4">
        <v>337</v>
      </c>
      <c r="D1596" s="3" t="s">
        <v>218</v>
      </c>
      <c r="E1596" s="3" t="s">
        <v>13</v>
      </c>
      <c r="F1596" s="5">
        <v>22194.48</v>
      </c>
      <c r="G1596" s="5">
        <v>21131.759999999998</v>
      </c>
      <c r="H1596" s="5">
        <f t="shared" si="48"/>
        <v>-1062.7200000000012</v>
      </c>
      <c r="I1596" s="9">
        <f t="shared" si="49"/>
        <v>-4.7882176108654084E-2</v>
      </c>
      <c r="J1596" s="3" t="s">
        <v>4603</v>
      </c>
    </row>
    <row r="1597" spans="1:10" ht="25.5">
      <c r="A1597" s="3" t="s">
        <v>1811</v>
      </c>
      <c r="B1597" s="3" t="s">
        <v>2475</v>
      </c>
      <c r="C1597" s="4">
        <v>315</v>
      </c>
      <c r="D1597" s="3" t="s">
        <v>79</v>
      </c>
      <c r="E1597" s="3" t="s">
        <v>8</v>
      </c>
      <c r="F1597" s="5">
        <v>0</v>
      </c>
      <c r="G1597" s="5">
        <v>12832.858</v>
      </c>
      <c r="H1597" s="5">
        <f t="shared" si="48"/>
        <v>12832.858</v>
      </c>
      <c r="I1597" s="9">
        <f t="shared" si="49"/>
        <v>0</v>
      </c>
      <c r="J1597" s="3" t="s">
        <v>4603</v>
      </c>
    </row>
    <row r="1598" spans="1:10" ht="38.25">
      <c r="A1598" s="3" t="s">
        <v>1811</v>
      </c>
      <c r="B1598" s="3" t="s">
        <v>2476</v>
      </c>
      <c r="C1598" s="4">
        <v>38</v>
      </c>
      <c r="D1598" s="3" t="s">
        <v>229</v>
      </c>
      <c r="E1598" s="3" t="s">
        <v>30</v>
      </c>
      <c r="F1598" s="5">
        <v>5723.07</v>
      </c>
      <c r="G1598" s="5">
        <v>0</v>
      </c>
      <c r="H1598" s="5">
        <f t="shared" si="48"/>
        <v>-5723.07</v>
      </c>
      <c r="I1598" s="9">
        <f t="shared" si="49"/>
        <v>-1</v>
      </c>
      <c r="J1598" s="3" t="s">
        <v>4603</v>
      </c>
    </row>
    <row r="1599" spans="1:10" ht="25.5">
      <c r="A1599" s="3" t="s">
        <v>1811</v>
      </c>
      <c r="B1599" s="3" t="s">
        <v>2477</v>
      </c>
      <c r="C1599" s="4">
        <v>231</v>
      </c>
      <c r="D1599" s="3" t="s">
        <v>89</v>
      </c>
      <c r="E1599" s="3" t="s">
        <v>8</v>
      </c>
      <c r="F1599" s="5">
        <v>5237.1000000000004</v>
      </c>
      <c r="G1599" s="5">
        <v>0</v>
      </c>
      <c r="H1599" s="5">
        <f t="shared" si="48"/>
        <v>-5237.1000000000004</v>
      </c>
      <c r="I1599" s="9">
        <f t="shared" si="49"/>
        <v>-1</v>
      </c>
      <c r="J1599" s="3" t="s">
        <v>4603</v>
      </c>
    </row>
    <row r="1600" spans="1:10" ht="25.5">
      <c r="A1600" s="3" t="s">
        <v>1811</v>
      </c>
      <c r="B1600" s="3" t="s">
        <v>2478</v>
      </c>
      <c r="C1600" s="4">
        <v>231</v>
      </c>
      <c r="D1600" s="3" t="s">
        <v>89</v>
      </c>
      <c r="E1600" s="3" t="s">
        <v>8</v>
      </c>
      <c r="F1600" s="5">
        <v>1955.64</v>
      </c>
      <c r="G1600" s="5">
        <v>4687.92</v>
      </c>
      <c r="H1600" s="5">
        <f t="shared" si="48"/>
        <v>2732.2799999999997</v>
      </c>
      <c r="I1600" s="9">
        <f t="shared" si="49"/>
        <v>1.3971283058231574</v>
      </c>
      <c r="J1600" s="3" t="s">
        <v>4603</v>
      </c>
    </row>
    <row r="1601" spans="1:10" ht="25.5">
      <c r="A1601" s="3" t="s">
        <v>1811</v>
      </c>
      <c r="B1601" s="3" t="s">
        <v>2479</v>
      </c>
      <c r="C1601" s="4">
        <v>315</v>
      </c>
      <c r="D1601" s="3" t="s">
        <v>79</v>
      </c>
      <c r="E1601" s="3" t="s">
        <v>8</v>
      </c>
      <c r="F1601" s="5">
        <v>0</v>
      </c>
      <c r="G1601" s="5">
        <v>3255</v>
      </c>
      <c r="H1601" s="5">
        <f t="shared" si="48"/>
        <v>3255</v>
      </c>
      <c r="I1601" s="9">
        <f t="shared" si="49"/>
        <v>0</v>
      </c>
      <c r="J1601" s="3" t="s">
        <v>4603</v>
      </c>
    </row>
    <row r="1602" spans="1:10" ht="38.25">
      <c r="A1602" s="3" t="s">
        <v>1811</v>
      </c>
      <c r="B1602" s="3" t="s">
        <v>2480</v>
      </c>
      <c r="C1602" s="4">
        <v>39</v>
      </c>
      <c r="D1602" s="3" t="s">
        <v>26</v>
      </c>
      <c r="E1602" s="3" t="s">
        <v>9</v>
      </c>
      <c r="F1602" s="5">
        <v>8578.56</v>
      </c>
      <c r="G1602" s="5">
        <v>0</v>
      </c>
      <c r="H1602" s="5">
        <f t="shared" si="48"/>
        <v>-8578.56</v>
      </c>
      <c r="I1602" s="9">
        <f t="shared" si="49"/>
        <v>-1</v>
      </c>
      <c r="J1602" s="3" t="s">
        <v>4603</v>
      </c>
    </row>
    <row r="1603" spans="1:10" ht="25.5">
      <c r="A1603" s="3" t="s">
        <v>1811</v>
      </c>
      <c r="B1603" s="3" t="s">
        <v>2481</v>
      </c>
      <c r="C1603" s="4">
        <v>187</v>
      </c>
      <c r="D1603" s="3" t="s">
        <v>460</v>
      </c>
      <c r="E1603" s="3" t="s">
        <v>8</v>
      </c>
      <c r="F1603" s="5">
        <v>0</v>
      </c>
      <c r="G1603" s="5">
        <v>2290.3200000000002</v>
      </c>
      <c r="H1603" s="5">
        <f t="shared" ref="H1603:H1666" si="50">G1603-F1603</f>
        <v>2290.3200000000002</v>
      </c>
      <c r="I1603" s="9">
        <f t="shared" ref="I1603:I1666" si="51">IFERROR(G1603/F1603-1,0)</f>
        <v>0</v>
      </c>
      <c r="J1603" s="3" t="s">
        <v>4603</v>
      </c>
    </row>
    <row r="1604" spans="1:10" ht="38.25">
      <c r="A1604" s="3" t="s">
        <v>1811</v>
      </c>
      <c r="B1604" s="3" t="s">
        <v>2482</v>
      </c>
      <c r="C1604" s="4">
        <v>34</v>
      </c>
      <c r="D1604" s="3" t="s">
        <v>136</v>
      </c>
      <c r="E1604" s="3" t="s">
        <v>30</v>
      </c>
      <c r="F1604" s="5">
        <v>6718.32</v>
      </c>
      <c r="G1604" s="5">
        <v>0</v>
      </c>
      <c r="H1604" s="5">
        <f t="shared" si="50"/>
        <v>-6718.32</v>
      </c>
      <c r="I1604" s="9">
        <f t="shared" si="51"/>
        <v>-1</v>
      </c>
      <c r="J1604" s="3" t="s">
        <v>4603</v>
      </c>
    </row>
    <row r="1605" spans="1:10" ht="25.5">
      <c r="A1605" s="3" t="s">
        <v>1811</v>
      </c>
      <c r="B1605" s="3" t="s">
        <v>2483</v>
      </c>
      <c r="C1605" s="4">
        <v>74</v>
      </c>
      <c r="D1605" s="3" t="s">
        <v>86</v>
      </c>
      <c r="E1605" s="3" t="s">
        <v>8</v>
      </c>
      <c r="F1605" s="5">
        <v>25079.279999999999</v>
      </c>
      <c r="G1605" s="5">
        <v>0</v>
      </c>
      <c r="H1605" s="5">
        <f t="shared" si="50"/>
        <v>-25079.279999999999</v>
      </c>
      <c r="I1605" s="9">
        <f t="shared" si="51"/>
        <v>-1</v>
      </c>
      <c r="J1605" s="3" t="s">
        <v>4603</v>
      </c>
    </row>
    <row r="1606" spans="1:10" ht="25.5">
      <c r="A1606" s="3" t="s">
        <v>1811</v>
      </c>
      <c r="B1606" s="3" t="s">
        <v>2484</v>
      </c>
      <c r="C1606" s="4">
        <v>23</v>
      </c>
      <c r="D1606" s="3" t="s">
        <v>71</v>
      </c>
      <c r="E1606" s="3" t="s">
        <v>8</v>
      </c>
      <c r="F1606" s="5">
        <v>0</v>
      </c>
      <c r="G1606" s="5">
        <v>1597.92</v>
      </c>
      <c r="H1606" s="5">
        <f t="shared" si="50"/>
        <v>1597.92</v>
      </c>
      <c r="I1606" s="9">
        <f t="shared" si="51"/>
        <v>0</v>
      </c>
      <c r="J1606" s="3" t="s">
        <v>4603</v>
      </c>
    </row>
    <row r="1607" spans="1:10" ht="25.5">
      <c r="A1607" s="3" t="s">
        <v>1811</v>
      </c>
      <c r="B1607" s="3" t="s">
        <v>2485</v>
      </c>
      <c r="C1607" s="4">
        <v>194</v>
      </c>
      <c r="D1607" s="3" t="s">
        <v>179</v>
      </c>
      <c r="E1607" s="3" t="s">
        <v>13</v>
      </c>
      <c r="F1607" s="5">
        <v>11457.96</v>
      </c>
      <c r="G1607" s="5">
        <v>0</v>
      </c>
      <c r="H1607" s="5">
        <f t="shared" si="50"/>
        <v>-11457.96</v>
      </c>
      <c r="I1607" s="9">
        <f t="shared" si="51"/>
        <v>-1</v>
      </c>
      <c r="J1607" s="3" t="s">
        <v>4603</v>
      </c>
    </row>
    <row r="1608" spans="1:10" ht="25.5">
      <c r="A1608" s="3" t="s">
        <v>1811</v>
      </c>
      <c r="B1608" s="3" t="s">
        <v>2486</v>
      </c>
      <c r="C1608" s="4">
        <v>261</v>
      </c>
      <c r="D1608" s="3" t="s">
        <v>17</v>
      </c>
      <c r="E1608" s="3" t="s">
        <v>18</v>
      </c>
      <c r="F1608" s="5">
        <v>8968.5300000000007</v>
      </c>
      <c r="G1608" s="5">
        <v>10743.66</v>
      </c>
      <c r="H1608" s="5">
        <f t="shared" si="50"/>
        <v>1775.1299999999992</v>
      </c>
      <c r="I1608" s="9">
        <f t="shared" si="51"/>
        <v>0.19792875755558592</v>
      </c>
      <c r="J1608" s="3" t="s">
        <v>4603</v>
      </c>
    </row>
    <row r="1609" spans="1:10" ht="25.5">
      <c r="A1609" s="3" t="s">
        <v>1811</v>
      </c>
      <c r="B1609" s="3" t="s">
        <v>2487</v>
      </c>
      <c r="C1609" s="4">
        <v>231</v>
      </c>
      <c r="D1609" s="3" t="s">
        <v>89</v>
      </c>
      <c r="E1609" s="3" t="s">
        <v>8</v>
      </c>
      <c r="F1609" s="5">
        <v>13494.39</v>
      </c>
      <c r="G1609" s="5">
        <v>12953.16</v>
      </c>
      <c r="H1609" s="5">
        <f t="shared" si="50"/>
        <v>-541.22999999999956</v>
      </c>
      <c r="I1609" s="9">
        <f t="shared" si="51"/>
        <v>-4.0107778121130311E-2</v>
      </c>
      <c r="J1609" s="3" t="s">
        <v>4603</v>
      </c>
    </row>
    <row r="1610" spans="1:10" ht="38.25">
      <c r="A1610" s="3" t="s">
        <v>1811</v>
      </c>
      <c r="B1610" s="3" t="s">
        <v>2488</v>
      </c>
      <c r="C1610" s="4">
        <v>45</v>
      </c>
      <c r="D1610" s="3" t="s">
        <v>16</v>
      </c>
      <c r="E1610" s="3" t="s">
        <v>8</v>
      </c>
      <c r="F1610" s="5">
        <v>7696.38</v>
      </c>
      <c r="G1610" s="5">
        <v>3527.76</v>
      </c>
      <c r="H1610" s="5">
        <f t="shared" si="50"/>
        <v>-4168.62</v>
      </c>
      <c r="I1610" s="9">
        <f t="shared" si="51"/>
        <v>-0.54163385903502681</v>
      </c>
      <c r="J1610" s="3" t="s">
        <v>4603</v>
      </c>
    </row>
    <row r="1611" spans="1:10" ht="25.5">
      <c r="A1611" s="3" t="s">
        <v>1811</v>
      </c>
      <c r="B1611" s="3" t="s">
        <v>2489</v>
      </c>
      <c r="C1611" s="4">
        <v>53</v>
      </c>
      <c r="D1611" s="3" t="s">
        <v>340</v>
      </c>
      <c r="E1611" s="3" t="s">
        <v>13</v>
      </c>
      <c r="F1611" s="5">
        <v>15813.3</v>
      </c>
      <c r="G1611" s="5">
        <v>0</v>
      </c>
      <c r="H1611" s="5">
        <f t="shared" si="50"/>
        <v>-15813.3</v>
      </c>
      <c r="I1611" s="9">
        <f t="shared" si="51"/>
        <v>-1</v>
      </c>
      <c r="J1611" s="3" t="s">
        <v>4603</v>
      </c>
    </row>
    <row r="1612" spans="1:10" ht="25.5">
      <c r="A1612" s="3" t="s">
        <v>1811</v>
      </c>
      <c r="B1612" s="3" t="s">
        <v>2490</v>
      </c>
      <c r="C1612" s="4">
        <v>328</v>
      </c>
      <c r="D1612" s="3" t="s">
        <v>158</v>
      </c>
      <c r="E1612" s="3" t="s">
        <v>22</v>
      </c>
      <c r="F1612" s="5">
        <v>7538.99</v>
      </c>
      <c r="G1612" s="5">
        <v>0</v>
      </c>
      <c r="H1612" s="5">
        <f t="shared" si="50"/>
        <v>-7538.99</v>
      </c>
      <c r="I1612" s="9">
        <f t="shared" si="51"/>
        <v>-1</v>
      </c>
      <c r="J1612" s="3" t="s">
        <v>4603</v>
      </c>
    </row>
    <row r="1613" spans="1:10" ht="25.5">
      <c r="A1613" s="3" t="s">
        <v>1811</v>
      </c>
      <c r="B1613" s="3" t="s">
        <v>2491</v>
      </c>
      <c r="C1613" s="4">
        <v>317</v>
      </c>
      <c r="D1613" s="3" t="s">
        <v>54</v>
      </c>
      <c r="E1613" s="3" t="s">
        <v>18</v>
      </c>
      <c r="F1613" s="5">
        <v>0</v>
      </c>
      <c r="G1613" s="5">
        <v>4308.96</v>
      </c>
      <c r="H1613" s="5">
        <f t="shared" si="50"/>
        <v>4308.96</v>
      </c>
      <c r="I1613" s="9">
        <f t="shared" si="51"/>
        <v>0</v>
      </c>
      <c r="J1613" s="3" t="s">
        <v>4603</v>
      </c>
    </row>
    <row r="1614" spans="1:10" ht="25.5">
      <c r="A1614" s="3" t="s">
        <v>1811</v>
      </c>
      <c r="B1614" s="3" t="s">
        <v>2492</v>
      </c>
      <c r="C1614" s="4">
        <v>266</v>
      </c>
      <c r="D1614" s="3" t="s">
        <v>111</v>
      </c>
      <c r="E1614" s="3" t="s">
        <v>18</v>
      </c>
      <c r="F1614" s="5">
        <v>0</v>
      </c>
      <c r="G1614" s="5">
        <v>3422.76</v>
      </c>
      <c r="H1614" s="5">
        <f t="shared" si="50"/>
        <v>3422.76</v>
      </c>
      <c r="I1614" s="9">
        <f t="shared" si="51"/>
        <v>0</v>
      </c>
      <c r="J1614" s="3" t="s">
        <v>4603</v>
      </c>
    </row>
    <row r="1615" spans="1:10" ht="25.5">
      <c r="A1615" s="3" t="s">
        <v>1811</v>
      </c>
      <c r="B1615" s="3" t="s">
        <v>2493</v>
      </c>
      <c r="C1615" s="4">
        <v>194</v>
      </c>
      <c r="D1615" s="3" t="s">
        <v>179</v>
      </c>
      <c r="E1615" s="3" t="s">
        <v>13</v>
      </c>
      <c r="F1615" s="5">
        <v>5643.6</v>
      </c>
      <c r="G1615" s="5">
        <v>0</v>
      </c>
      <c r="H1615" s="5">
        <f t="shared" si="50"/>
        <v>-5643.6</v>
      </c>
      <c r="I1615" s="9">
        <f t="shared" si="51"/>
        <v>-1</v>
      </c>
      <c r="J1615" s="3" t="s">
        <v>4603</v>
      </c>
    </row>
    <row r="1616" spans="1:10" ht="38.25">
      <c r="A1616" s="3" t="s">
        <v>1811</v>
      </c>
      <c r="B1616" s="3" t="s">
        <v>2494</v>
      </c>
      <c r="C1616" s="4">
        <v>143</v>
      </c>
      <c r="D1616" s="3" t="s">
        <v>21</v>
      </c>
      <c r="E1616" s="3" t="s">
        <v>22</v>
      </c>
      <c r="F1616" s="5">
        <v>7414.8</v>
      </c>
      <c r="G1616" s="5">
        <v>4010.88</v>
      </c>
      <c r="H1616" s="5">
        <f t="shared" si="50"/>
        <v>-3403.92</v>
      </c>
      <c r="I1616" s="9">
        <f t="shared" si="51"/>
        <v>-0.45907104709499924</v>
      </c>
      <c r="J1616" s="3" t="s">
        <v>4603</v>
      </c>
    </row>
    <row r="1617" spans="1:10">
      <c r="A1617" s="3" t="s">
        <v>1811</v>
      </c>
      <c r="B1617" s="3" t="s">
        <v>2495</v>
      </c>
      <c r="C1617" s="4">
        <v>334</v>
      </c>
      <c r="D1617" s="3" t="s">
        <v>585</v>
      </c>
      <c r="E1617" s="3" t="s">
        <v>8</v>
      </c>
      <c r="F1617" s="5">
        <v>0</v>
      </c>
      <c r="G1617" s="5">
        <v>5800.2</v>
      </c>
      <c r="H1617" s="5">
        <f t="shared" si="50"/>
        <v>5800.2</v>
      </c>
      <c r="I1617" s="9">
        <f t="shared" si="51"/>
        <v>0</v>
      </c>
      <c r="J1617" s="3" t="s">
        <v>4603</v>
      </c>
    </row>
    <row r="1618" spans="1:10">
      <c r="A1618" s="3" t="s">
        <v>1811</v>
      </c>
      <c r="B1618" s="3" t="s">
        <v>2496</v>
      </c>
      <c r="C1618" s="4">
        <v>217</v>
      </c>
      <c r="D1618" s="3" t="s">
        <v>253</v>
      </c>
      <c r="E1618" s="3" t="s">
        <v>13</v>
      </c>
      <c r="F1618" s="5">
        <v>27315.119999999999</v>
      </c>
      <c r="G1618" s="5">
        <v>0</v>
      </c>
      <c r="H1618" s="5">
        <f t="shared" si="50"/>
        <v>-27315.119999999999</v>
      </c>
      <c r="I1618" s="9">
        <f t="shared" si="51"/>
        <v>-1</v>
      </c>
      <c r="J1618" s="3" t="s">
        <v>4603</v>
      </c>
    </row>
    <row r="1619" spans="1:10" ht="25.5">
      <c r="A1619" s="3" t="s">
        <v>1811</v>
      </c>
      <c r="B1619" s="3" t="s">
        <v>2497</v>
      </c>
      <c r="C1619" s="4">
        <v>317</v>
      </c>
      <c r="D1619" s="3" t="s">
        <v>54</v>
      </c>
      <c r="E1619" s="3" t="s">
        <v>18</v>
      </c>
      <c r="F1619" s="5">
        <v>13797.81</v>
      </c>
      <c r="G1619" s="5">
        <v>7321.4859999999999</v>
      </c>
      <c r="H1619" s="5">
        <f t="shared" si="50"/>
        <v>-6476.3239999999996</v>
      </c>
      <c r="I1619" s="9">
        <f t="shared" si="51"/>
        <v>-0.46937332808612375</v>
      </c>
      <c r="J1619" s="3" t="s">
        <v>4603</v>
      </c>
    </row>
    <row r="1620" spans="1:10">
      <c r="A1620" s="3" t="s">
        <v>1811</v>
      </c>
      <c r="B1620" s="3" t="s">
        <v>2498</v>
      </c>
      <c r="C1620" s="4">
        <v>315</v>
      </c>
      <c r="D1620" s="3" t="s">
        <v>79</v>
      </c>
      <c r="E1620" s="3" t="s">
        <v>8</v>
      </c>
      <c r="F1620" s="5">
        <v>3874.8</v>
      </c>
      <c r="G1620" s="5">
        <v>0</v>
      </c>
      <c r="H1620" s="5">
        <f t="shared" si="50"/>
        <v>-3874.8</v>
      </c>
      <c r="I1620" s="9">
        <f t="shared" si="51"/>
        <v>-1</v>
      </c>
      <c r="J1620" s="3" t="s">
        <v>4603</v>
      </c>
    </row>
    <row r="1621" spans="1:10" ht="25.5">
      <c r="A1621" s="3" t="s">
        <v>1811</v>
      </c>
      <c r="B1621" s="3" t="s">
        <v>2499</v>
      </c>
      <c r="C1621" s="4">
        <v>23</v>
      </c>
      <c r="D1621" s="3" t="s">
        <v>71</v>
      </c>
      <c r="E1621" s="3" t="s">
        <v>8</v>
      </c>
      <c r="F1621" s="5">
        <v>0</v>
      </c>
      <c r="G1621" s="5">
        <v>1597.92</v>
      </c>
      <c r="H1621" s="5">
        <f t="shared" si="50"/>
        <v>1597.92</v>
      </c>
      <c r="I1621" s="9">
        <f t="shared" si="51"/>
        <v>0</v>
      </c>
      <c r="J1621" s="3" t="s">
        <v>4603</v>
      </c>
    </row>
    <row r="1622" spans="1:10" ht="25.5">
      <c r="A1622" s="3" t="s">
        <v>1811</v>
      </c>
      <c r="B1622" s="3" t="s">
        <v>2500</v>
      </c>
      <c r="C1622" s="4">
        <v>23</v>
      </c>
      <c r="D1622" s="3" t="s">
        <v>71</v>
      </c>
      <c r="E1622" s="3" t="s">
        <v>8</v>
      </c>
      <c r="F1622" s="5">
        <v>0</v>
      </c>
      <c r="G1622" s="5">
        <v>3725.82</v>
      </c>
      <c r="H1622" s="5">
        <f t="shared" si="50"/>
        <v>3725.82</v>
      </c>
      <c r="I1622" s="9">
        <f t="shared" si="51"/>
        <v>0</v>
      </c>
      <c r="J1622" s="3" t="s">
        <v>4603</v>
      </c>
    </row>
    <row r="1623" spans="1:10" ht="25.5">
      <c r="A1623" s="3" t="s">
        <v>1811</v>
      </c>
      <c r="B1623" s="3" t="s">
        <v>2501</v>
      </c>
      <c r="C1623" s="4">
        <v>327</v>
      </c>
      <c r="D1623" s="3" t="s">
        <v>76</v>
      </c>
      <c r="E1623" s="3" t="s">
        <v>8</v>
      </c>
      <c r="F1623" s="5">
        <v>0</v>
      </c>
      <c r="G1623" s="5">
        <v>3302.4</v>
      </c>
      <c r="H1623" s="5">
        <f t="shared" si="50"/>
        <v>3302.4</v>
      </c>
      <c r="I1623" s="9">
        <f t="shared" si="51"/>
        <v>0</v>
      </c>
      <c r="J1623" s="3" t="s">
        <v>4603</v>
      </c>
    </row>
    <row r="1624" spans="1:10" ht="25.5">
      <c r="A1624" s="3" t="s">
        <v>1811</v>
      </c>
      <c r="B1624" s="3" t="s">
        <v>2502</v>
      </c>
      <c r="C1624" s="4">
        <v>23</v>
      </c>
      <c r="D1624" s="3" t="s">
        <v>71</v>
      </c>
      <c r="E1624" s="3" t="s">
        <v>8</v>
      </c>
      <c r="F1624" s="5">
        <v>25297.74</v>
      </c>
      <c r="G1624" s="5">
        <v>18804.84</v>
      </c>
      <c r="H1624" s="5">
        <f t="shared" si="50"/>
        <v>-6492.9000000000015</v>
      </c>
      <c r="I1624" s="9">
        <f t="shared" si="51"/>
        <v>-0.25665929051369807</v>
      </c>
      <c r="J1624" s="3" t="s">
        <v>4603</v>
      </c>
    </row>
    <row r="1625" spans="1:10" ht="25.5">
      <c r="A1625" s="3" t="s">
        <v>1811</v>
      </c>
      <c r="B1625" s="3" t="s">
        <v>2503</v>
      </c>
      <c r="C1625" s="4">
        <v>23</v>
      </c>
      <c r="D1625" s="3" t="s">
        <v>71</v>
      </c>
      <c r="E1625" s="3" t="s">
        <v>8</v>
      </c>
      <c r="F1625" s="5">
        <v>3461.52</v>
      </c>
      <c r="G1625" s="5">
        <v>5808.78</v>
      </c>
      <c r="H1625" s="5">
        <f t="shared" si="50"/>
        <v>2347.2599999999998</v>
      </c>
      <c r="I1625" s="9">
        <f t="shared" si="51"/>
        <v>0.67810094987173253</v>
      </c>
      <c r="J1625" s="3" t="s">
        <v>4603</v>
      </c>
    </row>
    <row r="1626" spans="1:10" ht="38.25">
      <c r="A1626" s="3" t="s">
        <v>1811</v>
      </c>
      <c r="B1626" s="3" t="s">
        <v>2504</v>
      </c>
      <c r="C1626" s="4">
        <v>45</v>
      </c>
      <c r="D1626" s="3" t="s">
        <v>16</v>
      </c>
      <c r="E1626" s="3" t="s">
        <v>8</v>
      </c>
      <c r="F1626" s="5">
        <v>28663.8</v>
      </c>
      <c r="G1626" s="5">
        <v>24074.22</v>
      </c>
      <c r="H1626" s="5">
        <f t="shared" si="50"/>
        <v>-4589.5799999999981</v>
      </c>
      <c r="I1626" s="9">
        <f t="shared" si="51"/>
        <v>-0.16011763967094372</v>
      </c>
      <c r="J1626" s="3" t="s">
        <v>4603</v>
      </c>
    </row>
    <row r="1627" spans="1:10" ht="25.5">
      <c r="A1627" s="3" t="s">
        <v>1811</v>
      </c>
      <c r="B1627" s="3" t="s">
        <v>2505</v>
      </c>
      <c r="C1627" s="4">
        <v>178</v>
      </c>
      <c r="D1627" s="3" t="s">
        <v>92</v>
      </c>
      <c r="E1627" s="3" t="s">
        <v>8</v>
      </c>
      <c r="F1627" s="5">
        <v>0</v>
      </c>
      <c r="G1627" s="5">
        <v>13295.16</v>
      </c>
      <c r="H1627" s="5">
        <f t="shared" si="50"/>
        <v>13295.16</v>
      </c>
      <c r="I1627" s="9">
        <f t="shared" si="51"/>
        <v>0</v>
      </c>
      <c r="J1627" s="3" t="s">
        <v>4603</v>
      </c>
    </row>
    <row r="1628" spans="1:10" ht="25.5">
      <c r="A1628" s="3" t="s">
        <v>1811</v>
      </c>
      <c r="B1628" s="3" t="s">
        <v>2506</v>
      </c>
      <c r="C1628" s="4">
        <v>261</v>
      </c>
      <c r="D1628" s="3" t="s">
        <v>17</v>
      </c>
      <c r="E1628" s="3" t="s">
        <v>18</v>
      </c>
      <c r="F1628" s="5">
        <v>0</v>
      </c>
      <c r="G1628" s="5">
        <v>8356.92</v>
      </c>
      <c r="H1628" s="5">
        <f t="shared" si="50"/>
        <v>8356.92</v>
      </c>
      <c r="I1628" s="9">
        <f t="shared" si="51"/>
        <v>0</v>
      </c>
      <c r="J1628" s="3" t="s">
        <v>4603</v>
      </c>
    </row>
    <row r="1629" spans="1:10" ht="25.5">
      <c r="A1629" s="3" t="s">
        <v>1811</v>
      </c>
      <c r="B1629" s="3" t="s">
        <v>2507</v>
      </c>
      <c r="C1629" s="4">
        <v>23</v>
      </c>
      <c r="D1629" s="3" t="s">
        <v>71</v>
      </c>
      <c r="E1629" s="3" t="s">
        <v>8</v>
      </c>
      <c r="F1629" s="5">
        <v>21434.55</v>
      </c>
      <c r="G1629" s="5">
        <v>0</v>
      </c>
      <c r="H1629" s="5">
        <f t="shared" si="50"/>
        <v>-21434.55</v>
      </c>
      <c r="I1629" s="9">
        <f t="shared" si="51"/>
        <v>-1</v>
      </c>
      <c r="J1629" s="3" t="s">
        <v>4603</v>
      </c>
    </row>
    <row r="1630" spans="1:10">
      <c r="A1630" s="3" t="s">
        <v>1811</v>
      </c>
      <c r="B1630" s="3" t="s">
        <v>2508</v>
      </c>
      <c r="C1630" s="4">
        <v>167</v>
      </c>
      <c r="D1630" s="3" t="s">
        <v>335</v>
      </c>
      <c r="E1630" s="3" t="s">
        <v>30</v>
      </c>
      <c r="F1630" s="5">
        <v>0</v>
      </c>
      <c r="G1630" s="5">
        <v>9362.98</v>
      </c>
      <c r="H1630" s="5">
        <f t="shared" si="50"/>
        <v>9362.98</v>
      </c>
      <c r="I1630" s="9">
        <f t="shared" si="51"/>
        <v>0</v>
      </c>
      <c r="J1630" s="3" t="s">
        <v>4603</v>
      </c>
    </row>
    <row r="1631" spans="1:10">
      <c r="A1631" s="3" t="s">
        <v>1811</v>
      </c>
      <c r="B1631" s="3" t="s">
        <v>2509</v>
      </c>
      <c r="C1631" s="4">
        <v>231</v>
      </c>
      <c r="D1631" s="3" t="s">
        <v>89</v>
      </c>
      <c r="E1631" s="3" t="s">
        <v>8</v>
      </c>
      <c r="F1631" s="5">
        <v>7534.71</v>
      </c>
      <c r="G1631" s="5">
        <v>3142.68</v>
      </c>
      <c r="H1631" s="5">
        <f t="shared" si="50"/>
        <v>-4392.0300000000007</v>
      </c>
      <c r="I1631" s="9">
        <f t="shared" si="51"/>
        <v>-0.58290630959917511</v>
      </c>
      <c r="J1631" s="3" t="s">
        <v>4603</v>
      </c>
    </row>
    <row r="1632" spans="1:10" ht="25.5">
      <c r="A1632" s="3" t="s">
        <v>1811</v>
      </c>
      <c r="B1632" s="3" t="s">
        <v>2510</v>
      </c>
      <c r="C1632" s="4">
        <v>23</v>
      </c>
      <c r="D1632" s="3" t="s">
        <v>71</v>
      </c>
      <c r="E1632" s="3" t="s">
        <v>8</v>
      </c>
      <c r="F1632" s="5">
        <v>37895.97</v>
      </c>
      <c r="G1632" s="5">
        <v>0</v>
      </c>
      <c r="H1632" s="5">
        <f t="shared" si="50"/>
        <v>-37895.97</v>
      </c>
      <c r="I1632" s="9">
        <f t="shared" si="51"/>
        <v>-1</v>
      </c>
      <c r="J1632" s="3" t="s">
        <v>4603</v>
      </c>
    </row>
    <row r="1633" spans="1:10" ht="38.25">
      <c r="A1633" s="3" t="s">
        <v>1811</v>
      </c>
      <c r="B1633" s="3" t="s">
        <v>2511</v>
      </c>
      <c r="C1633" s="4">
        <v>45</v>
      </c>
      <c r="D1633" s="3" t="s">
        <v>16</v>
      </c>
      <c r="E1633" s="3" t="s">
        <v>8</v>
      </c>
      <c r="F1633" s="5">
        <v>0</v>
      </c>
      <c r="G1633" s="5">
        <v>5723.04</v>
      </c>
      <c r="H1633" s="5">
        <f t="shared" si="50"/>
        <v>5723.04</v>
      </c>
      <c r="I1633" s="9">
        <f t="shared" si="51"/>
        <v>0</v>
      </c>
      <c r="J1633" s="3" t="s">
        <v>4603</v>
      </c>
    </row>
    <row r="1634" spans="1:10" ht="25.5">
      <c r="A1634" s="3" t="s">
        <v>1811</v>
      </c>
      <c r="B1634" s="3" t="s">
        <v>2512</v>
      </c>
      <c r="C1634" s="4">
        <v>39</v>
      </c>
      <c r="D1634" s="3" t="s">
        <v>26</v>
      </c>
      <c r="E1634" s="3" t="s">
        <v>9</v>
      </c>
      <c r="F1634" s="5">
        <v>8380.6200000000008</v>
      </c>
      <c r="G1634" s="5">
        <v>8522.2800000000007</v>
      </c>
      <c r="H1634" s="5">
        <f t="shared" si="50"/>
        <v>141.65999999999985</v>
      </c>
      <c r="I1634" s="9">
        <f t="shared" si="51"/>
        <v>1.6903284005240549E-2</v>
      </c>
      <c r="J1634" s="3" t="s">
        <v>4603</v>
      </c>
    </row>
    <row r="1635" spans="1:10" ht="25.5">
      <c r="A1635" s="3" t="s">
        <v>1811</v>
      </c>
      <c r="B1635" s="3" t="s">
        <v>2513</v>
      </c>
      <c r="C1635" s="4">
        <v>61</v>
      </c>
      <c r="D1635" s="3" t="s">
        <v>114</v>
      </c>
      <c r="E1635" s="3" t="s">
        <v>30</v>
      </c>
      <c r="F1635" s="5">
        <v>3256.2</v>
      </c>
      <c r="G1635" s="5">
        <v>13259.82</v>
      </c>
      <c r="H1635" s="5">
        <f t="shared" si="50"/>
        <v>10003.619999999999</v>
      </c>
      <c r="I1635" s="9">
        <f t="shared" si="51"/>
        <v>3.0721761562557584</v>
      </c>
      <c r="J1635" s="3" t="s">
        <v>4603</v>
      </c>
    </row>
    <row r="1636" spans="1:10" ht="25.5">
      <c r="A1636" s="3" t="s">
        <v>1811</v>
      </c>
      <c r="B1636" s="3" t="s">
        <v>2514</v>
      </c>
      <c r="C1636" s="4">
        <v>194</v>
      </c>
      <c r="D1636" s="3" t="s">
        <v>179</v>
      </c>
      <c r="E1636" s="3" t="s">
        <v>13</v>
      </c>
      <c r="F1636" s="5">
        <v>0</v>
      </c>
      <c r="G1636" s="5">
        <v>12328.92</v>
      </c>
      <c r="H1636" s="5">
        <f t="shared" si="50"/>
        <v>12328.92</v>
      </c>
      <c r="I1636" s="9">
        <f t="shared" si="51"/>
        <v>0</v>
      </c>
      <c r="J1636" s="3" t="s">
        <v>4603</v>
      </c>
    </row>
    <row r="1637" spans="1:10" ht="25.5">
      <c r="A1637" s="3" t="s">
        <v>1811</v>
      </c>
      <c r="B1637" s="3" t="s">
        <v>2515</v>
      </c>
      <c r="C1637" s="4">
        <v>299</v>
      </c>
      <c r="D1637" s="3" t="s">
        <v>246</v>
      </c>
      <c r="E1637" s="3" t="s">
        <v>30</v>
      </c>
      <c r="F1637" s="5">
        <v>2111.52</v>
      </c>
      <c r="G1637" s="5">
        <v>0</v>
      </c>
      <c r="H1637" s="5">
        <f t="shared" si="50"/>
        <v>-2111.52</v>
      </c>
      <c r="I1637" s="9">
        <f t="shared" si="51"/>
        <v>-1</v>
      </c>
      <c r="J1637" s="3" t="s">
        <v>4603</v>
      </c>
    </row>
    <row r="1638" spans="1:10" ht="25.5">
      <c r="A1638" s="3" t="s">
        <v>1811</v>
      </c>
      <c r="B1638" s="3" t="s">
        <v>2516</v>
      </c>
      <c r="C1638" s="4">
        <v>61</v>
      </c>
      <c r="D1638" s="3" t="s">
        <v>114</v>
      </c>
      <c r="E1638" s="3" t="s">
        <v>30</v>
      </c>
      <c r="F1638" s="5">
        <v>0</v>
      </c>
      <c r="G1638" s="5">
        <v>19054.2</v>
      </c>
      <c r="H1638" s="5">
        <f t="shared" si="50"/>
        <v>19054.2</v>
      </c>
      <c r="I1638" s="9">
        <f t="shared" si="51"/>
        <v>0</v>
      </c>
      <c r="J1638" s="3" t="s">
        <v>4603</v>
      </c>
    </row>
    <row r="1639" spans="1:10" ht="25.5">
      <c r="A1639" s="3" t="s">
        <v>1811</v>
      </c>
      <c r="B1639" s="3" t="s">
        <v>2517</v>
      </c>
      <c r="C1639" s="4">
        <v>299</v>
      </c>
      <c r="D1639" s="3" t="s">
        <v>246</v>
      </c>
      <c r="E1639" s="3" t="s">
        <v>30</v>
      </c>
      <c r="F1639" s="5">
        <v>2735.46</v>
      </c>
      <c r="G1639" s="5">
        <v>0</v>
      </c>
      <c r="H1639" s="5">
        <f t="shared" si="50"/>
        <v>-2735.46</v>
      </c>
      <c r="I1639" s="9">
        <f t="shared" si="51"/>
        <v>-1</v>
      </c>
      <c r="J1639" s="3" t="s">
        <v>4603</v>
      </c>
    </row>
    <row r="1640" spans="1:10">
      <c r="A1640" s="3" t="s">
        <v>1811</v>
      </c>
      <c r="B1640" s="3" t="s">
        <v>2518</v>
      </c>
      <c r="C1640" s="4">
        <v>334</v>
      </c>
      <c r="D1640" s="3" t="s">
        <v>585</v>
      </c>
      <c r="E1640" s="3" t="s">
        <v>8</v>
      </c>
      <c r="F1640" s="5">
        <v>3079.4</v>
      </c>
      <c r="G1640" s="5">
        <v>0</v>
      </c>
      <c r="H1640" s="5">
        <f t="shared" si="50"/>
        <v>-3079.4</v>
      </c>
      <c r="I1640" s="9">
        <f t="shared" si="51"/>
        <v>-1</v>
      </c>
      <c r="J1640" s="3" t="s">
        <v>4603</v>
      </c>
    </row>
    <row r="1641" spans="1:10" ht="51">
      <c r="A1641" s="3" t="s">
        <v>1811</v>
      </c>
      <c r="B1641" s="3" t="s">
        <v>2519</v>
      </c>
      <c r="C1641" s="4">
        <v>282</v>
      </c>
      <c r="D1641" s="3" t="s">
        <v>298</v>
      </c>
      <c r="E1641" s="3" t="s">
        <v>9</v>
      </c>
      <c r="F1641" s="5">
        <v>6627.84</v>
      </c>
      <c r="G1641" s="5">
        <v>0</v>
      </c>
      <c r="H1641" s="5">
        <f t="shared" si="50"/>
        <v>-6627.84</v>
      </c>
      <c r="I1641" s="9">
        <f t="shared" si="51"/>
        <v>-1</v>
      </c>
      <c r="J1641" s="3" t="s">
        <v>4603</v>
      </c>
    </row>
    <row r="1642" spans="1:10" ht="38.25">
      <c r="A1642" s="3" t="s">
        <v>1811</v>
      </c>
      <c r="B1642" s="3" t="s">
        <v>2520</v>
      </c>
      <c r="C1642" s="4">
        <v>327</v>
      </c>
      <c r="D1642" s="3" t="s">
        <v>76</v>
      </c>
      <c r="E1642" s="3" t="s">
        <v>8</v>
      </c>
      <c r="F1642" s="5">
        <v>10792.38</v>
      </c>
      <c r="G1642" s="5">
        <v>0</v>
      </c>
      <c r="H1642" s="5">
        <f t="shared" si="50"/>
        <v>-10792.38</v>
      </c>
      <c r="I1642" s="9">
        <f t="shared" si="51"/>
        <v>-1</v>
      </c>
      <c r="J1642" s="3" t="s">
        <v>4603</v>
      </c>
    </row>
    <row r="1643" spans="1:10" ht="25.5">
      <c r="A1643" s="3" t="s">
        <v>1811</v>
      </c>
      <c r="B1643" s="3" t="s">
        <v>2521</v>
      </c>
      <c r="C1643" s="4">
        <v>297</v>
      </c>
      <c r="D1643" s="3" t="s">
        <v>209</v>
      </c>
      <c r="E1643" s="3" t="s">
        <v>22</v>
      </c>
      <c r="F1643" s="5">
        <v>4211.28</v>
      </c>
      <c r="G1643" s="5">
        <v>6580.44</v>
      </c>
      <c r="H1643" s="5">
        <f t="shared" si="50"/>
        <v>2369.16</v>
      </c>
      <c r="I1643" s="9">
        <f t="shared" si="51"/>
        <v>0.56257479911095909</v>
      </c>
      <c r="J1643" s="3" t="s">
        <v>4603</v>
      </c>
    </row>
    <row r="1644" spans="1:10">
      <c r="A1644" s="3" t="s">
        <v>1811</v>
      </c>
      <c r="B1644" s="3" t="s">
        <v>2522</v>
      </c>
      <c r="C1644" s="4">
        <v>217</v>
      </c>
      <c r="D1644" s="3" t="s">
        <v>253</v>
      </c>
      <c r="E1644" s="3" t="s">
        <v>13</v>
      </c>
      <c r="F1644" s="5">
        <v>0</v>
      </c>
      <c r="G1644" s="5">
        <v>2744.08</v>
      </c>
      <c r="H1644" s="5">
        <f t="shared" si="50"/>
        <v>2744.08</v>
      </c>
      <c r="I1644" s="9">
        <f t="shared" si="51"/>
        <v>0</v>
      </c>
      <c r="J1644" s="3" t="s">
        <v>4603</v>
      </c>
    </row>
    <row r="1645" spans="1:10" ht="38.25">
      <c r="A1645" s="3" t="s">
        <v>1811</v>
      </c>
      <c r="B1645" s="3" t="s">
        <v>2523</v>
      </c>
      <c r="C1645" s="4">
        <v>143</v>
      </c>
      <c r="D1645" s="3" t="s">
        <v>21</v>
      </c>
      <c r="E1645" s="3" t="s">
        <v>22</v>
      </c>
      <c r="F1645" s="5">
        <v>2987.52</v>
      </c>
      <c r="G1645" s="5">
        <v>3614.64</v>
      </c>
      <c r="H1645" s="5">
        <f t="shared" si="50"/>
        <v>627.11999999999989</v>
      </c>
      <c r="I1645" s="9">
        <f t="shared" si="51"/>
        <v>0.20991323907455017</v>
      </c>
      <c r="J1645" s="3" t="s">
        <v>4603</v>
      </c>
    </row>
    <row r="1646" spans="1:10" ht="25.5">
      <c r="A1646" s="3" t="s">
        <v>1811</v>
      </c>
      <c r="B1646" s="3" t="s">
        <v>2524</v>
      </c>
      <c r="C1646" s="4">
        <v>39</v>
      </c>
      <c r="D1646" s="3" t="s">
        <v>26</v>
      </c>
      <c r="E1646" s="3" t="s">
        <v>9</v>
      </c>
      <c r="F1646" s="5">
        <v>3104.46</v>
      </c>
      <c r="G1646" s="5">
        <v>0</v>
      </c>
      <c r="H1646" s="5">
        <f t="shared" si="50"/>
        <v>-3104.46</v>
      </c>
      <c r="I1646" s="9">
        <f t="shared" si="51"/>
        <v>-1</v>
      </c>
      <c r="J1646" s="3" t="s">
        <v>4603</v>
      </c>
    </row>
    <row r="1647" spans="1:10">
      <c r="A1647" s="3" t="s">
        <v>1811</v>
      </c>
      <c r="B1647" s="3" t="s">
        <v>2525</v>
      </c>
      <c r="C1647" s="4">
        <v>232</v>
      </c>
      <c r="D1647" s="3" t="s">
        <v>95</v>
      </c>
      <c r="E1647" s="3" t="s">
        <v>13</v>
      </c>
      <c r="F1647" s="5">
        <v>3319.32</v>
      </c>
      <c r="G1647" s="5">
        <v>3966.6</v>
      </c>
      <c r="H1647" s="5">
        <f t="shared" si="50"/>
        <v>647.27999999999975</v>
      </c>
      <c r="I1647" s="9">
        <f t="shared" si="51"/>
        <v>0.19500379595820827</v>
      </c>
      <c r="J1647" s="3" t="s">
        <v>4603</v>
      </c>
    </row>
    <row r="1648" spans="1:10" ht="38.25">
      <c r="A1648" s="3" t="s">
        <v>1811</v>
      </c>
      <c r="B1648" s="3" t="s">
        <v>2526</v>
      </c>
      <c r="C1648" s="4">
        <v>371</v>
      </c>
      <c r="D1648" s="3" t="s">
        <v>29</v>
      </c>
      <c r="E1648" s="3" t="s">
        <v>30</v>
      </c>
      <c r="F1648" s="5">
        <v>0</v>
      </c>
      <c r="G1648" s="5">
        <v>21994.23</v>
      </c>
      <c r="H1648" s="5">
        <f t="shared" si="50"/>
        <v>21994.23</v>
      </c>
      <c r="I1648" s="9">
        <f t="shared" si="51"/>
        <v>0</v>
      </c>
      <c r="J1648" s="3" t="s">
        <v>4603</v>
      </c>
    </row>
    <row r="1649" spans="1:10" ht="25.5">
      <c r="A1649" s="3" t="s">
        <v>1811</v>
      </c>
      <c r="B1649" s="3" t="s">
        <v>2527</v>
      </c>
      <c r="C1649" s="4">
        <v>41</v>
      </c>
      <c r="D1649" s="3" t="s">
        <v>106</v>
      </c>
      <c r="E1649" s="3" t="s">
        <v>22</v>
      </c>
      <c r="F1649" s="5">
        <v>5335.2</v>
      </c>
      <c r="G1649" s="5">
        <v>7744.92</v>
      </c>
      <c r="H1649" s="5">
        <f t="shared" si="50"/>
        <v>2409.7200000000003</v>
      </c>
      <c r="I1649" s="9">
        <f t="shared" si="51"/>
        <v>0.4516644174538913</v>
      </c>
      <c r="J1649" s="3" t="s">
        <v>4603</v>
      </c>
    </row>
    <row r="1650" spans="1:10" ht="25.5">
      <c r="A1650" s="3" t="s">
        <v>1811</v>
      </c>
      <c r="B1650" s="3" t="s">
        <v>2528</v>
      </c>
      <c r="C1650" s="4">
        <v>320</v>
      </c>
      <c r="D1650" s="3" t="s">
        <v>188</v>
      </c>
      <c r="E1650" s="3" t="s">
        <v>30</v>
      </c>
      <c r="F1650" s="5">
        <v>7498.68</v>
      </c>
      <c r="G1650" s="5">
        <v>0</v>
      </c>
      <c r="H1650" s="5">
        <f t="shared" si="50"/>
        <v>-7498.68</v>
      </c>
      <c r="I1650" s="9">
        <f t="shared" si="51"/>
        <v>-1</v>
      </c>
      <c r="J1650" s="3" t="s">
        <v>4603</v>
      </c>
    </row>
    <row r="1651" spans="1:10" ht="25.5">
      <c r="A1651" s="3" t="s">
        <v>1811</v>
      </c>
      <c r="B1651" s="3" t="s">
        <v>2529</v>
      </c>
      <c r="C1651" s="4">
        <v>23</v>
      </c>
      <c r="D1651" s="3" t="s">
        <v>71</v>
      </c>
      <c r="E1651" s="3" t="s">
        <v>8</v>
      </c>
      <c r="F1651" s="5">
        <v>6437.1</v>
      </c>
      <c r="G1651" s="5">
        <v>5126.9399999999996</v>
      </c>
      <c r="H1651" s="5">
        <f t="shared" si="50"/>
        <v>-1310.1600000000008</v>
      </c>
      <c r="I1651" s="9">
        <f t="shared" si="51"/>
        <v>-0.20353264668872639</v>
      </c>
      <c r="J1651" s="3" t="s">
        <v>4603</v>
      </c>
    </row>
    <row r="1652" spans="1:10" ht="25.5">
      <c r="A1652" s="3" t="s">
        <v>1811</v>
      </c>
      <c r="B1652" s="3" t="s">
        <v>2530</v>
      </c>
      <c r="C1652" s="4">
        <v>208</v>
      </c>
      <c r="D1652" s="3" t="s">
        <v>58</v>
      </c>
      <c r="E1652" s="3" t="s">
        <v>13</v>
      </c>
      <c r="F1652" s="5">
        <v>9426.24</v>
      </c>
      <c r="G1652" s="5">
        <v>0</v>
      </c>
      <c r="H1652" s="5">
        <f t="shared" si="50"/>
        <v>-9426.24</v>
      </c>
      <c r="I1652" s="9">
        <f t="shared" si="51"/>
        <v>-1</v>
      </c>
      <c r="J1652" s="3" t="s">
        <v>4603</v>
      </c>
    </row>
    <row r="1653" spans="1:10">
      <c r="A1653" s="3" t="s">
        <v>1811</v>
      </c>
      <c r="B1653" s="3" t="s">
        <v>2531</v>
      </c>
      <c r="C1653" s="4">
        <v>315</v>
      </c>
      <c r="D1653" s="3" t="s">
        <v>79</v>
      </c>
      <c r="E1653" s="3" t="s">
        <v>8</v>
      </c>
      <c r="F1653" s="5">
        <v>3130.56</v>
      </c>
      <c r="G1653" s="5">
        <v>0</v>
      </c>
      <c r="H1653" s="5">
        <f t="shared" si="50"/>
        <v>-3130.56</v>
      </c>
      <c r="I1653" s="9">
        <f t="shared" si="51"/>
        <v>-1</v>
      </c>
      <c r="J1653" s="3" t="s">
        <v>4603</v>
      </c>
    </row>
    <row r="1654" spans="1:10" ht="25.5">
      <c r="A1654" s="3" t="s">
        <v>1811</v>
      </c>
      <c r="B1654" s="3" t="s">
        <v>2532</v>
      </c>
      <c r="C1654" s="4">
        <v>335</v>
      </c>
      <c r="D1654" s="3" t="s">
        <v>7</v>
      </c>
      <c r="E1654" s="3" t="s">
        <v>8</v>
      </c>
      <c r="F1654" s="5">
        <v>0</v>
      </c>
      <c r="G1654" s="5">
        <v>1881.72</v>
      </c>
      <c r="H1654" s="5">
        <f t="shared" si="50"/>
        <v>1881.72</v>
      </c>
      <c r="I1654" s="9">
        <f t="shared" si="51"/>
        <v>0</v>
      </c>
      <c r="J1654" s="3" t="s">
        <v>4603</v>
      </c>
    </row>
    <row r="1655" spans="1:10" ht="25.5">
      <c r="A1655" s="3" t="s">
        <v>1811</v>
      </c>
      <c r="B1655" s="3" t="s">
        <v>2533</v>
      </c>
      <c r="C1655" s="4">
        <v>296</v>
      </c>
      <c r="D1655" s="3" t="s">
        <v>137</v>
      </c>
      <c r="E1655" s="3" t="s">
        <v>18</v>
      </c>
      <c r="F1655" s="5">
        <v>0</v>
      </c>
      <c r="G1655" s="5">
        <v>7442.5540000000001</v>
      </c>
      <c r="H1655" s="5">
        <f t="shared" si="50"/>
        <v>7442.5540000000001</v>
      </c>
      <c r="I1655" s="9">
        <f t="shared" si="51"/>
        <v>0</v>
      </c>
      <c r="J1655" s="3" t="s">
        <v>4603</v>
      </c>
    </row>
    <row r="1656" spans="1:10" ht="25.5">
      <c r="A1656" s="3" t="s">
        <v>1811</v>
      </c>
      <c r="B1656" s="3" t="s">
        <v>2534</v>
      </c>
      <c r="C1656" s="4">
        <v>335</v>
      </c>
      <c r="D1656" s="3" t="s">
        <v>7</v>
      </c>
      <c r="E1656" s="3" t="s">
        <v>8</v>
      </c>
      <c r="F1656" s="5">
        <v>0</v>
      </c>
      <c r="G1656" s="5">
        <v>4527</v>
      </c>
      <c r="H1656" s="5">
        <f t="shared" si="50"/>
        <v>4527</v>
      </c>
      <c r="I1656" s="9">
        <f t="shared" si="51"/>
        <v>0</v>
      </c>
      <c r="J1656" s="3" t="s">
        <v>4603</v>
      </c>
    </row>
    <row r="1657" spans="1:10" ht="25.5">
      <c r="A1657" s="3" t="s">
        <v>1811</v>
      </c>
      <c r="B1657" s="3" t="s">
        <v>2535</v>
      </c>
      <c r="C1657" s="4">
        <v>197</v>
      </c>
      <c r="D1657" s="3" t="s">
        <v>23</v>
      </c>
      <c r="E1657" s="3" t="s">
        <v>22</v>
      </c>
      <c r="F1657" s="5">
        <v>4322.34</v>
      </c>
      <c r="G1657" s="5">
        <v>0</v>
      </c>
      <c r="H1657" s="5">
        <f t="shared" si="50"/>
        <v>-4322.34</v>
      </c>
      <c r="I1657" s="9">
        <f t="shared" si="51"/>
        <v>-1</v>
      </c>
      <c r="J1657" s="3" t="s">
        <v>4603</v>
      </c>
    </row>
    <row r="1658" spans="1:10" ht="25.5">
      <c r="A1658" s="3" t="s">
        <v>1811</v>
      </c>
      <c r="B1658" s="3" t="s">
        <v>2536</v>
      </c>
      <c r="C1658" s="4">
        <v>266</v>
      </c>
      <c r="D1658" s="3" t="s">
        <v>111</v>
      </c>
      <c r="E1658" s="3" t="s">
        <v>18</v>
      </c>
      <c r="F1658" s="5">
        <v>9925.14</v>
      </c>
      <c r="G1658" s="5">
        <v>10648.8</v>
      </c>
      <c r="H1658" s="5">
        <f t="shared" si="50"/>
        <v>723.65999999999985</v>
      </c>
      <c r="I1658" s="9">
        <f t="shared" si="51"/>
        <v>7.2911817868564155E-2</v>
      </c>
      <c r="J1658" s="3" t="s">
        <v>4603</v>
      </c>
    </row>
    <row r="1659" spans="1:10" ht="25.5">
      <c r="A1659" s="3" t="s">
        <v>1811</v>
      </c>
      <c r="B1659" s="3" t="s">
        <v>2537</v>
      </c>
      <c r="C1659" s="4">
        <v>317</v>
      </c>
      <c r="D1659" s="3" t="s">
        <v>54</v>
      </c>
      <c r="E1659" s="3" t="s">
        <v>18</v>
      </c>
      <c r="F1659" s="5">
        <v>4991.28</v>
      </c>
      <c r="G1659" s="5">
        <v>0</v>
      </c>
      <c r="H1659" s="5">
        <f t="shared" si="50"/>
        <v>-4991.28</v>
      </c>
      <c r="I1659" s="9">
        <f t="shared" si="51"/>
        <v>-1</v>
      </c>
      <c r="J1659" s="3" t="s">
        <v>4603</v>
      </c>
    </row>
    <row r="1660" spans="1:10" ht="25.5">
      <c r="A1660" s="3" t="s">
        <v>1811</v>
      </c>
      <c r="B1660" s="3" t="s">
        <v>2538</v>
      </c>
      <c r="C1660" s="4">
        <v>240</v>
      </c>
      <c r="D1660" s="3" t="s">
        <v>152</v>
      </c>
      <c r="E1660" s="3" t="s">
        <v>13</v>
      </c>
      <c r="F1660" s="5">
        <v>8712.99</v>
      </c>
      <c r="G1660" s="5">
        <v>15321.72</v>
      </c>
      <c r="H1660" s="5">
        <f t="shared" si="50"/>
        <v>6608.73</v>
      </c>
      <c r="I1660" s="9">
        <f t="shared" si="51"/>
        <v>0.75849163146061227</v>
      </c>
      <c r="J1660" s="3" t="s">
        <v>4603</v>
      </c>
    </row>
    <row r="1661" spans="1:10" ht="25.5">
      <c r="A1661" s="3" t="s">
        <v>1811</v>
      </c>
      <c r="B1661" s="3" t="s">
        <v>2539</v>
      </c>
      <c r="C1661" s="4">
        <v>327</v>
      </c>
      <c r="D1661" s="3" t="s">
        <v>76</v>
      </c>
      <c r="E1661" s="3" t="s">
        <v>8</v>
      </c>
      <c r="F1661" s="5">
        <v>14784.66</v>
      </c>
      <c r="G1661" s="5">
        <v>0</v>
      </c>
      <c r="H1661" s="5">
        <f t="shared" si="50"/>
        <v>-14784.66</v>
      </c>
      <c r="I1661" s="9">
        <f t="shared" si="51"/>
        <v>-1</v>
      </c>
      <c r="J1661" s="3" t="s">
        <v>4604</v>
      </c>
    </row>
    <row r="1662" spans="1:10" ht="25.5">
      <c r="A1662" s="3" t="s">
        <v>1811</v>
      </c>
      <c r="B1662" s="3" t="s">
        <v>2540</v>
      </c>
      <c r="C1662" s="4">
        <v>218</v>
      </c>
      <c r="D1662" s="3" t="s">
        <v>155</v>
      </c>
      <c r="E1662" s="3" t="s">
        <v>13</v>
      </c>
      <c r="F1662" s="5">
        <v>0</v>
      </c>
      <c r="G1662" s="5">
        <v>5272.92</v>
      </c>
      <c r="H1662" s="5">
        <f t="shared" si="50"/>
        <v>5272.92</v>
      </c>
      <c r="I1662" s="9">
        <f t="shared" si="51"/>
        <v>0</v>
      </c>
      <c r="J1662" s="3" t="s">
        <v>4603</v>
      </c>
    </row>
    <row r="1663" spans="1:10" ht="25.5">
      <c r="A1663" s="3" t="s">
        <v>1811</v>
      </c>
      <c r="B1663" s="3" t="s">
        <v>2541</v>
      </c>
      <c r="C1663" s="4">
        <v>178</v>
      </c>
      <c r="D1663" s="3" t="s">
        <v>92</v>
      </c>
      <c r="E1663" s="3" t="s">
        <v>8</v>
      </c>
      <c r="F1663" s="5">
        <v>4463.28</v>
      </c>
      <c r="G1663" s="5">
        <v>0</v>
      </c>
      <c r="H1663" s="5">
        <f t="shared" si="50"/>
        <v>-4463.28</v>
      </c>
      <c r="I1663" s="9">
        <f t="shared" si="51"/>
        <v>-1</v>
      </c>
      <c r="J1663" s="3" t="s">
        <v>4604</v>
      </c>
    </row>
    <row r="1664" spans="1:10">
      <c r="A1664" s="3" t="s">
        <v>1811</v>
      </c>
      <c r="B1664" s="3" t="s">
        <v>2542</v>
      </c>
      <c r="C1664" s="4">
        <v>232</v>
      </c>
      <c r="D1664" s="3" t="s">
        <v>95</v>
      </c>
      <c r="E1664" s="3" t="s">
        <v>13</v>
      </c>
      <c r="F1664" s="5">
        <v>0</v>
      </c>
      <c r="G1664" s="5">
        <v>12600.84</v>
      </c>
      <c r="H1664" s="5">
        <f t="shared" si="50"/>
        <v>12600.84</v>
      </c>
      <c r="I1664" s="9">
        <f t="shared" si="51"/>
        <v>0</v>
      </c>
      <c r="J1664" s="3" t="s">
        <v>4603</v>
      </c>
    </row>
    <row r="1665" spans="1:10" ht="25.5">
      <c r="A1665" s="3" t="s">
        <v>1811</v>
      </c>
      <c r="B1665" s="3" t="s">
        <v>2543</v>
      </c>
      <c r="C1665" s="4">
        <v>320</v>
      </c>
      <c r="D1665" s="3" t="s">
        <v>188</v>
      </c>
      <c r="E1665" s="3" t="s">
        <v>30</v>
      </c>
      <c r="F1665" s="5">
        <v>0</v>
      </c>
      <c r="G1665" s="5">
        <v>11818.609</v>
      </c>
      <c r="H1665" s="5">
        <f t="shared" si="50"/>
        <v>11818.609</v>
      </c>
      <c r="I1665" s="9">
        <f t="shared" si="51"/>
        <v>0</v>
      </c>
      <c r="J1665" s="3" t="s">
        <v>4603</v>
      </c>
    </row>
    <row r="1666" spans="1:10" ht="25.5">
      <c r="A1666" s="3" t="s">
        <v>1811</v>
      </c>
      <c r="B1666" s="3" t="s">
        <v>2544</v>
      </c>
      <c r="C1666" s="4">
        <v>327</v>
      </c>
      <c r="D1666" s="3" t="s">
        <v>76</v>
      </c>
      <c r="E1666" s="3" t="s">
        <v>8</v>
      </c>
      <c r="F1666" s="5">
        <v>0</v>
      </c>
      <c r="G1666" s="5">
        <v>9858.6</v>
      </c>
      <c r="H1666" s="5">
        <f t="shared" si="50"/>
        <v>9858.6</v>
      </c>
      <c r="I1666" s="9">
        <f t="shared" si="51"/>
        <v>0</v>
      </c>
      <c r="J1666" s="3" t="s">
        <v>4603</v>
      </c>
    </row>
    <row r="1667" spans="1:10" ht="25.5">
      <c r="A1667" s="3" t="s">
        <v>1811</v>
      </c>
      <c r="B1667" s="3" t="s">
        <v>2545</v>
      </c>
      <c r="C1667" s="4">
        <v>74</v>
      </c>
      <c r="D1667" s="3" t="s">
        <v>86</v>
      </c>
      <c r="E1667" s="3" t="s">
        <v>8</v>
      </c>
      <c r="F1667" s="5">
        <v>0</v>
      </c>
      <c r="G1667" s="5">
        <v>10259.64</v>
      </c>
      <c r="H1667" s="5">
        <f t="shared" ref="H1667:H1730" si="52">G1667-F1667</f>
        <v>10259.64</v>
      </c>
      <c r="I1667" s="9">
        <f t="shared" ref="I1667:I1730" si="53">IFERROR(G1667/F1667-1,0)</f>
        <v>0</v>
      </c>
      <c r="J1667" s="3" t="s">
        <v>4603</v>
      </c>
    </row>
    <row r="1668" spans="1:10">
      <c r="A1668" s="3" t="s">
        <v>1811</v>
      </c>
      <c r="B1668" s="3" t="s">
        <v>2546</v>
      </c>
      <c r="C1668" s="4">
        <v>232</v>
      </c>
      <c r="D1668" s="3" t="s">
        <v>95</v>
      </c>
      <c r="E1668" s="3" t="s">
        <v>13</v>
      </c>
      <c r="F1668" s="5">
        <v>0</v>
      </c>
      <c r="G1668" s="5">
        <v>2553.06</v>
      </c>
      <c r="H1668" s="5">
        <f t="shared" si="52"/>
        <v>2553.06</v>
      </c>
      <c r="I1668" s="9">
        <f t="shared" si="53"/>
        <v>0</v>
      </c>
      <c r="J1668" s="3" t="s">
        <v>4603</v>
      </c>
    </row>
    <row r="1669" spans="1:10" ht="25.5">
      <c r="A1669" s="3" t="s">
        <v>1811</v>
      </c>
      <c r="B1669" s="3" t="s">
        <v>2547</v>
      </c>
      <c r="C1669" s="4">
        <v>208</v>
      </c>
      <c r="D1669" s="3" t="s">
        <v>58</v>
      </c>
      <c r="E1669" s="3" t="s">
        <v>13</v>
      </c>
      <c r="F1669" s="5">
        <v>4595.16</v>
      </c>
      <c r="G1669" s="5">
        <v>0</v>
      </c>
      <c r="H1669" s="5">
        <f t="shared" si="52"/>
        <v>-4595.16</v>
      </c>
      <c r="I1669" s="9">
        <f t="shared" si="53"/>
        <v>-1</v>
      </c>
      <c r="J1669" s="3" t="s">
        <v>4603</v>
      </c>
    </row>
    <row r="1670" spans="1:10" ht="25.5">
      <c r="A1670" s="3" t="s">
        <v>1811</v>
      </c>
      <c r="B1670" s="3" t="s">
        <v>2548</v>
      </c>
      <c r="C1670" s="4">
        <v>187</v>
      </c>
      <c r="D1670" s="3" t="s">
        <v>460</v>
      </c>
      <c r="E1670" s="3" t="s">
        <v>8</v>
      </c>
      <c r="F1670" s="5">
        <v>0</v>
      </c>
      <c r="G1670" s="5">
        <v>32916.239999999998</v>
      </c>
      <c r="H1670" s="5">
        <f t="shared" si="52"/>
        <v>32916.239999999998</v>
      </c>
      <c r="I1670" s="9">
        <f t="shared" si="53"/>
        <v>0</v>
      </c>
      <c r="J1670" s="3" t="s">
        <v>4603</v>
      </c>
    </row>
    <row r="1671" spans="1:10" ht="25.5">
      <c r="A1671" s="3" t="s">
        <v>1811</v>
      </c>
      <c r="B1671" s="3" t="s">
        <v>2549</v>
      </c>
      <c r="C1671" s="4">
        <v>299</v>
      </c>
      <c r="D1671" s="3" t="s">
        <v>246</v>
      </c>
      <c r="E1671" s="3" t="s">
        <v>30</v>
      </c>
      <c r="F1671" s="5">
        <v>0</v>
      </c>
      <c r="G1671" s="5">
        <v>3123.75</v>
      </c>
      <c r="H1671" s="5">
        <f t="shared" si="52"/>
        <v>3123.75</v>
      </c>
      <c r="I1671" s="9">
        <f t="shared" si="53"/>
        <v>0</v>
      </c>
      <c r="J1671" s="3" t="s">
        <v>4603</v>
      </c>
    </row>
    <row r="1672" spans="1:10" ht="25.5">
      <c r="A1672" s="3" t="s">
        <v>1811</v>
      </c>
      <c r="B1672" s="3" t="s">
        <v>2550</v>
      </c>
      <c r="C1672" s="4">
        <v>315</v>
      </c>
      <c r="D1672" s="3" t="s">
        <v>79</v>
      </c>
      <c r="E1672" s="3" t="s">
        <v>8</v>
      </c>
      <c r="F1672" s="5">
        <v>11506.32</v>
      </c>
      <c r="G1672" s="5">
        <v>7517.0550000000003</v>
      </c>
      <c r="H1672" s="5">
        <f t="shared" si="52"/>
        <v>-3989.2649999999994</v>
      </c>
      <c r="I1672" s="9">
        <f t="shared" si="53"/>
        <v>-0.3467020732953715</v>
      </c>
      <c r="J1672" s="3" t="s">
        <v>4603</v>
      </c>
    </row>
    <row r="1673" spans="1:10">
      <c r="A1673" s="3" t="s">
        <v>1811</v>
      </c>
      <c r="B1673" s="3" t="s">
        <v>2551</v>
      </c>
      <c r="C1673" s="4">
        <v>232</v>
      </c>
      <c r="D1673" s="3" t="s">
        <v>95</v>
      </c>
      <c r="E1673" s="3" t="s">
        <v>13</v>
      </c>
      <c r="F1673" s="5">
        <v>6619.14</v>
      </c>
      <c r="G1673" s="5">
        <v>4237.2</v>
      </c>
      <c r="H1673" s="5">
        <f t="shared" si="52"/>
        <v>-2381.9400000000005</v>
      </c>
      <c r="I1673" s="9">
        <f t="shared" si="53"/>
        <v>-0.35985641639246191</v>
      </c>
      <c r="J1673" s="3" t="s">
        <v>4603</v>
      </c>
    </row>
    <row r="1674" spans="1:10" ht="38.25">
      <c r="A1674" s="3" t="s">
        <v>1811</v>
      </c>
      <c r="B1674" s="3" t="s">
        <v>2552</v>
      </c>
      <c r="C1674" s="4">
        <v>45</v>
      </c>
      <c r="D1674" s="3" t="s">
        <v>16</v>
      </c>
      <c r="E1674" s="3" t="s">
        <v>8</v>
      </c>
      <c r="F1674" s="5">
        <v>5879.16</v>
      </c>
      <c r="G1674" s="5">
        <v>8994.48</v>
      </c>
      <c r="H1674" s="5">
        <f t="shared" si="52"/>
        <v>3115.3199999999997</v>
      </c>
      <c r="I1674" s="9">
        <f t="shared" si="53"/>
        <v>0.52989202539138236</v>
      </c>
      <c r="J1674" s="3" t="s">
        <v>4603</v>
      </c>
    </row>
    <row r="1675" spans="1:10" ht="25.5">
      <c r="A1675" s="3" t="s">
        <v>1811</v>
      </c>
      <c r="B1675" s="3" t="s">
        <v>2553</v>
      </c>
      <c r="C1675" s="4">
        <v>208</v>
      </c>
      <c r="D1675" s="3" t="s">
        <v>58</v>
      </c>
      <c r="E1675" s="3" t="s">
        <v>13</v>
      </c>
      <c r="F1675" s="5">
        <v>0</v>
      </c>
      <c r="G1675" s="5">
        <v>9609.06</v>
      </c>
      <c r="H1675" s="5">
        <f t="shared" si="52"/>
        <v>9609.06</v>
      </c>
      <c r="I1675" s="9">
        <f t="shared" si="53"/>
        <v>0</v>
      </c>
      <c r="J1675" s="3" t="s">
        <v>4603</v>
      </c>
    </row>
    <row r="1676" spans="1:10" ht="25.5">
      <c r="A1676" s="3" t="s">
        <v>1811</v>
      </c>
      <c r="B1676" s="3" t="s">
        <v>2554</v>
      </c>
      <c r="C1676" s="4">
        <v>337</v>
      </c>
      <c r="D1676" s="3" t="s">
        <v>218</v>
      </c>
      <c r="E1676" s="3" t="s">
        <v>13</v>
      </c>
      <c r="F1676" s="5">
        <v>12393.12</v>
      </c>
      <c r="G1676" s="5">
        <v>0</v>
      </c>
      <c r="H1676" s="5">
        <f t="shared" si="52"/>
        <v>-12393.12</v>
      </c>
      <c r="I1676" s="9">
        <f t="shared" si="53"/>
        <v>-1</v>
      </c>
      <c r="J1676" s="3" t="s">
        <v>4603</v>
      </c>
    </row>
    <row r="1677" spans="1:10" ht="51">
      <c r="A1677" s="3" t="s">
        <v>1811</v>
      </c>
      <c r="B1677" s="3" t="s">
        <v>2555</v>
      </c>
      <c r="C1677" s="4">
        <v>282</v>
      </c>
      <c r="D1677" s="3" t="s">
        <v>298</v>
      </c>
      <c r="E1677" s="3" t="s">
        <v>9</v>
      </c>
      <c r="F1677" s="5">
        <v>2598.7199999999998</v>
      </c>
      <c r="G1677" s="5">
        <v>32873.22</v>
      </c>
      <c r="H1677" s="5">
        <f t="shared" si="52"/>
        <v>30274.5</v>
      </c>
      <c r="I1677" s="9">
        <f t="shared" si="53"/>
        <v>11.64977373476173</v>
      </c>
      <c r="J1677" s="3" t="s">
        <v>4603</v>
      </c>
    </row>
    <row r="1678" spans="1:10" ht="38.25">
      <c r="A1678" s="3" t="s">
        <v>1811</v>
      </c>
      <c r="B1678" s="3" t="s">
        <v>2556</v>
      </c>
      <c r="C1678" s="4">
        <v>45</v>
      </c>
      <c r="D1678" s="3" t="s">
        <v>16</v>
      </c>
      <c r="E1678" s="3" t="s">
        <v>8</v>
      </c>
      <c r="F1678" s="5">
        <v>10342.56</v>
      </c>
      <c r="G1678" s="5">
        <v>8423.2800000000007</v>
      </c>
      <c r="H1678" s="5">
        <f t="shared" si="52"/>
        <v>-1919.2799999999988</v>
      </c>
      <c r="I1678" s="9">
        <f t="shared" si="53"/>
        <v>-0.18557107718011778</v>
      </c>
      <c r="J1678" s="3" t="s">
        <v>4604</v>
      </c>
    </row>
    <row r="1679" spans="1:10" ht="25.5">
      <c r="A1679" s="3" t="s">
        <v>1811</v>
      </c>
      <c r="B1679" s="3" t="s">
        <v>2557</v>
      </c>
      <c r="C1679" s="4">
        <v>93</v>
      </c>
      <c r="D1679" s="3" t="s">
        <v>42</v>
      </c>
      <c r="E1679" s="3" t="s">
        <v>8</v>
      </c>
      <c r="F1679" s="5">
        <v>8350.3799999999992</v>
      </c>
      <c r="G1679" s="5">
        <v>0</v>
      </c>
      <c r="H1679" s="5">
        <f t="shared" si="52"/>
        <v>-8350.3799999999992</v>
      </c>
      <c r="I1679" s="9">
        <f t="shared" si="53"/>
        <v>-1</v>
      </c>
      <c r="J1679" s="3" t="s">
        <v>4603</v>
      </c>
    </row>
    <row r="1680" spans="1:10" ht="25.5">
      <c r="A1680" s="3" t="s">
        <v>1811</v>
      </c>
      <c r="B1680" s="3" t="s">
        <v>2558</v>
      </c>
      <c r="C1680" s="4">
        <v>327</v>
      </c>
      <c r="D1680" s="3" t="s">
        <v>76</v>
      </c>
      <c r="E1680" s="3" t="s">
        <v>8</v>
      </c>
      <c r="F1680" s="5">
        <v>10910.22</v>
      </c>
      <c r="G1680" s="5">
        <v>0</v>
      </c>
      <c r="H1680" s="5">
        <f t="shared" si="52"/>
        <v>-10910.22</v>
      </c>
      <c r="I1680" s="9">
        <f t="shared" si="53"/>
        <v>-1</v>
      </c>
      <c r="J1680" s="3" t="s">
        <v>4604</v>
      </c>
    </row>
    <row r="1681" spans="1:10" ht="38.25">
      <c r="A1681" s="3" t="s">
        <v>1811</v>
      </c>
      <c r="B1681" s="3" t="s">
        <v>2559</v>
      </c>
      <c r="C1681" s="4">
        <v>74</v>
      </c>
      <c r="D1681" s="3" t="s">
        <v>86</v>
      </c>
      <c r="E1681" s="3" t="s">
        <v>8</v>
      </c>
      <c r="F1681" s="5">
        <v>0</v>
      </c>
      <c r="G1681" s="5">
        <v>2454.48</v>
      </c>
      <c r="H1681" s="5">
        <f t="shared" si="52"/>
        <v>2454.48</v>
      </c>
      <c r="I1681" s="9">
        <f t="shared" si="53"/>
        <v>0</v>
      </c>
      <c r="J1681" s="3" t="s">
        <v>4603</v>
      </c>
    </row>
    <row r="1682" spans="1:10" ht="25.5">
      <c r="A1682" s="3" t="s">
        <v>1811</v>
      </c>
      <c r="B1682" s="3" t="s">
        <v>2560</v>
      </c>
      <c r="C1682" s="4">
        <v>178</v>
      </c>
      <c r="D1682" s="3" t="s">
        <v>92</v>
      </c>
      <c r="E1682" s="3" t="s">
        <v>8</v>
      </c>
      <c r="F1682" s="5">
        <v>0</v>
      </c>
      <c r="G1682" s="5">
        <v>13512.24</v>
      </c>
      <c r="H1682" s="5">
        <f t="shared" si="52"/>
        <v>13512.24</v>
      </c>
      <c r="I1682" s="9">
        <f t="shared" si="53"/>
        <v>0</v>
      </c>
      <c r="J1682" s="3" t="s">
        <v>4603</v>
      </c>
    </row>
    <row r="1683" spans="1:10" ht="25.5">
      <c r="A1683" s="3" t="s">
        <v>1811</v>
      </c>
      <c r="B1683" s="3" t="s">
        <v>2561</v>
      </c>
      <c r="C1683" s="4">
        <v>178</v>
      </c>
      <c r="D1683" s="3" t="s">
        <v>92</v>
      </c>
      <c r="E1683" s="3" t="s">
        <v>8</v>
      </c>
      <c r="F1683" s="5">
        <v>19772.7</v>
      </c>
      <c r="G1683" s="5">
        <v>15500.46</v>
      </c>
      <c r="H1683" s="5">
        <f t="shared" si="52"/>
        <v>-4272.2400000000016</v>
      </c>
      <c r="I1683" s="9">
        <f t="shared" si="53"/>
        <v>-0.21606760836911509</v>
      </c>
      <c r="J1683" s="3" t="s">
        <v>4603</v>
      </c>
    </row>
    <row r="1684" spans="1:10" ht="25.5">
      <c r="A1684" s="3" t="s">
        <v>1811</v>
      </c>
      <c r="B1684" s="3" t="s">
        <v>2562</v>
      </c>
      <c r="C1684" s="4">
        <v>187</v>
      </c>
      <c r="D1684" s="3" t="s">
        <v>460</v>
      </c>
      <c r="E1684" s="3" t="s">
        <v>8</v>
      </c>
      <c r="F1684" s="5">
        <v>9406.65</v>
      </c>
      <c r="G1684" s="5">
        <v>2923.56</v>
      </c>
      <c r="H1684" s="5">
        <f t="shared" si="52"/>
        <v>-6483.09</v>
      </c>
      <c r="I1684" s="9">
        <f t="shared" si="53"/>
        <v>-0.68920285117443503</v>
      </c>
      <c r="J1684" s="3" t="s">
        <v>4603</v>
      </c>
    </row>
    <row r="1685" spans="1:10" ht="25.5">
      <c r="A1685" s="3" t="s">
        <v>1811</v>
      </c>
      <c r="B1685" s="3" t="s">
        <v>2563</v>
      </c>
      <c r="C1685" s="4">
        <v>335</v>
      </c>
      <c r="D1685" s="3" t="s">
        <v>7</v>
      </c>
      <c r="E1685" s="3" t="s">
        <v>8</v>
      </c>
      <c r="F1685" s="5">
        <v>0</v>
      </c>
      <c r="G1685" s="5">
        <v>11835.54</v>
      </c>
      <c r="H1685" s="5">
        <f t="shared" si="52"/>
        <v>11835.54</v>
      </c>
      <c r="I1685" s="9">
        <f t="shared" si="53"/>
        <v>0</v>
      </c>
      <c r="J1685" s="3" t="s">
        <v>4603</v>
      </c>
    </row>
    <row r="1686" spans="1:10">
      <c r="A1686" s="3" t="s">
        <v>1811</v>
      </c>
      <c r="B1686" s="3" t="s">
        <v>2564</v>
      </c>
      <c r="C1686" s="4">
        <v>217</v>
      </c>
      <c r="D1686" s="3" t="s">
        <v>253</v>
      </c>
      <c r="E1686" s="3" t="s">
        <v>13</v>
      </c>
      <c r="F1686" s="5">
        <v>0</v>
      </c>
      <c r="G1686" s="5">
        <v>6519.6</v>
      </c>
      <c r="H1686" s="5">
        <f t="shared" si="52"/>
        <v>6519.6</v>
      </c>
      <c r="I1686" s="9">
        <f t="shared" si="53"/>
        <v>0</v>
      </c>
      <c r="J1686" s="3" t="s">
        <v>4603</v>
      </c>
    </row>
    <row r="1687" spans="1:10" ht="25.5">
      <c r="A1687" s="3" t="s">
        <v>1811</v>
      </c>
      <c r="B1687" s="3" t="s">
        <v>2565</v>
      </c>
      <c r="C1687" s="4">
        <v>178</v>
      </c>
      <c r="D1687" s="3" t="s">
        <v>92</v>
      </c>
      <c r="E1687" s="3" t="s">
        <v>8</v>
      </c>
      <c r="F1687" s="5">
        <v>0</v>
      </c>
      <c r="G1687" s="5">
        <v>3235.68</v>
      </c>
      <c r="H1687" s="5">
        <f t="shared" si="52"/>
        <v>3235.68</v>
      </c>
      <c r="I1687" s="9">
        <f t="shared" si="53"/>
        <v>0</v>
      </c>
      <c r="J1687" s="3" t="s">
        <v>4603</v>
      </c>
    </row>
    <row r="1688" spans="1:10">
      <c r="A1688" s="3" t="s">
        <v>1811</v>
      </c>
      <c r="B1688" s="3" t="s">
        <v>2566</v>
      </c>
      <c r="C1688" s="4">
        <v>315</v>
      </c>
      <c r="D1688" s="3" t="s">
        <v>79</v>
      </c>
      <c r="E1688" s="3" t="s">
        <v>8</v>
      </c>
      <c r="F1688" s="5">
        <v>0</v>
      </c>
      <c r="G1688" s="5">
        <v>2617.92</v>
      </c>
      <c r="H1688" s="5">
        <f t="shared" si="52"/>
        <v>2617.92</v>
      </c>
      <c r="I1688" s="9">
        <f t="shared" si="53"/>
        <v>0</v>
      </c>
      <c r="J1688" s="3" t="s">
        <v>4603</v>
      </c>
    </row>
    <row r="1689" spans="1:10" ht="25.5">
      <c r="A1689" s="3" t="s">
        <v>1811</v>
      </c>
      <c r="B1689" s="3" t="s">
        <v>2567</v>
      </c>
      <c r="C1689" s="4">
        <v>264</v>
      </c>
      <c r="D1689" s="3" t="s">
        <v>632</v>
      </c>
      <c r="E1689" s="3" t="s">
        <v>22</v>
      </c>
      <c r="F1689" s="5">
        <v>0</v>
      </c>
      <c r="G1689" s="5">
        <v>6435.84</v>
      </c>
      <c r="H1689" s="5">
        <f t="shared" si="52"/>
        <v>6435.84</v>
      </c>
      <c r="I1689" s="9">
        <f t="shared" si="53"/>
        <v>0</v>
      </c>
      <c r="J1689" s="3" t="s">
        <v>4603</v>
      </c>
    </row>
    <row r="1690" spans="1:10" ht="25.5">
      <c r="A1690" s="3" t="s">
        <v>1811</v>
      </c>
      <c r="B1690" s="3" t="s">
        <v>2568</v>
      </c>
      <c r="C1690" s="4">
        <v>317</v>
      </c>
      <c r="D1690" s="3" t="s">
        <v>54</v>
      </c>
      <c r="E1690" s="3" t="s">
        <v>18</v>
      </c>
      <c r="F1690" s="5">
        <v>0</v>
      </c>
      <c r="G1690" s="5">
        <v>2835.84</v>
      </c>
      <c r="H1690" s="5">
        <f t="shared" si="52"/>
        <v>2835.84</v>
      </c>
      <c r="I1690" s="9">
        <f t="shared" si="53"/>
        <v>0</v>
      </c>
      <c r="J1690" s="3" t="s">
        <v>4603</v>
      </c>
    </row>
    <row r="1691" spans="1:10" ht="38.25">
      <c r="A1691" s="3" t="s">
        <v>1811</v>
      </c>
      <c r="B1691" s="3" t="s">
        <v>2569</v>
      </c>
      <c r="C1691" s="4">
        <v>197</v>
      </c>
      <c r="D1691" s="3" t="s">
        <v>23</v>
      </c>
      <c r="E1691" s="3" t="s">
        <v>22</v>
      </c>
      <c r="F1691" s="5">
        <v>7323.3</v>
      </c>
      <c r="G1691" s="5">
        <v>0</v>
      </c>
      <c r="H1691" s="5">
        <f t="shared" si="52"/>
        <v>-7323.3</v>
      </c>
      <c r="I1691" s="9">
        <f t="shared" si="53"/>
        <v>-1</v>
      </c>
      <c r="J1691" s="3" t="s">
        <v>4603</v>
      </c>
    </row>
    <row r="1692" spans="1:10">
      <c r="A1692" s="3" t="s">
        <v>1811</v>
      </c>
      <c r="B1692" s="3" t="s">
        <v>2570</v>
      </c>
      <c r="C1692" s="4">
        <v>315</v>
      </c>
      <c r="D1692" s="3" t="s">
        <v>79</v>
      </c>
      <c r="E1692" s="3" t="s">
        <v>8</v>
      </c>
      <c r="F1692" s="5">
        <v>0</v>
      </c>
      <c r="G1692" s="5">
        <v>10733.46</v>
      </c>
      <c r="H1692" s="5">
        <f t="shared" si="52"/>
        <v>10733.46</v>
      </c>
      <c r="I1692" s="9">
        <f t="shared" si="53"/>
        <v>0</v>
      </c>
      <c r="J1692" s="3" t="s">
        <v>4603</v>
      </c>
    </row>
    <row r="1693" spans="1:10" ht="25.5">
      <c r="A1693" s="3" t="s">
        <v>1811</v>
      </c>
      <c r="B1693" s="3" t="s">
        <v>2571</v>
      </c>
      <c r="C1693" s="4">
        <v>197</v>
      </c>
      <c r="D1693" s="3" t="s">
        <v>23</v>
      </c>
      <c r="E1693" s="3" t="s">
        <v>22</v>
      </c>
      <c r="F1693" s="5">
        <v>15427.65</v>
      </c>
      <c r="G1693" s="5">
        <v>7423.32</v>
      </c>
      <c r="H1693" s="5">
        <f t="shared" si="52"/>
        <v>-8004.33</v>
      </c>
      <c r="I1693" s="9">
        <f t="shared" si="53"/>
        <v>-0.51883015235632124</v>
      </c>
      <c r="J1693" s="3" t="s">
        <v>4603</v>
      </c>
    </row>
    <row r="1694" spans="1:10">
      <c r="A1694" s="3" t="s">
        <v>1811</v>
      </c>
      <c r="B1694" s="3" t="s">
        <v>2572</v>
      </c>
      <c r="C1694" s="4">
        <v>231</v>
      </c>
      <c r="D1694" s="3" t="s">
        <v>89</v>
      </c>
      <c r="E1694" s="3" t="s">
        <v>8</v>
      </c>
      <c r="F1694" s="5">
        <v>5771.28</v>
      </c>
      <c r="G1694" s="5">
        <v>4314.4799999999996</v>
      </c>
      <c r="H1694" s="5">
        <f t="shared" si="52"/>
        <v>-1456.8000000000002</v>
      </c>
      <c r="I1694" s="9">
        <f t="shared" si="53"/>
        <v>-0.2524223395849795</v>
      </c>
      <c r="J1694" s="3" t="s">
        <v>4603</v>
      </c>
    </row>
    <row r="1695" spans="1:10" ht="25.5">
      <c r="A1695" s="3" t="s">
        <v>1811</v>
      </c>
      <c r="B1695" s="3" t="s">
        <v>2573</v>
      </c>
      <c r="C1695" s="4">
        <v>273</v>
      </c>
      <c r="D1695" s="3" t="s">
        <v>771</v>
      </c>
      <c r="E1695" s="3" t="s">
        <v>13</v>
      </c>
      <c r="F1695" s="5">
        <v>3880.86</v>
      </c>
      <c r="G1695" s="5">
        <v>0</v>
      </c>
      <c r="H1695" s="5">
        <f t="shared" si="52"/>
        <v>-3880.86</v>
      </c>
      <c r="I1695" s="9">
        <f t="shared" si="53"/>
        <v>-1</v>
      </c>
      <c r="J1695" s="3" t="s">
        <v>4603</v>
      </c>
    </row>
    <row r="1696" spans="1:10">
      <c r="A1696" s="3" t="s">
        <v>1811</v>
      </c>
      <c r="B1696" s="3" t="s">
        <v>2574</v>
      </c>
      <c r="C1696" s="4">
        <v>315</v>
      </c>
      <c r="D1696" s="3" t="s">
        <v>79</v>
      </c>
      <c r="E1696" s="3" t="s">
        <v>8</v>
      </c>
      <c r="F1696" s="5">
        <v>0</v>
      </c>
      <c r="G1696" s="5">
        <v>15054.84</v>
      </c>
      <c r="H1696" s="5">
        <f t="shared" si="52"/>
        <v>15054.84</v>
      </c>
      <c r="I1696" s="9">
        <f t="shared" si="53"/>
        <v>0</v>
      </c>
      <c r="J1696" s="3" t="s">
        <v>4603</v>
      </c>
    </row>
    <row r="1697" spans="1:10" ht="25.5">
      <c r="A1697" s="3" t="s">
        <v>1811</v>
      </c>
      <c r="B1697" s="3" t="s">
        <v>2575</v>
      </c>
      <c r="C1697" s="4">
        <v>264</v>
      </c>
      <c r="D1697" s="3" t="s">
        <v>632</v>
      </c>
      <c r="E1697" s="3" t="s">
        <v>22</v>
      </c>
      <c r="F1697" s="5">
        <v>0</v>
      </c>
      <c r="G1697" s="5">
        <v>2024.16</v>
      </c>
      <c r="H1697" s="5">
        <f t="shared" si="52"/>
        <v>2024.16</v>
      </c>
      <c r="I1697" s="9">
        <f t="shared" si="53"/>
        <v>0</v>
      </c>
      <c r="J1697" s="3" t="s">
        <v>4603</v>
      </c>
    </row>
    <row r="1698" spans="1:10" ht="25.5">
      <c r="A1698" s="3" t="s">
        <v>1811</v>
      </c>
      <c r="B1698" s="3" t="s">
        <v>2575</v>
      </c>
      <c r="C1698" s="4">
        <v>264</v>
      </c>
      <c r="D1698" s="3" t="s">
        <v>632</v>
      </c>
      <c r="E1698" s="3" t="s">
        <v>8</v>
      </c>
      <c r="F1698" s="5">
        <v>0</v>
      </c>
      <c r="G1698" s="5">
        <v>2024.16</v>
      </c>
      <c r="H1698" s="5">
        <f t="shared" si="52"/>
        <v>2024.16</v>
      </c>
      <c r="I1698" s="9">
        <f t="shared" si="53"/>
        <v>0</v>
      </c>
      <c r="J1698" s="3" t="s">
        <v>4603</v>
      </c>
    </row>
    <row r="1699" spans="1:10" ht="25.5">
      <c r="A1699" s="3" t="s">
        <v>1811</v>
      </c>
      <c r="B1699" s="3" t="s">
        <v>2576</v>
      </c>
      <c r="C1699" s="4">
        <v>327</v>
      </c>
      <c r="D1699" s="3" t="s">
        <v>76</v>
      </c>
      <c r="E1699" s="3" t="s">
        <v>8</v>
      </c>
      <c r="F1699" s="5">
        <v>14031.93</v>
      </c>
      <c r="G1699" s="5">
        <v>0</v>
      </c>
      <c r="H1699" s="5">
        <f t="shared" si="52"/>
        <v>-14031.93</v>
      </c>
      <c r="I1699" s="9">
        <f t="shared" si="53"/>
        <v>-1</v>
      </c>
      <c r="J1699" s="3" t="s">
        <v>4603</v>
      </c>
    </row>
    <row r="1700" spans="1:10" ht="25.5">
      <c r="A1700" s="3" t="s">
        <v>1811</v>
      </c>
      <c r="B1700" s="3" t="s">
        <v>2577</v>
      </c>
      <c r="C1700" s="4">
        <v>264</v>
      </c>
      <c r="D1700" s="3" t="s">
        <v>632</v>
      </c>
      <c r="E1700" s="3" t="s">
        <v>22</v>
      </c>
      <c r="F1700" s="5">
        <v>0</v>
      </c>
      <c r="G1700" s="5">
        <v>5150.6400000000003</v>
      </c>
      <c r="H1700" s="5">
        <f t="shared" si="52"/>
        <v>5150.6400000000003</v>
      </c>
      <c r="I1700" s="9">
        <f t="shared" si="53"/>
        <v>0</v>
      </c>
      <c r="J1700" s="3" t="s">
        <v>4603</v>
      </c>
    </row>
    <row r="1701" spans="1:10" ht="25.5">
      <c r="A1701" s="3" t="s">
        <v>1811</v>
      </c>
      <c r="B1701" s="3" t="s">
        <v>2577</v>
      </c>
      <c r="C1701" s="4">
        <v>264</v>
      </c>
      <c r="D1701" s="3" t="s">
        <v>632</v>
      </c>
      <c r="E1701" s="3" t="s">
        <v>8</v>
      </c>
      <c r="F1701" s="5">
        <v>0</v>
      </c>
      <c r="G1701" s="5">
        <v>5150.6400000000003</v>
      </c>
      <c r="H1701" s="5">
        <f t="shared" si="52"/>
        <v>5150.6400000000003</v>
      </c>
      <c r="I1701" s="9">
        <f t="shared" si="53"/>
        <v>0</v>
      </c>
      <c r="J1701" s="3" t="s">
        <v>4603</v>
      </c>
    </row>
    <row r="1702" spans="1:10" ht="25.5">
      <c r="A1702" s="3" t="s">
        <v>1811</v>
      </c>
      <c r="B1702" s="3" t="s">
        <v>2578</v>
      </c>
      <c r="C1702" s="4">
        <v>316</v>
      </c>
      <c r="D1702" s="3" t="s">
        <v>167</v>
      </c>
      <c r="E1702" s="3" t="s">
        <v>18</v>
      </c>
      <c r="F1702" s="5">
        <v>2622.09</v>
      </c>
      <c r="G1702" s="5">
        <v>0</v>
      </c>
      <c r="H1702" s="5">
        <f t="shared" si="52"/>
        <v>-2622.09</v>
      </c>
      <c r="I1702" s="9">
        <f t="shared" si="53"/>
        <v>-1</v>
      </c>
      <c r="J1702" s="3" t="s">
        <v>4603</v>
      </c>
    </row>
    <row r="1703" spans="1:10" ht="25.5">
      <c r="A1703" s="3" t="s">
        <v>1811</v>
      </c>
      <c r="B1703" s="3" t="s">
        <v>2579</v>
      </c>
      <c r="C1703" s="4">
        <v>327</v>
      </c>
      <c r="D1703" s="3" t="s">
        <v>76</v>
      </c>
      <c r="E1703" s="3" t="s">
        <v>8</v>
      </c>
      <c r="F1703" s="5">
        <v>4223.28</v>
      </c>
      <c r="G1703" s="5">
        <v>7202.7</v>
      </c>
      <c r="H1703" s="5">
        <f t="shared" si="52"/>
        <v>2979.42</v>
      </c>
      <c r="I1703" s="9">
        <f t="shared" si="53"/>
        <v>0.7054753651190544</v>
      </c>
      <c r="J1703" s="3" t="s">
        <v>4603</v>
      </c>
    </row>
    <row r="1704" spans="1:10" ht="25.5">
      <c r="A1704" s="3" t="s">
        <v>1811</v>
      </c>
      <c r="B1704" s="3" t="s">
        <v>2580</v>
      </c>
      <c r="C1704" s="4">
        <v>178</v>
      </c>
      <c r="D1704" s="3" t="s">
        <v>92</v>
      </c>
      <c r="E1704" s="3" t="s">
        <v>8</v>
      </c>
      <c r="F1704" s="5">
        <v>0</v>
      </c>
      <c r="G1704" s="5">
        <v>5261.37</v>
      </c>
      <c r="H1704" s="5">
        <f t="shared" si="52"/>
        <v>5261.37</v>
      </c>
      <c r="I1704" s="9">
        <f t="shared" si="53"/>
        <v>0</v>
      </c>
      <c r="J1704" s="3" t="s">
        <v>4603</v>
      </c>
    </row>
    <row r="1705" spans="1:10" ht="25.5">
      <c r="A1705" s="3" t="s">
        <v>1811</v>
      </c>
      <c r="B1705" s="3" t="s">
        <v>2581</v>
      </c>
      <c r="C1705" s="4">
        <v>317</v>
      </c>
      <c r="D1705" s="3" t="s">
        <v>54</v>
      </c>
      <c r="E1705" s="3" t="s">
        <v>18</v>
      </c>
      <c r="F1705" s="5">
        <v>5039.1899999999996</v>
      </c>
      <c r="G1705" s="5">
        <v>0</v>
      </c>
      <c r="H1705" s="5">
        <f t="shared" si="52"/>
        <v>-5039.1899999999996</v>
      </c>
      <c r="I1705" s="9">
        <f t="shared" si="53"/>
        <v>-1</v>
      </c>
      <c r="J1705" s="3" t="s">
        <v>4603</v>
      </c>
    </row>
    <row r="1706" spans="1:10" ht="25.5">
      <c r="A1706" s="3" t="s">
        <v>1811</v>
      </c>
      <c r="B1706" s="3" t="s">
        <v>2582</v>
      </c>
      <c r="C1706" s="4">
        <v>321</v>
      </c>
      <c r="D1706" s="3" t="s">
        <v>125</v>
      </c>
      <c r="E1706" s="3" t="s">
        <v>22</v>
      </c>
      <c r="F1706" s="5">
        <v>0</v>
      </c>
      <c r="G1706" s="5">
        <v>7875.9</v>
      </c>
      <c r="H1706" s="5">
        <f t="shared" si="52"/>
        <v>7875.9</v>
      </c>
      <c r="I1706" s="9">
        <f t="shared" si="53"/>
        <v>0</v>
      </c>
      <c r="J1706" s="3" t="s">
        <v>4603</v>
      </c>
    </row>
    <row r="1707" spans="1:10" ht="38.25">
      <c r="A1707" s="3" t="s">
        <v>1811</v>
      </c>
      <c r="B1707" s="3" t="s">
        <v>2583</v>
      </c>
      <c r="C1707" s="4">
        <v>143</v>
      </c>
      <c r="D1707" s="3" t="s">
        <v>21</v>
      </c>
      <c r="E1707" s="3" t="s">
        <v>22</v>
      </c>
      <c r="F1707" s="5">
        <v>4703.22</v>
      </c>
      <c r="G1707" s="5">
        <v>0</v>
      </c>
      <c r="H1707" s="5">
        <f t="shared" si="52"/>
        <v>-4703.22</v>
      </c>
      <c r="I1707" s="9">
        <f t="shared" si="53"/>
        <v>-1</v>
      </c>
      <c r="J1707" s="3" t="s">
        <v>4603</v>
      </c>
    </row>
    <row r="1708" spans="1:10" ht="25.5">
      <c r="A1708" s="3" t="s">
        <v>1811</v>
      </c>
      <c r="B1708" s="3" t="s">
        <v>2584</v>
      </c>
      <c r="C1708" s="4">
        <v>261</v>
      </c>
      <c r="D1708" s="3" t="s">
        <v>17</v>
      </c>
      <c r="E1708" s="3" t="s">
        <v>18</v>
      </c>
      <c r="F1708" s="5">
        <v>4373.22</v>
      </c>
      <c r="G1708" s="5">
        <v>3817.8</v>
      </c>
      <c r="H1708" s="5">
        <f t="shared" si="52"/>
        <v>-555.42000000000007</v>
      </c>
      <c r="I1708" s="9">
        <f t="shared" si="53"/>
        <v>-0.12700481567357691</v>
      </c>
      <c r="J1708" s="3" t="s">
        <v>4603</v>
      </c>
    </row>
    <row r="1709" spans="1:10" ht="25.5">
      <c r="A1709" s="3" t="s">
        <v>1811</v>
      </c>
      <c r="B1709" s="3" t="s">
        <v>2585</v>
      </c>
      <c r="C1709" s="4">
        <v>327</v>
      </c>
      <c r="D1709" s="3" t="s">
        <v>76</v>
      </c>
      <c r="E1709" s="3" t="s">
        <v>8</v>
      </c>
      <c r="F1709" s="5">
        <v>0</v>
      </c>
      <c r="G1709" s="5">
        <v>5140.78</v>
      </c>
      <c r="H1709" s="5">
        <f t="shared" si="52"/>
        <v>5140.78</v>
      </c>
      <c r="I1709" s="9">
        <f t="shared" si="53"/>
        <v>0</v>
      </c>
      <c r="J1709" s="3" t="s">
        <v>4603</v>
      </c>
    </row>
    <row r="1710" spans="1:10" ht="38.25">
      <c r="A1710" s="3" t="s">
        <v>1811</v>
      </c>
      <c r="B1710" s="3" t="s">
        <v>2586</v>
      </c>
      <c r="C1710" s="4">
        <v>41</v>
      </c>
      <c r="D1710" s="3" t="s">
        <v>106</v>
      </c>
      <c r="E1710" s="3" t="s">
        <v>22</v>
      </c>
      <c r="F1710" s="5">
        <v>0</v>
      </c>
      <c r="G1710" s="5">
        <v>6163.32</v>
      </c>
      <c r="H1710" s="5">
        <f t="shared" si="52"/>
        <v>6163.32</v>
      </c>
      <c r="I1710" s="9">
        <f t="shared" si="53"/>
        <v>0</v>
      </c>
      <c r="J1710" s="3" t="s">
        <v>4603</v>
      </c>
    </row>
    <row r="1711" spans="1:10" ht="51">
      <c r="A1711" s="3" t="s">
        <v>1811</v>
      </c>
      <c r="B1711" s="3" t="s">
        <v>2587</v>
      </c>
      <c r="C1711" s="4">
        <v>282</v>
      </c>
      <c r="D1711" s="3" t="s">
        <v>298</v>
      </c>
      <c r="E1711" s="3" t="s">
        <v>9</v>
      </c>
      <c r="F1711" s="5">
        <v>0</v>
      </c>
      <c r="G1711" s="5">
        <v>8099.3519999999999</v>
      </c>
      <c r="H1711" s="5">
        <f t="shared" si="52"/>
        <v>8099.3519999999999</v>
      </c>
      <c r="I1711" s="9">
        <f t="shared" si="53"/>
        <v>0</v>
      </c>
      <c r="J1711" s="3" t="s">
        <v>4603</v>
      </c>
    </row>
    <row r="1712" spans="1:10" ht="25.5">
      <c r="A1712" s="3" t="s">
        <v>1811</v>
      </c>
      <c r="B1712" s="3" t="s">
        <v>2588</v>
      </c>
      <c r="C1712" s="4">
        <v>187</v>
      </c>
      <c r="D1712" s="3" t="s">
        <v>460</v>
      </c>
      <c r="E1712" s="3" t="s">
        <v>8</v>
      </c>
      <c r="F1712" s="5">
        <v>3158.46</v>
      </c>
      <c r="G1712" s="5">
        <v>0</v>
      </c>
      <c r="H1712" s="5">
        <f t="shared" si="52"/>
        <v>-3158.46</v>
      </c>
      <c r="I1712" s="9">
        <f t="shared" si="53"/>
        <v>-1</v>
      </c>
      <c r="J1712" s="3" t="s">
        <v>4603</v>
      </c>
    </row>
    <row r="1713" spans="1:10" ht="51">
      <c r="A1713" s="3" t="s">
        <v>1811</v>
      </c>
      <c r="B1713" s="3" t="s">
        <v>2589</v>
      </c>
      <c r="C1713" s="4">
        <v>282</v>
      </c>
      <c r="D1713" s="3" t="s">
        <v>298</v>
      </c>
      <c r="E1713" s="3" t="s">
        <v>9</v>
      </c>
      <c r="F1713" s="5">
        <v>12663.96</v>
      </c>
      <c r="G1713" s="5">
        <v>0</v>
      </c>
      <c r="H1713" s="5">
        <f t="shared" si="52"/>
        <v>-12663.96</v>
      </c>
      <c r="I1713" s="9">
        <f t="shared" si="53"/>
        <v>-1</v>
      </c>
      <c r="J1713" s="3" t="s">
        <v>4603</v>
      </c>
    </row>
    <row r="1714" spans="1:10" ht="25.5">
      <c r="A1714" s="3" t="s">
        <v>1811</v>
      </c>
      <c r="B1714" s="3" t="s">
        <v>2590</v>
      </c>
      <c r="C1714" s="4">
        <v>315</v>
      </c>
      <c r="D1714" s="3" t="s">
        <v>79</v>
      </c>
      <c r="E1714" s="3" t="s">
        <v>8</v>
      </c>
      <c r="F1714" s="5">
        <v>20378.91</v>
      </c>
      <c r="G1714" s="5">
        <v>0</v>
      </c>
      <c r="H1714" s="5">
        <f t="shared" si="52"/>
        <v>-20378.91</v>
      </c>
      <c r="I1714" s="9">
        <f t="shared" si="53"/>
        <v>-1</v>
      </c>
      <c r="J1714" s="3" t="s">
        <v>4603</v>
      </c>
    </row>
    <row r="1715" spans="1:10" ht="25.5">
      <c r="A1715" s="3" t="s">
        <v>1811</v>
      </c>
      <c r="B1715" s="3" t="s">
        <v>2591</v>
      </c>
      <c r="C1715" s="4">
        <v>299</v>
      </c>
      <c r="D1715" s="3" t="s">
        <v>246</v>
      </c>
      <c r="E1715" s="3" t="s">
        <v>30</v>
      </c>
      <c r="F1715" s="5">
        <v>2375.46</v>
      </c>
      <c r="G1715" s="5">
        <v>0</v>
      </c>
      <c r="H1715" s="5">
        <f t="shared" si="52"/>
        <v>-2375.46</v>
      </c>
      <c r="I1715" s="9">
        <f t="shared" si="53"/>
        <v>-1</v>
      </c>
      <c r="J1715" s="3" t="s">
        <v>4603</v>
      </c>
    </row>
    <row r="1716" spans="1:10" ht="25.5">
      <c r="A1716" s="3" t="s">
        <v>1811</v>
      </c>
      <c r="B1716" s="3" t="s">
        <v>2592</v>
      </c>
      <c r="C1716" s="4">
        <v>270</v>
      </c>
      <c r="D1716" s="3" t="s">
        <v>312</v>
      </c>
      <c r="E1716" s="3" t="s">
        <v>30</v>
      </c>
      <c r="F1716" s="5">
        <v>3431.28</v>
      </c>
      <c r="G1716" s="5">
        <v>0</v>
      </c>
      <c r="H1716" s="5">
        <f t="shared" si="52"/>
        <v>-3431.28</v>
      </c>
      <c r="I1716" s="9">
        <f t="shared" si="53"/>
        <v>-1</v>
      </c>
      <c r="J1716" s="3" t="s">
        <v>4603</v>
      </c>
    </row>
    <row r="1717" spans="1:10" ht="25.5">
      <c r="A1717" s="3" t="s">
        <v>1811</v>
      </c>
      <c r="B1717" s="3" t="s">
        <v>2593</v>
      </c>
      <c r="C1717" s="4">
        <v>178</v>
      </c>
      <c r="D1717" s="3" t="s">
        <v>92</v>
      </c>
      <c r="E1717" s="3" t="s">
        <v>8</v>
      </c>
      <c r="F1717" s="5">
        <v>0</v>
      </c>
      <c r="G1717" s="5">
        <v>16743.36</v>
      </c>
      <c r="H1717" s="5">
        <f t="shared" si="52"/>
        <v>16743.36</v>
      </c>
      <c r="I1717" s="9">
        <f t="shared" si="53"/>
        <v>0</v>
      </c>
      <c r="J1717" s="3" t="s">
        <v>4603</v>
      </c>
    </row>
    <row r="1718" spans="1:10" ht="25.5">
      <c r="A1718" s="3" t="s">
        <v>1811</v>
      </c>
      <c r="B1718" s="3" t="s">
        <v>2594</v>
      </c>
      <c r="C1718" s="4">
        <v>23</v>
      </c>
      <c r="D1718" s="3" t="s">
        <v>71</v>
      </c>
      <c r="E1718" s="3" t="s">
        <v>8</v>
      </c>
      <c r="F1718" s="5">
        <v>5381.1</v>
      </c>
      <c r="G1718" s="5">
        <v>18337.41</v>
      </c>
      <c r="H1718" s="5">
        <f t="shared" si="52"/>
        <v>12956.31</v>
      </c>
      <c r="I1718" s="9">
        <f t="shared" si="53"/>
        <v>2.4077437698611805</v>
      </c>
      <c r="J1718" s="3" t="s">
        <v>4603</v>
      </c>
    </row>
    <row r="1719" spans="1:10" ht="38.25">
      <c r="A1719" s="3" t="s">
        <v>1811</v>
      </c>
      <c r="B1719" s="3" t="s">
        <v>2595</v>
      </c>
      <c r="C1719" s="4">
        <v>34</v>
      </c>
      <c r="D1719" s="3" t="s">
        <v>136</v>
      </c>
      <c r="E1719" s="3" t="s">
        <v>30</v>
      </c>
      <c r="F1719" s="5">
        <v>3743.34</v>
      </c>
      <c r="G1719" s="5">
        <v>0</v>
      </c>
      <c r="H1719" s="5">
        <f t="shared" si="52"/>
        <v>-3743.34</v>
      </c>
      <c r="I1719" s="9">
        <f t="shared" si="53"/>
        <v>-1</v>
      </c>
      <c r="J1719" s="3" t="s">
        <v>4603</v>
      </c>
    </row>
    <row r="1720" spans="1:10" ht="38.25">
      <c r="A1720" s="3" t="s">
        <v>1811</v>
      </c>
      <c r="B1720" s="3" t="s">
        <v>2596</v>
      </c>
      <c r="C1720" s="4">
        <v>38</v>
      </c>
      <c r="D1720" s="3" t="s">
        <v>229</v>
      </c>
      <c r="E1720" s="3" t="s">
        <v>30</v>
      </c>
      <c r="F1720" s="5">
        <v>12889.02</v>
      </c>
      <c r="G1720" s="5">
        <v>0</v>
      </c>
      <c r="H1720" s="5">
        <f t="shared" si="52"/>
        <v>-12889.02</v>
      </c>
      <c r="I1720" s="9">
        <f t="shared" si="53"/>
        <v>-1</v>
      </c>
      <c r="J1720" s="3" t="s">
        <v>4603</v>
      </c>
    </row>
    <row r="1721" spans="1:10">
      <c r="A1721" s="3" t="s">
        <v>1811</v>
      </c>
      <c r="B1721" s="3" t="s">
        <v>2597</v>
      </c>
      <c r="C1721" s="4">
        <v>315</v>
      </c>
      <c r="D1721" s="3" t="s">
        <v>79</v>
      </c>
      <c r="E1721" s="3" t="s">
        <v>8</v>
      </c>
      <c r="F1721" s="5">
        <v>3549</v>
      </c>
      <c r="G1721" s="5">
        <v>11125.945</v>
      </c>
      <c r="H1721" s="5">
        <f t="shared" si="52"/>
        <v>7576.9449999999997</v>
      </c>
      <c r="I1721" s="9">
        <f t="shared" si="53"/>
        <v>2.1349520991828683</v>
      </c>
      <c r="J1721" s="3" t="s">
        <v>4603</v>
      </c>
    </row>
    <row r="1722" spans="1:10" ht="25.5">
      <c r="A1722" s="3" t="s">
        <v>1811</v>
      </c>
      <c r="B1722" s="3" t="s">
        <v>2598</v>
      </c>
      <c r="C1722" s="4">
        <v>194</v>
      </c>
      <c r="D1722" s="3" t="s">
        <v>179</v>
      </c>
      <c r="E1722" s="3" t="s">
        <v>13</v>
      </c>
      <c r="F1722" s="5">
        <v>6975.48</v>
      </c>
      <c r="G1722" s="5">
        <v>16248.18</v>
      </c>
      <c r="H1722" s="5">
        <f t="shared" si="52"/>
        <v>9272.7000000000007</v>
      </c>
      <c r="I1722" s="9">
        <f t="shared" si="53"/>
        <v>1.329327874210807</v>
      </c>
      <c r="J1722" s="3" t="s">
        <v>4603</v>
      </c>
    </row>
    <row r="1723" spans="1:10" ht="25.5">
      <c r="A1723" s="3" t="s">
        <v>1811</v>
      </c>
      <c r="B1723" s="3" t="s">
        <v>2599</v>
      </c>
      <c r="C1723" s="4">
        <v>299</v>
      </c>
      <c r="D1723" s="3" t="s">
        <v>246</v>
      </c>
      <c r="E1723" s="3" t="s">
        <v>30</v>
      </c>
      <c r="F1723" s="5">
        <v>4739.04</v>
      </c>
      <c r="G1723" s="5">
        <v>0</v>
      </c>
      <c r="H1723" s="5">
        <f t="shared" si="52"/>
        <v>-4739.04</v>
      </c>
      <c r="I1723" s="9">
        <f t="shared" si="53"/>
        <v>-1</v>
      </c>
      <c r="J1723" s="3" t="s">
        <v>4603</v>
      </c>
    </row>
    <row r="1724" spans="1:10" ht="25.5">
      <c r="A1724" s="3" t="s">
        <v>1811</v>
      </c>
      <c r="B1724" s="3" t="s">
        <v>2600</v>
      </c>
      <c r="C1724" s="4">
        <v>208</v>
      </c>
      <c r="D1724" s="3" t="s">
        <v>58</v>
      </c>
      <c r="E1724" s="3" t="s">
        <v>13</v>
      </c>
      <c r="F1724" s="5">
        <v>0</v>
      </c>
      <c r="G1724" s="5">
        <v>17385.48</v>
      </c>
      <c r="H1724" s="5">
        <f t="shared" si="52"/>
        <v>17385.48</v>
      </c>
      <c r="I1724" s="9">
        <f t="shared" si="53"/>
        <v>0</v>
      </c>
      <c r="J1724" s="3" t="s">
        <v>4603</v>
      </c>
    </row>
    <row r="1725" spans="1:10" ht="38.25">
      <c r="A1725" s="3" t="s">
        <v>1811</v>
      </c>
      <c r="B1725" s="3" t="s">
        <v>2601</v>
      </c>
      <c r="C1725" s="4">
        <v>38</v>
      </c>
      <c r="D1725" s="3" t="s">
        <v>229</v>
      </c>
      <c r="E1725" s="3" t="s">
        <v>30</v>
      </c>
      <c r="F1725" s="5">
        <v>14325.84</v>
      </c>
      <c r="G1725" s="5">
        <v>0</v>
      </c>
      <c r="H1725" s="5">
        <f t="shared" si="52"/>
        <v>-14325.84</v>
      </c>
      <c r="I1725" s="9">
        <f t="shared" si="53"/>
        <v>-1</v>
      </c>
      <c r="J1725" s="3" t="s">
        <v>4603</v>
      </c>
    </row>
    <row r="1726" spans="1:10" ht="25.5">
      <c r="A1726" s="3" t="s">
        <v>1811</v>
      </c>
      <c r="B1726" s="3" t="s">
        <v>2602</v>
      </c>
      <c r="C1726" s="4">
        <v>321</v>
      </c>
      <c r="D1726" s="3" t="s">
        <v>125</v>
      </c>
      <c r="E1726" s="3" t="s">
        <v>22</v>
      </c>
      <c r="F1726" s="5">
        <v>10090.44</v>
      </c>
      <c r="G1726" s="5">
        <v>0</v>
      </c>
      <c r="H1726" s="5">
        <f t="shared" si="52"/>
        <v>-10090.44</v>
      </c>
      <c r="I1726" s="9">
        <f t="shared" si="53"/>
        <v>-1</v>
      </c>
      <c r="J1726" s="3" t="s">
        <v>4603</v>
      </c>
    </row>
    <row r="1727" spans="1:10" ht="38.25">
      <c r="A1727" s="3" t="s">
        <v>1811</v>
      </c>
      <c r="B1727" s="3" t="s">
        <v>2603</v>
      </c>
      <c r="C1727" s="4">
        <v>231</v>
      </c>
      <c r="D1727" s="3" t="s">
        <v>89</v>
      </c>
      <c r="E1727" s="3" t="s">
        <v>8</v>
      </c>
      <c r="F1727" s="5">
        <v>4763.16</v>
      </c>
      <c r="G1727" s="5">
        <v>5730.84</v>
      </c>
      <c r="H1727" s="5">
        <f t="shared" si="52"/>
        <v>967.68000000000029</v>
      </c>
      <c r="I1727" s="9">
        <f t="shared" si="53"/>
        <v>0.20315924722243217</v>
      </c>
      <c r="J1727" s="3" t="s">
        <v>4603</v>
      </c>
    </row>
    <row r="1728" spans="1:10" ht="25.5">
      <c r="A1728" s="3" t="s">
        <v>1811</v>
      </c>
      <c r="B1728" s="3" t="s">
        <v>2604</v>
      </c>
      <c r="C1728" s="4">
        <v>296</v>
      </c>
      <c r="D1728" s="3" t="s">
        <v>137</v>
      </c>
      <c r="E1728" s="3" t="s">
        <v>18</v>
      </c>
      <c r="F1728" s="5">
        <v>4085.88</v>
      </c>
      <c r="G1728" s="5">
        <v>0</v>
      </c>
      <c r="H1728" s="5">
        <f t="shared" si="52"/>
        <v>-4085.88</v>
      </c>
      <c r="I1728" s="9">
        <f t="shared" si="53"/>
        <v>-1</v>
      </c>
      <c r="J1728" s="3" t="s">
        <v>4603</v>
      </c>
    </row>
    <row r="1729" spans="1:10" ht="25.5">
      <c r="A1729" s="3" t="s">
        <v>1811</v>
      </c>
      <c r="B1729" s="3" t="s">
        <v>2604</v>
      </c>
      <c r="C1729" s="4">
        <v>296</v>
      </c>
      <c r="D1729" s="3" t="s">
        <v>137</v>
      </c>
      <c r="E1729" s="3" t="s">
        <v>8</v>
      </c>
      <c r="F1729" s="5">
        <v>4085.88</v>
      </c>
      <c r="G1729" s="5">
        <v>0</v>
      </c>
      <c r="H1729" s="5">
        <f t="shared" si="52"/>
        <v>-4085.88</v>
      </c>
      <c r="I1729" s="9">
        <f t="shared" si="53"/>
        <v>-1</v>
      </c>
      <c r="J1729" s="3" t="s">
        <v>4603</v>
      </c>
    </row>
    <row r="1730" spans="1:10" ht="25.5">
      <c r="A1730" s="3" t="s">
        <v>1811</v>
      </c>
      <c r="B1730" s="3" t="s">
        <v>2605</v>
      </c>
      <c r="C1730" s="4">
        <v>327</v>
      </c>
      <c r="D1730" s="3" t="s">
        <v>76</v>
      </c>
      <c r="E1730" s="3" t="s">
        <v>8</v>
      </c>
      <c r="F1730" s="5">
        <v>0</v>
      </c>
      <c r="G1730" s="5">
        <v>5090.8500000000004</v>
      </c>
      <c r="H1730" s="5">
        <f t="shared" si="52"/>
        <v>5090.8500000000004</v>
      </c>
      <c r="I1730" s="9">
        <f t="shared" si="53"/>
        <v>0</v>
      </c>
      <c r="J1730" s="3" t="s">
        <v>4603</v>
      </c>
    </row>
    <row r="1731" spans="1:10" ht="25.5">
      <c r="A1731" s="3" t="s">
        <v>1811</v>
      </c>
      <c r="B1731" s="3" t="s">
        <v>2606</v>
      </c>
      <c r="C1731" s="4">
        <v>23</v>
      </c>
      <c r="D1731" s="3" t="s">
        <v>71</v>
      </c>
      <c r="E1731" s="3" t="s">
        <v>8</v>
      </c>
      <c r="F1731" s="5">
        <v>3791.52</v>
      </c>
      <c r="G1731" s="5">
        <v>0</v>
      </c>
      <c r="H1731" s="5">
        <f t="shared" ref="H1731:H1794" si="54">G1731-F1731</f>
        <v>-3791.52</v>
      </c>
      <c r="I1731" s="9">
        <f t="shared" ref="I1731:I1794" si="55">IFERROR(G1731/F1731-1,0)</f>
        <v>-1</v>
      </c>
      <c r="J1731" s="3" t="s">
        <v>4603</v>
      </c>
    </row>
    <row r="1732" spans="1:10" ht="25.5">
      <c r="A1732" s="3" t="s">
        <v>1811</v>
      </c>
      <c r="B1732" s="3" t="s">
        <v>2607</v>
      </c>
      <c r="C1732" s="4">
        <v>178</v>
      </c>
      <c r="D1732" s="3" t="s">
        <v>92</v>
      </c>
      <c r="E1732" s="3" t="s">
        <v>8</v>
      </c>
      <c r="F1732" s="5">
        <v>7618.8</v>
      </c>
      <c r="G1732" s="5">
        <v>7175.52</v>
      </c>
      <c r="H1732" s="5">
        <f t="shared" si="54"/>
        <v>-443.27999999999975</v>
      </c>
      <c r="I1732" s="9">
        <f t="shared" si="55"/>
        <v>-5.8182390927705163E-2</v>
      </c>
      <c r="J1732" s="3" t="s">
        <v>4603</v>
      </c>
    </row>
    <row r="1733" spans="1:10" ht="25.5">
      <c r="A1733" s="3" t="s">
        <v>1811</v>
      </c>
      <c r="B1733" s="3" t="s">
        <v>2608</v>
      </c>
      <c r="C1733" s="4">
        <v>299</v>
      </c>
      <c r="D1733" s="3" t="s">
        <v>246</v>
      </c>
      <c r="E1733" s="3" t="s">
        <v>30</v>
      </c>
      <c r="F1733" s="5">
        <v>14673.36</v>
      </c>
      <c r="G1733" s="5">
        <v>12160.98</v>
      </c>
      <c r="H1733" s="5">
        <f t="shared" si="54"/>
        <v>-2512.380000000001</v>
      </c>
      <c r="I1733" s="9">
        <f t="shared" si="55"/>
        <v>-0.17122049755475233</v>
      </c>
      <c r="J1733" s="3" t="s">
        <v>4603</v>
      </c>
    </row>
    <row r="1734" spans="1:10" ht="25.5">
      <c r="A1734" s="3" t="s">
        <v>1811</v>
      </c>
      <c r="B1734" s="3" t="s">
        <v>2609</v>
      </c>
      <c r="C1734" s="4">
        <v>328</v>
      </c>
      <c r="D1734" s="3" t="s">
        <v>158</v>
      </c>
      <c r="E1734" s="3" t="s">
        <v>22</v>
      </c>
      <c r="F1734" s="5">
        <v>6571.95</v>
      </c>
      <c r="G1734" s="5">
        <v>0</v>
      </c>
      <c r="H1734" s="5">
        <f t="shared" si="54"/>
        <v>-6571.95</v>
      </c>
      <c r="I1734" s="9">
        <f t="shared" si="55"/>
        <v>-1</v>
      </c>
      <c r="J1734" s="3" t="s">
        <v>4603</v>
      </c>
    </row>
    <row r="1735" spans="1:10" ht="25.5">
      <c r="A1735" s="3" t="s">
        <v>1811</v>
      </c>
      <c r="B1735" s="3" t="s">
        <v>2610</v>
      </c>
      <c r="C1735" s="4">
        <v>232</v>
      </c>
      <c r="D1735" s="3" t="s">
        <v>95</v>
      </c>
      <c r="E1735" s="3" t="s">
        <v>13</v>
      </c>
      <c r="F1735" s="5">
        <v>0</v>
      </c>
      <c r="G1735" s="5">
        <v>7439.37</v>
      </c>
      <c r="H1735" s="5">
        <f t="shared" si="54"/>
        <v>7439.37</v>
      </c>
      <c r="I1735" s="9">
        <f t="shared" si="55"/>
        <v>0</v>
      </c>
      <c r="J1735" s="3" t="s">
        <v>4603</v>
      </c>
    </row>
    <row r="1736" spans="1:10" ht="25.5">
      <c r="A1736" s="3" t="s">
        <v>1811</v>
      </c>
      <c r="B1736" s="3" t="s">
        <v>2611</v>
      </c>
      <c r="C1736" s="4">
        <v>261</v>
      </c>
      <c r="D1736" s="3" t="s">
        <v>17</v>
      </c>
      <c r="E1736" s="3" t="s">
        <v>18</v>
      </c>
      <c r="F1736" s="5">
        <v>8536.59</v>
      </c>
      <c r="G1736" s="5">
        <v>5427</v>
      </c>
      <c r="H1736" s="5">
        <f t="shared" si="54"/>
        <v>-3109.59</v>
      </c>
      <c r="I1736" s="9">
        <f t="shared" si="55"/>
        <v>-0.36426605939842494</v>
      </c>
      <c r="J1736" s="3" t="s">
        <v>4603</v>
      </c>
    </row>
    <row r="1737" spans="1:10" ht="38.25">
      <c r="A1737" s="3" t="s">
        <v>1811</v>
      </c>
      <c r="B1737" s="3" t="s">
        <v>2612</v>
      </c>
      <c r="C1737" s="4">
        <v>45</v>
      </c>
      <c r="D1737" s="3" t="s">
        <v>16</v>
      </c>
      <c r="E1737" s="3" t="s">
        <v>8</v>
      </c>
      <c r="F1737" s="5">
        <v>10102.5</v>
      </c>
      <c r="G1737" s="5">
        <v>11237.52</v>
      </c>
      <c r="H1737" s="5">
        <f t="shared" si="54"/>
        <v>1135.0200000000004</v>
      </c>
      <c r="I1737" s="9">
        <f t="shared" si="55"/>
        <v>0.11235040831477372</v>
      </c>
      <c r="J1737" s="3" t="s">
        <v>4603</v>
      </c>
    </row>
    <row r="1738" spans="1:10" ht="25.5">
      <c r="A1738" s="3" t="s">
        <v>1811</v>
      </c>
      <c r="B1738" s="3" t="s">
        <v>2613</v>
      </c>
      <c r="C1738" s="4">
        <v>264</v>
      </c>
      <c r="D1738" s="3" t="s">
        <v>632</v>
      </c>
      <c r="E1738" s="3" t="s">
        <v>18</v>
      </c>
      <c r="F1738" s="5">
        <v>2752.5</v>
      </c>
      <c r="G1738" s="5">
        <v>0</v>
      </c>
      <c r="H1738" s="5">
        <f t="shared" si="54"/>
        <v>-2752.5</v>
      </c>
      <c r="I1738" s="9">
        <f t="shared" si="55"/>
        <v>-1</v>
      </c>
      <c r="J1738" s="3" t="s">
        <v>4603</v>
      </c>
    </row>
    <row r="1739" spans="1:10" ht="25.5">
      <c r="A1739" s="3" t="s">
        <v>1811</v>
      </c>
      <c r="B1739" s="3" t="s">
        <v>2613</v>
      </c>
      <c r="C1739" s="4">
        <v>264</v>
      </c>
      <c r="D1739" s="3" t="s">
        <v>632</v>
      </c>
      <c r="E1739" s="3" t="s">
        <v>22</v>
      </c>
      <c r="F1739" s="5">
        <v>2752.5</v>
      </c>
      <c r="G1739" s="5">
        <v>0</v>
      </c>
      <c r="H1739" s="5">
        <f t="shared" si="54"/>
        <v>-2752.5</v>
      </c>
      <c r="I1739" s="9">
        <f t="shared" si="55"/>
        <v>-1</v>
      </c>
      <c r="J1739" s="3" t="s">
        <v>4603</v>
      </c>
    </row>
    <row r="1740" spans="1:10" ht="25.5">
      <c r="A1740" s="3" t="s">
        <v>1811</v>
      </c>
      <c r="B1740" s="3" t="s">
        <v>2614</v>
      </c>
      <c r="C1740" s="4">
        <v>240</v>
      </c>
      <c r="D1740" s="3" t="s">
        <v>152</v>
      </c>
      <c r="E1740" s="3" t="s">
        <v>13</v>
      </c>
      <c r="F1740" s="5">
        <v>8138.4</v>
      </c>
      <c r="G1740" s="5">
        <v>0</v>
      </c>
      <c r="H1740" s="5">
        <f t="shared" si="54"/>
        <v>-8138.4</v>
      </c>
      <c r="I1740" s="9">
        <f t="shared" si="55"/>
        <v>-1</v>
      </c>
      <c r="J1740" s="3" t="s">
        <v>4603</v>
      </c>
    </row>
    <row r="1741" spans="1:10" ht="25.5">
      <c r="A1741" s="3" t="s">
        <v>1811</v>
      </c>
      <c r="B1741" s="3" t="s">
        <v>2615</v>
      </c>
      <c r="C1741" s="4">
        <v>317</v>
      </c>
      <c r="D1741" s="3" t="s">
        <v>54</v>
      </c>
      <c r="E1741" s="3" t="s">
        <v>18</v>
      </c>
      <c r="F1741" s="5">
        <v>0</v>
      </c>
      <c r="G1741" s="5">
        <v>5513.04</v>
      </c>
      <c r="H1741" s="5">
        <f t="shared" si="54"/>
        <v>5513.04</v>
      </c>
      <c r="I1741" s="9">
        <f t="shared" si="55"/>
        <v>0</v>
      </c>
      <c r="J1741" s="3" t="s">
        <v>4603</v>
      </c>
    </row>
    <row r="1742" spans="1:10">
      <c r="A1742" s="3" t="s">
        <v>1811</v>
      </c>
      <c r="B1742" s="3" t="s">
        <v>2616</v>
      </c>
      <c r="C1742" s="4">
        <v>232</v>
      </c>
      <c r="D1742" s="3" t="s">
        <v>95</v>
      </c>
      <c r="E1742" s="3" t="s">
        <v>13</v>
      </c>
      <c r="F1742" s="5">
        <v>0</v>
      </c>
      <c r="G1742" s="5">
        <v>5943.36</v>
      </c>
      <c r="H1742" s="5">
        <f t="shared" si="54"/>
        <v>5943.36</v>
      </c>
      <c r="I1742" s="9">
        <f t="shared" si="55"/>
        <v>0</v>
      </c>
      <c r="J1742" s="3" t="s">
        <v>4603</v>
      </c>
    </row>
    <row r="1743" spans="1:10">
      <c r="A1743" s="3" t="s">
        <v>1811</v>
      </c>
      <c r="B1743" s="3" t="s">
        <v>2617</v>
      </c>
      <c r="C1743" s="4">
        <v>315</v>
      </c>
      <c r="D1743" s="3" t="s">
        <v>79</v>
      </c>
      <c r="E1743" s="3" t="s">
        <v>8</v>
      </c>
      <c r="F1743" s="5">
        <v>6022.38</v>
      </c>
      <c r="G1743" s="5">
        <v>0</v>
      </c>
      <c r="H1743" s="5">
        <f t="shared" si="54"/>
        <v>-6022.38</v>
      </c>
      <c r="I1743" s="9">
        <f t="shared" si="55"/>
        <v>-1</v>
      </c>
      <c r="J1743" s="3" t="s">
        <v>4603</v>
      </c>
    </row>
    <row r="1744" spans="1:10" ht="25.5">
      <c r="A1744" s="3" t="s">
        <v>1811</v>
      </c>
      <c r="B1744" s="3" t="s">
        <v>2618</v>
      </c>
      <c r="C1744" s="4">
        <v>327</v>
      </c>
      <c r="D1744" s="3" t="s">
        <v>76</v>
      </c>
      <c r="E1744" s="3" t="s">
        <v>8</v>
      </c>
      <c r="F1744" s="5">
        <v>15321.81</v>
      </c>
      <c r="G1744" s="5">
        <v>11246.49</v>
      </c>
      <c r="H1744" s="5">
        <f t="shared" si="54"/>
        <v>-4075.3199999999997</v>
      </c>
      <c r="I1744" s="9">
        <f t="shared" si="55"/>
        <v>-0.26598163010767006</v>
      </c>
      <c r="J1744" s="3" t="s">
        <v>4603</v>
      </c>
    </row>
    <row r="1745" spans="1:10" ht="51">
      <c r="A1745" s="3" t="s">
        <v>1811</v>
      </c>
      <c r="B1745" s="3" t="s">
        <v>2619</v>
      </c>
      <c r="C1745" s="4">
        <v>282</v>
      </c>
      <c r="D1745" s="3" t="s">
        <v>298</v>
      </c>
      <c r="E1745" s="3" t="s">
        <v>9</v>
      </c>
      <c r="F1745" s="5">
        <v>22148.880000000001</v>
      </c>
      <c r="G1745" s="5">
        <v>0</v>
      </c>
      <c r="H1745" s="5">
        <f t="shared" si="54"/>
        <v>-22148.880000000001</v>
      </c>
      <c r="I1745" s="9">
        <f t="shared" si="55"/>
        <v>-1</v>
      </c>
      <c r="J1745" s="3" t="s">
        <v>4603</v>
      </c>
    </row>
    <row r="1746" spans="1:10" ht="25.5">
      <c r="A1746" s="3" t="s">
        <v>1811</v>
      </c>
      <c r="B1746" s="3" t="s">
        <v>2620</v>
      </c>
      <c r="C1746" s="4">
        <v>194</v>
      </c>
      <c r="D1746" s="3" t="s">
        <v>179</v>
      </c>
      <c r="E1746" s="3" t="s">
        <v>13</v>
      </c>
      <c r="F1746" s="5">
        <v>24585.99</v>
      </c>
      <c r="G1746" s="5">
        <v>50391.66</v>
      </c>
      <c r="H1746" s="5">
        <f t="shared" si="54"/>
        <v>25805.670000000002</v>
      </c>
      <c r="I1746" s="9">
        <f t="shared" si="55"/>
        <v>1.0496087405876273</v>
      </c>
      <c r="J1746" s="3" t="s">
        <v>4603</v>
      </c>
    </row>
    <row r="1747" spans="1:10" ht="25.5">
      <c r="A1747" s="3" t="s">
        <v>1811</v>
      </c>
      <c r="B1747" s="3" t="s">
        <v>2621</v>
      </c>
      <c r="C1747" s="4">
        <v>194</v>
      </c>
      <c r="D1747" s="3" t="s">
        <v>179</v>
      </c>
      <c r="E1747" s="3" t="s">
        <v>13</v>
      </c>
      <c r="F1747" s="5">
        <v>6021.12</v>
      </c>
      <c r="G1747" s="5">
        <v>0</v>
      </c>
      <c r="H1747" s="5">
        <f t="shared" si="54"/>
        <v>-6021.12</v>
      </c>
      <c r="I1747" s="9">
        <f t="shared" si="55"/>
        <v>-1</v>
      </c>
      <c r="J1747" s="3" t="s">
        <v>4603</v>
      </c>
    </row>
    <row r="1748" spans="1:10" ht="25.5">
      <c r="A1748" s="3" t="s">
        <v>1811</v>
      </c>
      <c r="B1748" s="3" t="s">
        <v>2622</v>
      </c>
      <c r="C1748" s="4">
        <v>335</v>
      </c>
      <c r="D1748" s="3" t="s">
        <v>7</v>
      </c>
      <c r="E1748" s="3" t="s">
        <v>8</v>
      </c>
      <c r="F1748" s="5">
        <v>4808.28</v>
      </c>
      <c r="G1748" s="5">
        <v>27161.64</v>
      </c>
      <c r="H1748" s="5">
        <f t="shared" si="54"/>
        <v>22353.360000000001</v>
      </c>
      <c r="I1748" s="9">
        <f t="shared" si="55"/>
        <v>4.6489305947241011</v>
      </c>
      <c r="J1748" s="3" t="s">
        <v>4603</v>
      </c>
    </row>
    <row r="1749" spans="1:10" ht="25.5">
      <c r="A1749" s="3" t="s">
        <v>1811</v>
      </c>
      <c r="B1749" s="3" t="s">
        <v>2623</v>
      </c>
      <c r="C1749" s="4">
        <v>187</v>
      </c>
      <c r="D1749" s="3" t="s">
        <v>460</v>
      </c>
      <c r="E1749" s="3" t="s">
        <v>8</v>
      </c>
      <c r="F1749" s="5">
        <v>0</v>
      </c>
      <c r="G1749" s="5">
        <v>21920.22</v>
      </c>
      <c r="H1749" s="5">
        <f t="shared" si="54"/>
        <v>21920.22</v>
      </c>
      <c r="I1749" s="9">
        <f t="shared" si="55"/>
        <v>0</v>
      </c>
      <c r="J1749" s="3" t="s">
        <v>4603</v>
      </c>
    </row>
    <row r="1750" spans="1:10" ht="25.5">
      <c r="A1750" s="3" t="s">
        <v>1811</v>
      </c>
      <c r="B1750" s="3" t="s">
        <v>2624</v>
      </c>
      <c r="C1750" s="4">
        <v>327</v>
      </c>
      <c r="D1750" s="3" t="s">
        <v>76</v>
      </c>
      <c r="E1750" s="3" t="s">
        <v>8</v>
      </c>
      <c r="F1750" s="5">
        <v>0</v>
      </c>
      <c r="G1750" s="5">
        <v>9072.7800000000007</v>
      </c>
      <c r="H1750" s="5">
        <f t="shared" si="54"/>
        <v>9072.7800000000007</v>
      </c>
      <c r="I1750" s="9">
        <f t="shared" si="55"/>
        <v>0</v>
      </c>
      <c r="J1750" s="3" t="s">
        <v>4603</v>
      </c>
    </row>
    <row r="1751" spans="1:10" ht="25.5">
      <c r="A1751" s="3" t="s">
        <v>1811</v>
      </c>
      <c r="B1751" s="3" t="s">
        <v>2625</v>
      </c>
      <c r="C1751" s="4">
        <v>327</v>
      </c>
      <c r="D1751" s="3" t="s">
        <v>76</v>
      </c>
      <c r="E1751" s="3" t="s">
        <v>8</v>
      </c>
      <c r="F1751" s="5">
        <v>0</v>
      </c>
      <c r="G1751" s="5">
        <v>2563.5</v>
      </c>
      <c r="H1751" s="5">
        <f t="shared" si="54"/>
        <v>2563.5</v>
      </c>
      <c r="I1751" s="9">
        <f t="shared" si="55"/>
        <v>0</v>
      </c>
      <c r="J1751" s="3" t="s">
        <v>4603</v>
      </c>
    </row>
    <row r="1752" spans="1:10">
      <c r="A1752" s="3" t="s">
        <v>1811</v>
      </c>
      <c r="B1752" s="3" t="s">
        <v>2626</v>
      </c>
      <c r="C1752" s="4">
        <v>217</v>
      </c>
      <c r="D1752" s="3" t="s">
        <v>253</v>
      </c>
      <c r="E1752" s="3" t="s">
        <v>13</v>
      </c>
      <c r="F1752" s="5">
        <v>4427.28</v>
      </c>
      <c r="G1752" s="5">
        <v>0</v>
      </c>
      <c r="H1752" s="5">
        <f t="shared" si="54"/>
        <v>-4427.28</v>
      </c>
      <c r="I1752" s="9">
        <f t="shared" si="55"/>
        <v>-1</v>
      </c>
      <c r="J1752" s="3" t="s">
        <v>4603</v>
      </c>
    </row>
    <row r="1753" spans="1:10" ht="25.5">
      <c r="A1753" s="3" t="s">
        <v>1811</v>
      </c>
      <c r="B1753" s="3" t="s">
        <v>2627</v>
      </c>
      <c r="C1753" s="4">
        <v>317</v>
      </c>
      <c r="D1753" s="3" t="s">
        <v>54</v>
      </c>
      <c r="E1753" s="3" t="s">
        <v>18</v>
      </c>
      <c r="F1753" s="5">
        <v>2386.44</v>
      </c>
      <c r="G1753" s="5">
        <v>2894.04</v>
      </c>
      <c r="H1753" s="5">
        <f t="shared" si="54"/>
        <v>507.59999999999991</v>
      </c>
      <c r="I1753" s="9">
        <f t="shared" si="55"/>
        <v>0.21270176497209237</v>
      </c>
      <c r="J1753" s="3" t="s">
        <v>4603</v>
      </c>
    </row>
    <row r="1754" spans="1:10" ht="25.5">
      <c r="A1754" s="3" t="s">
        <v>1811</v>
      </c>
      <c r="B1754" s="3" t="s">
        <v>2628</v>
      </c>
      <c r="C1754" s="4">
        <v>320</v>
      </c>
      <c r="D1754" s="3" t="s">
        <v>188</v>
      </c>
      <c r="E1754" s="3" t="s">
        <v>30</v>
      </c>
      <c r="F1754" s="5">
        <v>0</v>
      </c>
      <c r="G1754" s="5">
        <v>7199.64</v>
      </c>
      <c r="H1754" s="5">
        <f t="shared" si="54"/>
        <v>7199.64</v>
      </c>
      <c r="I1754" s="9">
        <f t="shared" si="55"/>
        <v>0</v>
      </c>
      <c r="J1754" s="3" t="s">
        <v>4603</v>
      </c>
    </row>
    <row r="1755" spans="1:10" ht="25.5">
      <c r="A1755" s="3" t="s">
        <v>1811</v>
      </c>
      <c r="B1755" s="3" t="s">
        <v>2629</v>
      </c>
      <c r="C1755" s="4">
        <v>15</v>
      </c>
      <c r="D1755" s="3" t="s">
        <v>33</v>
      </c>
      <c r="E1755" s="3" t="s">
        <v>13</v>
      </c>
      <c r="F1755" s="5">
        <v>0</v>
      </c>
      <c r="G1755" s="5">
        <v>40699.379999999997</v>
      </c>
      <c r="H1755" s="5">
        <f t="shared" si="54"/>
        <v>40699.379999999997</v>
      </c>
      <c r="I1755" s="9">
        <f t="shared" si="55"/>
        <v>0</v>
      </c>
      <c r="J1755" s="3" t="s">
        <v>4603</v>
      </c>
    </row>
    <row r="1756" spans="1:10" ht="25.5">
      <c r="A1756" s="3" t="s">
        <v>1811</v>
      </c>
      <c r="B1756" s="3" t="s">
        <v>2630</v>
      </c>
      <c r="C1756" s="4">
        <v>15</v>
      </c>
      <c r="D1756" s="3" t="s">
        <v>33</v>
      </c>
      <c r="E1756" s="3" t="s">
        <v>13</v>
      </c>
      <c r="F1756" s="5">
        <v>0</v>
      </c>
      <c r="G1756" s="5">
        <v>8587.0499999999993</v>
      </c>
      <c r="H1756" s="5">
        <f t="shared" si="54"/>
        <v>8587.0499999999993</v>
      </c>
      <c r="I1756" s="9">
        <f t="shared" si="55"/>
        <v>0</v>
      </c>
      <c r="J1756" s="3" t="s">
        <v>4603</v>
      </c>
    </row>
    <row r="1757" spans="1:10" ht="25.5">
      <c r="A1757" s="3" t="s">
        <v>1811</v>
      </c>
      <c r="B1757" s="3" t="s">
        <v>2631</v>
      </c>
      <c r="C1757" s="4">
        <v>74</v>
      </c>
      <c r="D1757" s="3" t="s">
        <v>86</v>
      </c>
      <c r="E1757" s="3" t="s">
        <v>8</v>
      </c>
      <c r="F1757" s="5">
        <v>0</v>
      </c>
      <c r="G1757" s="5">
        <v>6102.66</v>
      </c>
      <c r="H1757" s="5">
        <f t="shared" si="54"/>
        <v>6102.66</v>
      </c>
      <c r="I1757" s="9">
        <f t="shared" si="55"/>
        <v>0</v>
      </c>
      <c r="J1757" s="3" t="s">
        <v>4603</v>
      </c>
    </row>
    <row r="1758" spans="1:10" ht="25.5">
      <c r="A1758" s="3" t="s">
        <v>1811</v>
      </c>
      <c r="B1758" s="3" t="s">
        <v>2632</v>
      </c>
      <c r="C1758" s="4">
        <v>194</v>
      </c>
      <c r="D1758" s="3" t="s">
        <v>179</v>
      </c>
      <c r="E1758" s="3" t="s">
        <v>13</v>
      </c>
      <c r="F1758" s="5">
        <v>0</v>
      </c>
      <c r="G1758" s="5">
        <v>19350.330000000002</v>
      </c>
      <c r="H1758" s="5">
        <f t="shared" si="54"/>
        <v>19350.330000000002</v>
      </c>
      <c r="I1758" s="9">
        <f t="shared" si="55"/>
        <v>0</v>
      </c>
      <c r="J1758" s="3" t="s">
        <v>4603</v>
      </c>
    </row>
    <row r="1759" spans="1:10" ht="25.5">
      <c r="A1759" s="3" t="s">
        <v>1811</v>
      </c>
      <c r="B1759" s="3" t="s">
        <v>2633</v>
      </c>
      <c r="C1759" s="4">
        <v>296</v>
      </c>
      <c r="D1759" s="3" t="s">
        <v>137</v>
      </c>
      <c r="E1759" s="3" t="s">
        <v>18</v>
      </c>
      <c r="F1759" s="5">
        <v>12121.29</v>
      </c>
      <c r="G1759" s="5">
        <v>0</v>
      </c>
      <c r="H1759" s="5">
        <f t="shared" si="54"/>
        <v>-12121.29</v>
      </c>
      <c r="I1759" s="9">
        <f t="shared" si="55"/>
        <v>-1</v>
      </c>
      <c r="J1759" s="3" t="s">
        <v>4603</v>
      </c>
    </row>
    <row r="1760" spans="1:10" ht="25.5">
      <c r="A1760" s="3" t="s">
        <v>1811</v>
      </c>
      <c r="B1760" s="3" t="s">
        <v>2634</v>
      </c>
      <c r="C1760" s="4">
        <v>23</v>
      </c>
      <c r="D1760" s="3" t="s">
        <v>71</v>
      </c>
      <c r="E1760" s="3" t="s">
        <v>8</v>
      </c>
      <c r="F1760" s="5">
        <v>15654.69</v>
      </c>
      <c r="G1760" s="5">
        <v>21129.72</v>
      </c>
      <c r="H1760" s="5">
        <f t="shared" si="54"/>
        <v>5475.0300000000007</v>
      </c>
      <c r="I1760" s="9">
        <f t="shared" si="55"/>
        <v>0.34973736305222269</v>
      </c>
      <c r="J1760" s="3" t="s">
        <v>4603</v>
      </c>
    </row>
    <row r="1761" spans="1:10" ht="25.5">
      <c r="A1761" s="3" t="s">
        <v>1811</v>
      </c>
      <c r="B1761" s="3" t="s">
        <v>2635</v>
      </c>
      <c r="C1761" s="4">
        <v>61</v>
      </c>
      <c r="D1761" s="3" t="s">
        <v>114</v>
      </c>
      <c r="E1761" s="3" t="s">
        <v>30</v>
      </c>
      <c r="F1761" s="5">
        <v>0</v>
      </c>
      <c r="G1761" s="5">
        <v>15700.83</v>
      </c>
      <c r="H1761" s="5">
        <f t="shared" si="54"/>
        <v>15700.83</v>
      </c>
      <c r="I1761" s="9">
        <f t="shared" si="55"/>
        <v>0</v>
      </c>
      <c r="J1761" s="3" t="s">
        <v>4603</v>
      </c>
    </row>
    <row r="1762" spans="1:10">
      <c r="A1762" s="3" t="s">
        <v>1811</v>
      </c>
      <c r="B1762" s="3" t="s">
        <v>2636</v>
      </c>
      <c r="C1762" s="4">
        <v>334</v>
      </c>
      <c r="D1762" s="3" t="s">
        <v>585</v>
      </c>
      <c r="E1762" s="3" t="s">
        <v>8</v>
      </c>
      <c r="F1762" s="5">
        <v>0</v>
      </c>
      <c r="G1762" s="5">
        <v>6624.9459999999999</v>
      </c>
      <c r="H1762" s="5">
        <f t="shared" si="54"/>
        <v>6624.9459999999999</v>
      </c>
      <c r="I1762" s="9">
        <f t="shared" si="55"/>
        <v>0</v>
      </c>
      <c r="J1762" s="3" t="s">
        <v>4603</v>
      </c>
    </row>
    <row r="1763" spans="1:10" ht="25.5">
      <c r="A1763" s="3" t="s">
        <v>1811</v>
      </c>
      <c r="B1763" s="3" t="s">
        <v>2637</v>
      </c>
      <c r="C1763" s="4">
        <v>296</v>
      </c>
      <c r="D1763" s="3" t="s">
        <v>137</v>
      </c>
      <c r="E1763" s="3" t="s">
        <v>18</v>
      </c>
      <c r="F1763" s="5">
        <v>3864.03</v>
      </c>
      <c r="G1763" s="5">
        <v>0</v>
      </c>
      <c r="H1763" s="5">
        <f t="shared" si="54"/>
        <v>-3864.03</v>
      </c>
      <c r="I1763" s="9">
        <f t="shared" si="55"/>
        <v>-1</v>
      </c>
      <c r="J1763" s="3" t="s">
        <v>4603</v>
      </c>
    </row>
    <row r="1764" spans="1:10" ht="25.5">
      <c r="A1764" s="3" t="s">
        <v>1811</v>
      </c>
      <c r="B1764" s="3" t="s">
        <v>2638</v>
      </c>
      <c r="C1764" s="4">
        <v>197</v>
      </c>
      <c r="D1764" s="3" t="s">
        <v>23</v>
      </c>
      <c r="E1764" s="3" t="s">
        <v>22</v>
      </c>
      <c r="F1764" s="5">
        <v>1763.7</v>
      </c>
      <c r="G1764" s="5">
        <v>0</v>
      </c>
      <c r="H1764" s="5">
        <f t="shared" si="54"/>
        <v>-1763.7</v>
      </c>
      <c r="I1764" s="9">
        <f t="shared" si="55"/>
        <v>-1</v>
      </c>
      <c r="J1764" s="3" t="s">
        <v>4603</v>
      </c>
    </row>
    <row r="1765" spans="1:10" ht="25.5">
      <c r="A1765" s="3" t="s">
        <v>1811</v>
      </c>
      <c r="B1765" s="3" t="s">
        <v>2639</v>
      </c>
      <c r="C1765" s="4">
        <v>240</v>
      </c>
      <c r="D1765" s="3" t="s">
        <v>152</v>
      </c>
      <c r="E1765" s="3" t="s">
        <v>13</v>
      </c>
      <c r="F1765" s="5">
        <v>15842.16</v>
      </c>
      <c r="G1765" s="5">
        <v>19028.82</v>
      </c>
      <c r="H1765" s="5">
        <f t="shared" si="54"/>
        <v>3186.66</v>
      </c>
      <c r="I1765" s="9">
        <f t="shared" si="55"/>
        <v>0.20115060067566537</v>
      </c>
      <c r="J1765" s="3" t="s">
        <v>4603</v>
      </c>
    </row>
    <row r="1766" spans="1:10" ht="51">
      <c r="A1766" s="3" t="s">
        <v>1811</v>
      </c>
      <c r="B1766" s="3" t="s">
        <v>2640</v>
      </c>
      <c r="C1766" s="4">
        <v>282</v>
      </c>
      <c r="D1766" s="3" t="s">
        <v>298</v>
      </c>
      <c r="E1766" s="3" t="s">
        <v>9</v>
      </c>
      <c r="F1766" s="5">
        <v>12319.8</v>
      </c>
      <c r="G1766" s="5">
        <v>0</v>
      </c>
      <c r="H1766" s="5">
        <f t="shared" si="54"/>
        <v>-12319.8</v>
      </c>
      <c r="I1766" s="9">
        <f t="shared" si="55"/>
        <v>-1</v>
      </c>
      <c r="J1766" s="3" t="s">
        <v>4603</v>
      </c>
    </row>
    <row r="1767" spans="1:10" ht="25.5">
      <c r="A1767" s="3" t="s">
        <v>1811</v>
      </c>
      <c r="B1767" s="3" t="s">
        <v>2641</v>
      </c>
      <c r="C1767" s="4">
        <v>53</v>
      </c>
      <c r="D1767" s="3" t="s">
        <v>340</v>
      </c>
      <c r="E1767" s="3" t="s">
        <v>13</v>
      </c>
      <c r="F1767" s="5">
        <v>32442.6</v>
      </c>
      <c r="G1767" s="5">
        <v>0</v>
      </c>
      <c r="H1767" s="5">
        <f t="shared" si="54"/>
        <v>-32442.6</v>
      </c>
      <c r="I1767" s="9">
        <f t="shared" si="55"/>
        <v>-1</v>
      </c>
      <c r="J1767" s="3" t="s">
        <v>4603</v>
      </c>
    </row>
    <row r="1768" spans="1:10" ht="25.5">
      <c r="A1768" s="3" t="s">
        <v>1811</v>
      </c>
      <c r="B1768" s="3" t="s">
        <v>2642</v>
      </c>
      <c r="C1768" s="4">
        <v>296</v>
      </c>
      <c r="D1768" s="3" t="s">
        <v>137</v>
      </c>
      <c r="E1768" s="3" t="s">
        <v>18</v>
      </c>
      <c r="F1768" s="5">
        <v>2993.28</v>
      </c>
      <c r="G1768" s="5">
        <v>0</v>
      </c>
      <c r="H1768" s="5">
        <f t="shared" si="54"/>
        <v>-2993.28</v>
      </c>
      <c r="I1768" s="9">
        <f t="shared" si="55"/>
        <v>-1</v>
      </c>
      <c r="J1768" s="3" t="s">
        <v>4603</v>
      </c>
    </row>
    <row r="1769" spans="1:10" ht="25.5">
      <c r="A1769" s="3" t="s">
        <v>1811</v>
      </c>
      <c r="B1769" s="3" t="s">
        <v>2643</v>
      </c>
      <c r="C1769" s="4">
        <v>321</v>
      </c>
      <c r="D1769" s="3" t="s">
        <v>125</v>
      </c>
      <c r="E1769" s="3" t="s">
        <v>22</v>
      </c>
      <c r="F1769" s="5">
        <v>4715.25</v>
      </c>
      <c r="G1769" s="5">
        <v>2450.16</v>
      </c>
      <c r="H1769" s="5">
        <f t="shared" si="54"/>
        <v>-2265.09</v>
      </c>
      <c r="I1769" s="9">
        <f t="shared" si="55"/>
        <v>-0.48037537776363926</v>
      </c>
      <c r="J1769" s="3" t="s">
        <v>4603</v>
      </c>
    </row>
    <row r="1770" spans="1:10" ht="25.5">
      <c r="A1770" s="3" t="s">
        <v>1811</v>
      </c>
      <c r="B1770" s="3" t="s">
        <v>2644</v>
      </c>
      <c r="C1770" s="4">
        <v>327</v>
      </c>
      <c r="D1770" s="3" t="s">
        <v>76</v>
      </c>
      <c r="E1770" s="3" t="s">
        <v>8</v>
      </c>
      <c r="F1770" s="5">
        <v>7558.8</v>
      </c>
      <c r="G1770" s="5">
        <v>3160.8</v>
      </c>
      <c r="H1770" s="5">
        <f t="shared" si="54"/>
        <v>-4398</v>
      </c>
      <c r="I1770" s="9">
        <f t="shared" si="55"/>
        <v>-0.58183838704556279</v>
      </c>
      <c r="J1770" s="3" t="s">
        <v>4603</v>
      </c>
    </row>
    <row r="1771" spans="1:10" ht="25.5">
      <c r="A1771" s="3" t="s">
        <v>1811</v>
      </c>
      <c r="B1771" s="3" t="s">
        <v>2645</v>
      </c>
      <c r="C1771" s="4">
        <v>264</v>
      </c>
      <c r="D1771" s="3" t="s">
        <v>632</v>
      </c>
      <c r="E1771" s="3" t="s">
        <v>18</v>
      </c>
      <c r="F1771" s="5">
        <v>2938.2</v>
      </c>
      <c r="G1771" s="5">
        <v>0</v>
      </c>
      <c r="H1771" s="5">
        <f t="shared" si="54"/>
        <v>-2938.2</v>
      </c>
      <c r="I1771" s="9">
        <f t="shared" si="55"/>
        <v>-1</v>
      </c>
      <c r="J1771" s="3" t="s">
        <v>4603</v>
      </c>
    </row>
    <row r="1772" spans="1:10" ht="25.5">
      <c r="A1772" s="3" t="s">
        <v>1811</v>
      </c>
      <c r="B1772" s="3" t="s">
        <v>2645</v>
      </c>
      <c r="C1772" s="4">
        <v>264</v>
      </c>
      <c r="D1772" s="3" t="s">
        <v>632</v>
      </c>
      <c r="E1772" s="3" t="s">
        <v>22</v>
      </c>
      <c r="F1772" s="5">
        <v>2938.2</v>
      </c>
      <c r="G1772" s="5">
        <v>0</v>
      </c>
      <c r="H1772" s="5">
        <f t="shared" si="54"/>
        <v>-2938.2</v>
      </c>
      <c r="I1772" s="9">
        <f t="shared" si="55"/>
        <v>-1</v>
      </c>
      <c r="J1772" s="3" t="s">
        <v>4603</v>
      </c>
    </row>
    <row r="1773" spans="1:10" ht="25.5">
      <c r="A1773" s="3" t="s">
        <v>1811</v>
      </c>
      <c r="B1773" s="3" t="s">
        <v>2645</v>
      </c>
      <c r="C1773" s="4">
        <v>264</v>
      </c>
      <c r="D1773" s="3" t="s">
        <v>632</v>
      </c>
      <c r="E1773" s="3" t="s">
        <v>8</v>
      </c>
      <c r="F1773" s="5">
        <v>2938.2</v>
      </c>
      <c r="G1773" s="5">
        <v>0</v>
      </c>
      <c r="H1773" s="5">
        <f t="shared" si="54"/>
        <v>-2938.2</v>
      </c>
      <c r="I1773" s="9">
        <f t="shared" si="55"/>
        <v>-1</v>
      </c>
      <c r="J1773" s="3" t="s">
        <v>4603</v>
      </c>
    </row>
    <row r="1774" spans="1:10">
      <c r="A1774" s="3" t="s">
        <v>1811</v>
      </c>
      <c r="B1774" s="3" t="s">
        <v>2646</v>
      </c>
      <c r="C1774" s="4">
        <v>315</v>
      </c>
      <c r="D1774" s="3" t="s">
        <v>79</v>
      </c>
      <c r="E1774" s="3" t="s">
        <v>8</v>
      </c>
      <c r="F1774" s="5">
        <v>6656.34</v>
      </c>
      <c r="G1774" s="5">
        <v>5247.84</v>
      </c>
      <c r="H1774" s="5">
        <f t="shared" si="54"/>
        <v>-1408.5</v>
      </c>
      <c r="I1774" s="9">
        <f t="shared" si="55"/>
        <v>-0.21160277269490435</v>
      </c>
      <c r="J1774" s="3" t="s">
        <v>4603</v>
      </c>
    </row>
    <row r="1775" spans="1:10" ht="38.25">
      <c r="A1775" s="3" t="s">
        <v>1811</v>
      </c>
      <c r="B1775" s="3" t="s">
        <v>2647</v>
      </c>
      <c r="C1775" s="4">
        <v>45</v>
      </c>
      <c r="D1775" s="3" t="s">
        <v>16</v>
      </c>
      <c r="E1775" s="3" t="s">
        <v>8</v>
      </c>
      <c r="F1775" s="5">
        <v>25440.9</v>
      </c>
      <c r="G1775" s="5">
        <v>16520.22</v>
      </c>
      <c r="H1775" s="5">
        <f t="shared" si="54"/>
        <v>-8920.68</v>
      </c>
      <c r="I1775" s="9">
        <f t="shared" si="55"/>
        <v>-0.35064325554520481</v>
      </c>
      <c r="J1775" s="3" t="s">
        <v>4603</v>
      </c>
    </row>
    <row r="1776" spans="1:10" ht="51">
      <c r="A1776" s="3" t="s">
        <v>1811</v>
      </c>
      <c r="B1776" s="3" t="s">
        <v>2648</v>
      </c>
      <c r="C1776" s="4">
        <v>282</v>
      </c>
      <c r="D1776" s="3" t="s">
        <v>298</v>
      </c>
      <c r="E1776" s="3" t="s">
        <v>9</v>
      </c>
      <c r="F1776" s="5">
        <v>5027.01</v>
      </c>
      <c r="G1776" s="5">
        <v>0</v>
      </c>
      <c r="H1776" s="5">
        <f t="shared" si="54"/>
        <v>-5027.01</v>
      </c>
      <c r="I1776" s="9">
        <f t="shared" si="55"/>
        <v>-1</v>
      </c>
      <c r="J1776" s="3" t="s">
        <v>4603</v>
      </c>
    </row>
    <row r="1777" spans="1:10" ht="25.5">
      <c r="A1777" s="3" t="s">
        <v>1811</v>
      </c>
      <c r="B1777" s="3" t="s">
        <v>2649</v>
      </c>
      <c r="C1777" s="4">
        <v>327</v>
      </c>
      <c r="D1777" s="3" t="s">
        <v>76</v>
      </c>
      <c r="E1777" s="3" t="s">
        <v>8</v>
      </c>
      <c r="F1777" s="5">
        <v>10543.17</v>
      </c>
      <c r="G1777" s="5">
        <v>14710.59</v>
      </c>
      <c r="H1777" s="5">
        <f t="shared" si="54"/>
        <v>4167.42</v>
      </c>
      <c r="I1777" s="9">
        <f t="shared" si="55"/>
        <v>0.39527201022083491</v>
      </c>
      <c r="J1777" s="3" t="s">
        <v>4603</v>
      </c>
    </row>
    <row r="1778" spans="1:10" ht="25.5">
      <c r="A1778" s="3" t="s">
        <v>1811</v>
      </c>
      <c r="B1778" s="3" t="s">
        <v>2650</v>
      </c>
      <c r="C1778" s="4">
        <v>61</v>
      </c>
      <c r="D1778" s="3" t="s">
        <v>114</v>
      </c>
      <c r="E1778" s="3" t="s">
        <v>30</v>
      </c>
      <c r="F1778" s="5">
        <v>20291.52</v>
      </c>
      <c r="G1778" s="5">
        <v>0</v>
      </c>
      <c r="H1778" s="5">
        <f t="shared" si="54"/>
        <v>-20291.52</v>
      </c>
      <c r="I1778" s="9">
        <f t="shared" si="55"/>
        <v>-1</v>
      </c>
      <c r="J1778" s="3" t="s">
        <v>4603</v>
      </c>
    </row>
    <row r="1779" spans="1:10" ht="38.25">
      <c r="A1779" s="3" t="s">
        <v>1811</v>
      </c>
      <c r="B1779" s="3" t="s">
        <v>2651</v>
      </c>
      <c r="C1779" s="4">
        <v>371</v>
      </c>
      <c r="D1779" s="3" t="s">
        <v>29</v>
      </c>
      <c r="E1779" s="3" t="s">
        <v>30</v>
      </c>
      <c r="F1779" s="5">
        <v>0</v>
      </c>
      <c r="G1779" s="5">
        <v>3638.8119999999999</v>
      </c>
      <c r="H1779" s="5">
        <f t="shared" si="54"/>
        <v>3638.8119999999999</v>
      </c>
      <c r="I1779" s="9">
        <f t="shared" si="55"/>
        <v>0</v>
      </c>
      <c r="J1779" s="3" t="s">
        <v>4604</v>
      </c>
    </row>
    <row r="1780" spans="1:10" ht="38.25">
      <c r="A1780" s="3" t="s">
        <v>1811</v>
      </c>
      <c r="B1780" s="3" t="s">
        <v>2652</v>
      </c>
      <c r="C1780" s="4">
        <v>45</v>
      </c>
      <c r="D1780" s="3" t="s">
        <v>16</v>
      </c>
      <c r="E1780" s="3" t="s">
        <v>8</v>
      </c>
      <c r="F1780" s="5">
        <v>7372.5</v>
      </c>
      <c r="G1780" s="5">
        <v>5604.66</v>
      </c>
      <c r="H1780" s="5">
        <f t="shared" si="54"/>
        <v>-1767.8400000000001</v>
      </c>
      <c r="I1780" s="9">
        <f t="shared" si="55"/>
        <v>-0.23978840284842318</v>
      </c>
      <c r="J1780" s="3" t="s">
        <v>4603</v>
      </c>
    </row>
    <row r="1781" spans="1:10" ht="25.5">
      <c r="A1781" s="3" t="s">
        <v>1811</v>
      </c>
      <c r="B1781" s="3" t="s">
        <v>2653</v>
      </c>
      <c r="C1781" s="4">
        <v>317</v>
      </c>
      <c r="D1781" s="3" t="s">
        <v>54</v>
      </c>
      <c r="E1781" s="3" t="s">
        <v>18</v>
      </c>
      <c r="F1781" s="5">
        <v>2468.9699999999998</v>
      </c>
      <c r="G1781" s="5">
        <v>0</v>
      </c>
      <c r="H1781" s="5">
        <f t="shared" si="54"/>
        <v>-2468.9699999999998</v>
      </c>
      <c r="I1781" s="9">
        <f t="shared" si="55"/>
        <v>-1</v>
      </c>
      <c r="J1781" s="3" t="s">
        <v>4603</v>
      </c>
    </row>
    <row r="1782" spans="1:10" ht="25.5">
      <c r="A1782" s="3" t="s">
        <v>1811</v>
      </c>
      <c r="B1782" s="3" t="s">
        <v>2654</v>
      </c>
      <c r="C1782" s="4">
        <v>23</v>
      </c>
      <c r="D1782" s="3" t="s">
        <v>71</v>
      </c>
      <c r="E1782" s="3" t="s">
        <v>8</v>
      </c>
      <c r="F1782" s="5">
        <v>4801.26</v>
      </c>
      <c r="G1782" s="5">
        <v>0</v>
      </c>
      <c r="H1782" s="5">
        <f t="shared" si="54"/>
        <v>-4801.26</v>
      </c>
      <c r="I1782" s="9">
        <f t="shared" si="55"/>
        <v>-1</v>
      </c>
      <c r="J1782" s="3" t="s">
        <v>4603</v>
      </c>
    </row>
    <row r="1783" spans="1:10" ht="25.5">
      <c r="A1783" s="3" t="s">
        <v>1811</v>
      </c>
      <c r="B1783" s="3" t="s">
        <v>2655</v>
      </c>
      <c r="C1783" s="4">
        <v>273</v>
      </c>
      <c r="D1783" s="3" t="s">
        <v>771</v>
      </c>
      <c r="E1783" s="3" t="s">
        <v>13</v>
      </c>
      <c r="F1783" s="5">
        <v>0</v>
      </c>
      <c r="G1783" s="5">
        <v>14366.04</v>
      </c>
      <c r="H1783" s="5">
        <f t="shared" si="54"/>
        <v>14366.04</v>
      </c>
      <c r="I1783" s="9">
        <f t="shared" si="55"/>
        <v>0</v>
      </c>
      <c r="J1783" s="3" t="s">
        <v>4603</v>
      </c>
    </row>
    <row r="1784" spans="1:10" ht="38.25">
      <c r="A1784" s="3" t="s">
        <v>1811</v>
      </c>
      <c r="B1784" s="3" t="s">
        <v>2656</v>
      </c>
      <c r="C1784" s="4">
        <v>371</v>
      </c>
      <c r="D1784" s="3" t="s">
        <v>29</v>
      </c>
      <c r="E1784" s="3" t="s">
        <v>30</v>
      </c>
      <c r="F1784" s="5">
        <v>0</v>
      </c>
      <c r="G1784" s="5">
        <v>1554.36</v>
      </c>
      <c r="H1784" s="5">
        <f t="shared" si="54"/>
        <v>1554.36</v>
      </c>
      <c r="I1784" s="9">
        <f t="shared" si="55"/>
        <v>0</v>
      </c>
      <c r="J1784" s="3" t="s">
        <v>4603</v>
      </c>
    </row>
    <row r="1785" spans="1:10" ht="25.5">
      <c r="A1785" s="3" t="s">
        <v>1811</v>
      </c>
      <c r="B1785" s="3" t="s">
        <v>2657</v>
      </c>
      <c r="C1785" s="4">
        <v>261</v>
      </c>
      <c r="D1785" s="3" t="s">
        <v>17</v>
      </c>
      <c r="E1785" s="3" t="s">
        <v>18</v>
      </c>
      <c r="F1785" s="5">
        <v>11014.44</v>
      </c>
      <c r="G1785" s="5">
        <v>8549.3700000000008</v>
      </c>
      <c r="H1785" s="5">
        <f t="shared" si="54"/>
        <v>-2465.0699999999997</v>
      </c>
      <c r="I1785" s="9">
        <f t="shared" si="55"/>
        <v>-0.22380347979561377</v>
      </c>
      <c r="J1785" s="3" t="s">
        <v>4603</v>
      </c>
    </row>
    <row r="1786" spans="1:10">
      <c r="A1786" s="3" t="s">
        <v>1811</v>
      </c>
      <c r="B1786" s="3" t="s">
        <v>2658</v>
      </c>
      <c r="C1786" s="4">
        <v>15</v>
      </c>
      <c r="D1786" s="3" t="s">
        <v>33</v>
      </c>
      <c r="E1786" s="3" t="s">
        <v>13</v>
      </c>
      <c r="F1786" s="5">
        <v>0</v>
      </c>
      <c r="G1786" s="5">
        <v>3830.58</v>
      </c>
      <c r="H1786" s="5">
        <f t="shared" si="54"/>
        <v>3830.58</v>
      </c>
      <c r="I1786" s="9">
        <f t="shared" si="55"/>
        <v>0</v>
      </c>
      <c r="J1786" s="3" t="s">
        <v>4603</v>
      </c>
    </row>
    <row r="1787" spans="1:10" ht="25.5">
      <c r="A1787" s="3" t="s">
        <v>1811</v>
      </c>
      <c r="B1787" s="3" t="s">
        <v>2659</v>
      </c>
      <c r="C1787" s="4">
        <v>335</v>
      </c>
      <c r="D1787" s="3" t="s">
        <v>7</v>
      </c>
      <c r="E1787" s="3" t="s">
        <v>8</v>
      </c>
      <c r="F1787" s="5">
        <v>12977.64</v>
      </c>
      <c r="G1787" s="5">
        <v>5345.16</v>
      </c>
      <c r="H1787" s="5">
        <f t="shared" si="54"/>
        <v>-7632.48</v>
      </c>
      <c r="I1787" s="9">
        <f t="shared" si="55"/>
        <v>-0.58812542187947892</v>
      </c>
      <c r="J1787" s="3" t="s">
        <v>4604</v>
      </c>
    </row>
    <row r="1788" spans="1:10" ht="25.5">
      <c r="A1788" s="3" t="s">
        <v>1811</v>
      </c>
      <c r="B1788" s="3" t="s">
        <v>2660</v>
      </c>
      <c r="C1788" s="4">
        <v>232</v>
      </c>
      <c r="D1788" s="3" t="s">
        <v>95</v>
      </c>
      <c r="E1788" s="3" t="s">
        <v>13</v>
      </c>
      <c r="F1788" s="5">
        <v>3769.08</v>
      </c>
      <c r="G1788" s="5">
        <v>0</v>
      </c>
      <c r="H1788" s="5">
        <f t="shared" si="54"/>
        <v>-3769.08</v>
      </c>
      <c r="I1788" s="9">
        <f t="shared" si="55"/>
        <v>-1</v>
      </c>
      <c r="J1788" s="3" t="s">
        <v>4604</v>
      </c>
    </row>
    <row r="1789" spans="1:10">
      <c r="A1789" s="3" t="s">
        <v>1811</v>
      </c>
      <c r="B1789" s="3" t="s">
        <v>2661</v>
      </c>
      <c r="C1789" s="4">
        <v>232</v>
      </c>
      <c r="D1789" s="3" t="s">
        <v>95</v>
      </c>
      <c r="E1789" s="3" t="s">
        <v>13</v>
      </c>
      <c r="F1789" s="5">
        <v>19562.22</v>
      </c>
      <c r="G1789" s="5">
        <v>6081.42</v>
      </c>
      <c r="H1789" s="5">
        <f t="shared" si="54"/>
        <v>-13480.800000000001</v>
      </c>
      <c r="I1789" s="9">
        <f t="shared" si="55"/>
        <v>-0.68912424050031129</v>
      </c>
      <c r="J1789" s="3" t="s">
        <v>4603</v>
      </c>
    </row>
    <row r="1790" spans="1:10" ht="25.5">
      <c r="A1790" s="3" t="s">
        <v>1811</v>
      </c>
      <c r="B1790" s="3" t="s">
        <v>2662</v>
      </c>
      <c r="C1790" s="4">
        <v>337</v>
      </c>
      <c r="D1790" s="3" t="s">
        <v>218</v>
      </c>
      <c r="E1790" s="3" t="s">
        <v>13</v>
      </c>
      <c r="F1790" s="5">
        <v>14808.36</v>
      </c>
      <c r="G1790" s="5">
        <v>0</v>
      </c>
      <c r="H1790" s="5">
        <f t="shared" si="54"/>
        <v>-14808.36</v>
      </c>
      <c r="I1790" s="9">
        <f t="shared" si="55"/>
        <v>-1</v>
      </c>
      <c r="J1790" s="3" t="s">
        <v>4603</v>
      </c>
    </row>
    <row r="1791" spans="1:10" ht="25.5">
      <c r="A1791" s="3" t="s">
        <v>1811</v>
      </c>
      <c r="B1791" s="3" t="s">
        <v>2663</v>
      </c>
      <c r="C1791" s="4">
        <v>337</v>
      </c>
      <c r="D1791" s="3" t="s">
        <v>218</v>
      </c>
      <c r="E1791" s="3" t="s">
        <v>13</v>
      </c>
      <c r="F1791" s="5">
        <v>3167.28</v>
      </c>
      <c r="G1791" s="5">
        <v>0</v>
      </c>
      <c r="H1791" s="5">
        <f t="shared" si="54"/>
        <v>-3167.28</v>
      </c>
      <c r="I1791" s="9">
        <f t="shared" si="55"/>
        <v>-1</v>
      </c>
      <c r="J1791" s="3" t="s">
        <v>4603</v>
      </c>
    </row>
    <row r="1792" spans="1:10">
      <c r="A1792" s="3" t="s">
        <v>1811</v>
      </c>
      <c r="B1792" s="3" t="s">
        <v>2664</v>
      </c>
      <c r="C1792" s="4">
        <v>15</v>
      </c>
      <c r="D1792" s="3" t="s">
        <v>33</v>
      </c>
      <c r="E1792" s="3" t="s">
        <v>13</v>
      </c>
      <c r="F1792" s="5">
        <v>6730.5</v>
      </c>
      <c r="G1792" s="5">
        <v>0</v>
      </c>
      <c r="H1792" s="5">
        <f t="shared" si="54"/>
        <v>-6730.5</v>
      </c>
      <c r="I1792" s="9">
        <f t="shared" si="55"/>
        <v>-1</v>
      </c>
      <c r="J1792" s="3" t="s">
        <v>4603</v>
      </c>
    </row>
    <row r="1793" spans="1:10" ht="25.5">
      <c r="A1793" s="3" t="s">
        <v>1811</v>
      </c>
      <c r="B1793" s="3" t="s">
        <v>2665</v>
      </c>
      <c r="C1793" s="4">
        <v>273</v>
      </c>
      <c r="D1793" s="3" t="s">
        <v>771</v>
      </c>
      <c r="E1793" s="3" t="s">
        <v>13</v>
      </c>
      <c r="F1793" s="5">
        <v>3943.8</v>
      </c>
      <c r="G1793" s="5">
        <v>3089.28</v>
      </c>
      <c r="H1793" s="5">
        <f t="shared" si="54"/>
        <v>-854.52</v>
      </c>
      <c r="I1793" s="9">
        <f t="shared" si="55"/>
        <v>-0.21667427354328306</v>
      </c>
      <c r="J1793" s="3" t="s">
        <v>4603</v>
      </c>
    </row>
    <row r="1794" spans="1:10" ht="25.5">
      <c r="A1794" s="3" t="s">
        <v>1811</v>
      </c>
      <c r="B1794" s="3" t="s">
        <v>2666</v>
      </c>
      <c r="C1794" s="4">
        <v>316</v>
      </c>
      <c r="D1794" s="3" t="s">
        <v>167</v>
      </c>
      <c r="E1794" s="3" t="s">
        <v>18</v>
      </c>
      <c r="F1794" s="5">
        <v>0</v>
      </c>
      <c r="G1794" s="5">
        <v>2603.79</v>
      </c>
      <c r="H1794" s="5">
        <f t="shared" si="54"/>
        <v>2603.79</v>
      </c>
      <c r="I1794" s="9">
        <f t="shared" si="55"/>
        <v>0</v>
      </c>
      <c r="J1794" s="3" t="s">
        <v>4603</v>
      </c>
    </row>
    <row r="1795" spans="1:10" ht="25.5">
      <c r="A1795" s="3" t="s">
        <v>1811</v>
      </c>
      <c r="B1795" s="3" t="s">
        <v>2667</v>
      </c>
      <c r="C1795" s="4">
        <v>321</v>
      </c>
      <c r="D1795" s="3" t="s">
        <v>125</v>
      </c>
      <c r="E1795" s="3" t="s">
        <v>22</v>
      </c>
      <c r="F1795" s="5">
        <v>0</v>
      </c>
      <c r="G1795" s="5">
        <v>4492.8</v>
      </c>
      <c r="H1795" s="5">
        <f t="shared" ref="H1795:H1858" si="56">G1795-F1795</f>
        <v>4492.8</v>
      </c>
      <c r="I1795" s="9">
        <f t="shared" ref="I1795:I1858" si="57">IFERROR(G1795/F1795-1,0)</f>
        <v>0</v>
      </c>
      <c r="J1795" s="3" t="s">
        <v>4603</v>
      </c>
    </row>
    <row r="1796" spans="1:10" ht="38.25">
      <c r="A1796" s="3" t="s">
        <v>1811</v>
      </c>
      <c r="B1796" s="3" t="s">
        <v>2668</v>
      </c>
      <c r="C1796" s="4">
        <v>371</v>
      </c>
      <c r="D1796" s="3" t="s">
        <v>29</v>
      </c>
      <c r="E1796" s="3" t="s">
        <v>30</v>
      </c>
      <c r="F1796" s="5">
        <v>0</v>
      </c>
      <c r="G1796" s="5">
        <v>8473.08</v>
      </c>
      <c r="H1796" s="5">
        <f t="shared" si="56"/>
        <v>8473.08</v>
      </c>
      <c r="I1796" s="9">
        <f t="shared" si="57"/>
        <v>0</v>
      </c>
      <c r="J1796" s="3" t="s">
        <v>4603</v>
      </c>
    </row>
    <row r="1797" spans="1:10" ht="25.5">
      <c r="A1797" s="3" t="s">
        <v>1811</v>
      </c>
      <c r="B1797" s="3" t="s">
        <v>2669</v>
      </c>
      <c r="C1797" s="4">
        <v>337</v>
      </c>
      <c r="D1797" s="3" t="s">
        <v>218</v>
      </c>
      <c r="E1797" s="3" t="s">
        <v>13</v>
      </c>
      <c r="F1797" s="5">
        <v>0</v>
      </c>
      <c r="G1797" s="5">
        <v>9119.67</v>
      </c>
      <c r="H1797" s="5">
        <f t="shared" si="56"/>
        <v>9119.67</v>
      </c>
      <c r="I1797" s="9">
        <f t="shared" si="57"/>
        <v>0</v>
      </c>
      <c r="J1797" s="3" t="s">
        <v>4603</v>
      </c>
    </row>
    <row r="1798" spans="1:10" ht="25.5">
      <c r="A1798" s="3" t="s">
        <v>1811</v>
      </c>
      <c r="B1798" s="3" t="s">
        <v>2670</v>
      </c>
      <c r="C1798" s="4">
        <v>53</v>
      </c>
      <c r="D1798" s="3" t="s">
        <v>340</v>
      </c>
      <c r="E1798" s="3" t="s">
        <v>13</v>
      </c>
      <c r="F1798" s="5">
        <v>19234.86</v>
      </c>
      <c r="G1798" s="5">
        <v>22294.17</v>
      </c>
      <c r="H1798" s="5">
        <f t="shared" si="56"/>
        <v>3059.3099999999977</v>
      </c>
      <c r="I1798" s="9">
        <f t="shared" si="57"/>
        <v>0.15905028682298683</v>
      </c>
      <c r="J1798" s="3" t="s">
        <v>4603</v>
      </c>
    </row>
    <row r="1799" spans="1:10" ht="25.5">
      <c r="A1799" s="3" t="s">
        <v>1811</v>
      </c>
      <c r="B1799" s="3" t="s">
        <v>2671</v>
      </c>
      <c r="C1799" s="4">
        <v>217</v>
      </c>
      <c r="D1799" s="3" t="s">
        <v>253</v>
      </c>
      <c r="E1799" s="3" t="s">
        <v>13</v>
      </c>
      <c r="F1799" s="5">
        <v>7736.76</v>
      </c>
      <c r="G1799" s="5">
        <v>0</v>
      </c>
      <c r="H1799" s="5">
        <f t="shared" si="56"/>
        <v>-7736.76</v>
      </c>
      <c r="I1799" s="9">
        <f t="shared" si="57"/>
        <v>-1</v>
      </c>
      <c r="J1799" s="3" t="s">
        <v>4603</v>
      </c>
    </row>
    <row r="1800" spans="1:10" ht="25.5">
      <c r="A1800" s="3" t="s">
        <v>1811</v>
      </c>
      <c r="B1800" s="3" t="s">
        <v>2672</v>
      </c>
      <c r="C1800" s="4">
        <v>266</v>
      </c>
      <c r="D1800" s="3" t="s">
        <v>111</v>
      </c>
      <c r="E1800" s="3" t="s">
        <v>18</v>
      </c>
      <c r="F1800" s="5">
        <v>4760.76</v>
      </c>
      <c r="G1800" s="5">
        <v>9791.49</v>
      </c>
      <c r="H1800" s="5">
        <f t="shared" si="56"/>
        <v>5030.7299999999996</v>
      </c>
      <c r="I1800" s="9">
        <f t="shared" si="57"/>
        <v>1.056707332442719</v>
      </c>
      <c r="J1800" s="3" t="s">
        <v>4603</v>
      </c>
    </row>
    <row r="1801" spans="1:10" ht="25.5">
      <c r="A1801" s="3" t="s">
        <v>1811</v>
      </c>
      <c r="B1801" s="3" t="s">
        <v>2673</v>
      </c>
      <c r="C1801" s="4">
        <v>217</v>
      </c>
      <c r="D1801" s="3" t="s">
        <v>253</v>
      </c>
      <c r="E1801" s="3" t="s">
        <v>13</v>
      </c>
      <c r="F1801" s="5">
        <v>5323.44</v>
      </c>
      <c r="G1801" s="5">
        <v>0</v>
      </c>
      <c r="H1801" s="5">
        <f t="shared" si="56"/>
        <v>-5323.44</v>
      </c>
      <c r="I1801" s="9">
        <f t="shared" si="57"/>
        <v>-1</v>
      </c>
      <c r="J1801" s="3" t="s">
        <v>4603</v>
      </c>
    </row>
    <row r="1802" spans="1:10">
      <c r="A1802" s="3" t="s">
        <v>1811</v>
      </c>
      <c r="B1802" s="3" t="s">
        <v>2674</v>
      </c>
      <c r="C1802" s="4">
        <v>232</v>
      </c>
      <c r="D1802" s="3" t="s">
        <v>95</v>
      </c>
      <c r="E1802" s="3" t="s">
        <v>13</v>
      </c>
      <c r="F1802" s="5">
        <v>0</v>
      </c>
      <c r="G1802" s="5">
        <v>3719.52</v>
      </c>
      <c r="H1802" s="5">
        <f t="shared" si="56"/>
        <v>3719.52</v>
      </c>
      <c r="I1802" s="9">
        <f t="shared" si="57"/>
        <v>0</v>
      </c>
      <c r="J1802" s="3" t="s">
        <v>4603</v>
      </c>
    </row>
    <row r="1803" spans="1:10">
      <c r="A1803" s="3" t="s">
        <v>1811</v>
      </c>
      <c r="B1803" s="3" t="s">
        <v>2675</v>
      </c>
      <c r="C1803" s="4">
        <v>217</v>
      </c>
      <c r="D1803" s="3" t="s">
        <v>253</v>
      </c>
      <c r="E1803" s="3" t="s">
        <v>13</v>
      </c>
      <c r="F1803" s="5">
        <v>8124.84</v>
      </c>
      <c r="G1803" s="5">
        <v>0</v>
      </c>
      <c r="H1803" s="5">
        <f t="shared" si="56"/>
        <v>-8124.84</v>
      </c>
      <c r="I1803" s="9">
        <f t="shared" si="57"/>
        <v>-1</v>
      </c>
      <c r="J1803" s="3" t="s">
        <v>4603</v>
      </c>
    </row>
    <row r="1804" spans="1:10" ht="25.5">
      <c r="A1804" s="3" t="s">
        <v>1811</v>
      </c>
      <c r="B1804" s="3" t="s">
        <v>2676</v>
      </c>
      <c r="C1804" s="4">
        <v>93</v>
      </c>
      <c r="D1804" s="3" t="s">
        <v>42</v>
      </c>
      <c r="E1804" s="3" t="s">
        <v>8</v>
      </c>
      <c r="F1804" s="5">
        <v>4511.28</v>
      </c>
      <c r="G1804" s="5">
        <v>6562.2</v>
      </c>
      <c r="H1804" s="5">
        <f t="shared" si="56"/>
        <v>2050.92</v>
      </c>
      <c r="I1804" s="9">
        <f t="shared" si="57"/>
        <v>0.45462041815183274</v>
      </c>
      <c r="J1804" s="3" t="s">
        <v>4603</v>
      </c>
    </row>
    <row r="1805" spans="1:10" ht="38.25">
      <c r="A1805" s="3" t="s">
        <v>1811</v>
      </c>
      <c r="B1805" s="3" t="s">
        <v>2677</v>
      </c>
      <c r="C1805" s="4">
        <v>11</v>
      </c>
      <c r="D1805" s="3" t="s">
        <v>55</v>
      </c>
      <c r="E1805" s="3" t="s">
        <v>18</v>
      </c>
      <c r="F1805" s="5">
        <v>0</v>
      </c>
      <c r="G1805" s="5">
        <v>10570.2</v>
      </c>
      <c r="H1805" s="5">
        <f t="shared" si="56"/>
        <v>10570.2</v>
      </c>
      <c r="I1805" s="9">
        <f t="shared" si="57"/>
        <v>0</v>
      </c>
      <c r="J1805" s="3" t="s">
        <v>4603</v>
      </c>
    </row>
    <row r="1806" spans="1:10">
      <c r="A1806" s="3" t="s">
        <v>1811</v>
      </c>
      <c r="B1806" s="3" t="s">
        <v>2678</v>
      </c>
      <c r="C1806" s="4">
        <v>232</v>
      </c>
      <c r="D1806" s="3" t="s">
        <v>95</v>
      </c>
      <c r="E1806" s="3" t="s">
        <v>13</v>
      </c>
      <c r="F1806" s="5">
        <v>16564.14</v>
      </c>
      <c r="G1806" s="5">
        <v>0</v>
      </c>
      <c r="H1806" s="5">
        <f t="shared" si="56"/>
        <v>-16564.14</v>
      </c>
      <c r="I1806" s="9">
        <f t="shared" si="57"/>
        <v>-1</v>
      </c>
      <c r="J1806" s="3" t="s">
        <v>4603</v>
      </c>
    </row>
    <row r="1807" spans="1:10" ht="25.5">
      <c r="A1807" s="3" t="s">
        <v>1811</v>
      </c>
      <c r="B1807" s="3" t="s">
        <v>2679</v>
      </c>
      <c r="C1807" s="4">
        <v>261</v>
      </c>
      <c r="D1807" s="3" t="s">
        <v>17</v>
      </c>
      <c r="E1807" s="3" t="s">
        <v>18</v>
      </c>
      <c r="F1807" s="5">
        <v>7528.8</v>
      </c>
      <c r="G1807" s="5">
        <v>9190.44</v>
      </c>
      <c r="H1807" s="5">
        <f t="shared" si="56"/>
        <v>1661.6400000000003</v>
      </c>
      <c r="I1807" s="9">
        <f t="shared" si="57"/>
        <v>0.22070449474019771</v>
      </c>
      <c r="J1807" s="3" t="s">
        <v>4603</v>
      </c>
    </row>
    <row r="1808" spans="1:10" ht="25.5">
      <c r="A1808" s="3" t="s">
        <v>1811</v>
      </c>
      <c r="B1808" s="3" t="s">
        <v>2680</v>
      </c>
      <c r="C1808" s="4">
        <v>328</v>
      </c>
      <c r="D1808" s="3" t="s">
        <v>158</v>
      </c>
      <c r="E1808" s="3" t="s">
        <v>22</v>
      </c>
      <c r="F1808" s="5">
        <v>6763.95</v>
      </c>
      <c r="G1808" s="5">
        <v>0</v>
      </c>
      <c r="H1808" s="5">
        <f t="shared" si="56"/>
        <v>-6763.95</v>
      </c>
      <c r="I1808" s="9">
        <f t="shared" si="57"/>
        <v>-1</v>
      </c>
      <c r="J1808" s="3" t="s">
        <v>4603</v>
      </c>
    </row>
    <row r="1809" spans="1:10" ht="25.5">
      <c r="A1809" s="3" t="s">
        <v>1811</v>
      </c>
      <c r="B1809" s="3" t="s">
        <v>2681</v>
      </c>
      <c r="C1809" s="4">
        <v>240</v>
      </c>
      <c r="D1809" s="3" t="s">
        <v>152</v>
      </c>
      <c r="E1809" s="3" t="s">
        <v>13</v>
      </c>
      <c r="F1809" s="5">
        <v>14269.8</v>
      </c>
      <c r="G1809" s="5">
        <v>0</v>
      </c>
      <c r="H1809" s="5">
        <f t="shared" si="56"/>
        <v>-14269.8</v>
      </c>
      <c r="I1809" s="9">
        <f t="shared" si="57"/>
        <v>-1</v>
      </c>
      <c r="J1809" s="3" t="s">
        <v>4603</v>
      </c>
    </row>
    <row r="1810" spans="1:10" ht="25.5">
      <c r="A1810" s="3" t="s">
        <v>1811</v>
      </c>
      <c r="B1810" s="3" t="s">
        <v>2682</v>
      </c>
      <c r="C1810" s="4">
        <v>296</v>
      </c>
      <c r="D1810" s="3" t="s">
        <v>137</v>
      </c>
      <c r="E1810" s="3" t="s">
        <v>18</v>
      </c>
      <c r="F1810" s="5">
        <v>4145.3999999999996</v>
      </c>
      <c r="G1810" s="5">
        <v>12938.248</v>
      </c>
      <c r="H1810" s="5">
        <f t="shared" si="56"/>
        <v>8792.848</v>
      </c>
      <c r="I1810" s="9">
        <f t="shared" si="57"/>
        <v>2.1211096637236455</v>
      </c>
      <c r="J1810" s="3" t="s">
        <v>4603</v>
      </c>
    </row>
    <row r="1811" spans="1:10" ht="25.5">
      <c r="A1811" s="3" t="s">
        <v>1811</v>
      </c>
      <c r="B1811" s="3" t="s">
        <v>2683</v>
      </c>
      <c r="C1811" s="4">
        <v>39</v>
      </c>
      <c r="D1811" s="3" t="s">
        <v>26</v>
      </c>
      <c r="E1811" s="3" t="s">
        <v>9</v>
      </c>
      <c r="F1811" s="5">
        <v>0</v>
      </c>
      <c r="G1811" s="5">
        <v>14079.91</v>
      </c>
      <c r="H1811" s="5">
        <f t="shared" si="56"/>
        <v>14079.91</v>
      </c>
      <c r="I1811" s="9">
        <f t="shared" si="57"/>
        <v>0</v>
      </c>
      <c r="J1811" s="3" t="s">
        <v>4603</v>
      </c>
    </row>
    <row r="1812" spans="1:10" ht="25.5">
      <c r="A1812" s="3" t="s">
        <v>1811</v>
      </c>
      <c r="B1812" s="3" t="s">
        <v>2684</v>
      </c>
      <c r="C1812" s="4">
        <v>93</v>
      </c>
      <c r="D1812" s="3" t="s">
        <v>42</v>
      </c>
      <c r="E1812" s="3" t="s">
        <v>8</v>
      </c>
      <c r="F1812" s="5">
        <v>5987.04</v>
      </c>
      <c r="G1812" s="5">
        <v>3893.28</v>
      </c>
      <c r="H1812" s="5">
        <f t="shared" si="56"/>
        <v>-2093.7599999999998</v>
      </c>
      <c r="I1812" s="9">
        <f t="shared" si="57"/>
        <v>-0.34971538523210133</v>
      </c>
      <c r="J1812" s="3" t="s">
        <v>4603</v>
      </c>
    </row>
    <row r="1813" spans="1:10" ht="25.5">
      <c r="A1813" s="3" t="s">
        <v>1811</v>
      </c>
      <c r="B1813" s="3" t="s">
        <v>2685</v>
      </c>
      <c r="C1813" s="4">
        <v>93</v>
      </c>
      <c r="D1813" s="3" t="s">
        <v>42</v>
      </c>
      <c r="E1813" s="3" t="s">
        <v>8</v>
      </c>
      <c r="F1813" s="5">
        <v>7117.65</v>
      </c>
      <c r="G1813" s="5">
        <v>0</v>
      </c>
      <c r="H1813" s="5">
        <f t="shared" si="56"/>
        <v>-7117.65</v>
      </c>
      <c r="I1813" s="9">
        <f t="shared" si="57"/>
        <v>-1</v>
      </c>
      <c r="J1813" s="3" t="s">
        <v>4603</v>
      </c>
    </row>
    <row r="1814" spans="1:10" ht="25.5">
      <c r="A1814" s="3" t="s">
        <v>1811</v>
      </c>
      <c r="B1814" s="3" t="s">
        <v>2686</v>
      </c>
      <c r="C1814" s="4">
        <v>41</v>
      </c>
      <c r="D1814" s="3" t="s">
        <v>106</v>
      </c>
      <c r="E1814" s="3" t="s">
        <v>22</v>
      </c>
      <c r="F1814" s="5">
        <v>0</v>
      </c>
      <c r="G1814" s="5">
        <v>12981</v>
      </c>
      <c r="H1814" s="5">
        <f t="shared" si="56"/>
        <v>12981</v>
      </c>
      <c r="I1814" s="9">
        <f t="shared" si="57"/>
        <v>0</v>
      </c>
      <c r="J1814" s="3" t="s">
        <v>4603</v>
      </c>
    </row>
    <row r="1815" spans="1:10" ht="25.5">
      <c r="A1815" s="3" t="s">
        <v>1811</v>
      </c>
      <c r="B1815" s="3" t="s">
        <v>2687</v>
      </c>
      <c r="C1815" s="4">
        <v>23</v>
      </c>
      <c r="D1815" s="3" t="s">
        <v>71</v>
      </c>
      <c r="E1815" s="3" t="s">
        <v>8</v>
      </c>
      <c r="F1815" s="5">
        <v>3047.4</v>
      </c>
      <c r="G1815" s="5">
        <v>3023.52</v>
      </c>
      <c r="H1815" s="5">
        <f t="shared" si="56"/>
        <v>-23.880000000000109</v>
      </c>
      <c r="I1815" s="9">
        <f t="shared" si="57"/>
        <v>-7.8361882260288285E-3</v>
      </c>
      <c r="J1815" s="3" t="s">
        <v>4603</v>
      </c>
    </row>
    <row r="1816" spans="1:10" ht="25.5">
      <c r="A1816" s="3" t="s">
        <v>1811</v>
      </c>
      <c r="B1816" s="3" t="s">
        <v>2688</v>
      </c>
      <c r="C1816" s="4">
        <v>194</v>
      </c>
      <c r="D1816" s="3" t="s">
        <v>179</v>
      </c>
      <c r="E1816" s="3" t="s">
        <v>13</v>
      </c>
      <c r="F1816" s="5">
        <v>5770.38</v>
      </c>
      <c r="G1816" s="5">
        <v>0</v>
      </c>
      <c r="H1816" s="5">
        <f t="shared" si="56"/>
        <v>-5770.38</v>
      </c>
      <c r="I1816" s="9">
        <f t="shared" si="57"/>
        <v>-1</v>
      </c>
      <c r="J1816" s="3" t="s">
        <v>4603</v>
      </c>
    </row>
    <row r="1817" spans="1:10" ht="25.5">
      <c r="A1817" s="3" t="s">
        <v>1811</v>
      </c>
      <c r="B1817" s="3" t="s">
        <v>2689</v>
      </c>
      <c r="C1817" s="4">
        <v>327</v>
      </c>
      <c r="D1817" s="3" t="s">
        <v>76</v>
      </c>
      <c r="E1817" s="3" t="s">
        <v>8</v>
      </c>
      <c r="F1817" s="5">
        <v>15150.72</v>
      </c>
      <c r="G1817" s="5">
        <v>6189.4080000000004</v>
      </c>
      <c r="H1817" s="5">
        <f t="shared" si="56"/>
        <v>-8961.3119999999981</v>
      </c>
      <c r="I1817" s="9">
        <f t="shared" si="57"/>
        <v>-0.59147763274616649</v>
      </c>
      <c r="J1817" s="3" t="s">
        <v>4603</v>
      </c>
    </row>
    <row r="1818" spans="1:10">
      <c r="A1818" s="3" t="s">
        <v>1811</v>
      </c>
      <c r="B1818" s="3" t="s">
        <v>2690</v>
      </c>
      <c r="C1818" s="4">
        <v>240</v>
      </c>
      <c r="D1818" s="3" t="s">
        <v>152</v>
      </c>
      <c r="E1818" s="3" t="s">
        <v>13</v>
      </c>
      <c r="F1818" s="5">
        <v>7250.88</v>
      </c>
      <c r="G1818" s="5">
        <v>0</v>
      </c>
      <c r="H1818" s="5">
        <f t="shared" si="56"/>
        <v>-7250.88</v>
      </c>
      <c r="I1818" s="9">
        <f t="shared" si="57"/>
        <v>-1</v>
      </c>
      <c r="J1818" s="3" t="s">
        <v>4603</v>
      </c>
    </row>
    <row r="1819" spans="1:10" ht="38.25">
      <c r="A1819" s="3" t="s">
        <v>1811</v>
      </c>
      <c r="B1819" s="3" t="s">
        <v>2691</v>
      </c>
      <c r="C1819" s="4">
        <v>38</v>
      </c>
      <c r="D1819" s="3" t="s">
        <v>229</v>
      </c>
      <c r="E1819" s="3" t="s">
        <v>30</v>
      </c>
      <c r="F1819" s="5">
        <v>0</v>
      </c>
      <c r="G1819" s="5">
        <v>5432.22</v>
      </c>
      <c r="H1819" s="5">
        <f t="shared" si="56"/>
        <v>5432.22</v>
      </c>
      <c r="I1819" s="9">
        <f t="shared" si="57"/>
        <v>0</v>
      </c>
      <c r="J1819" s="3" t="s">
        <v>4603</v>
      </c>
    </row>
    <row r="1820" spans="1:10" ht="25.5">
      <c r="A1820" s="3" t="s">
        <v>1811</v>
      </c>
      <c r="B1820" s="3" t="s">
        <v>2692</v>
      </c>
      <c r="C1820" s="4">
        <v>15</v>
      </c>
      <c r="D1820" s="3" t="s">
        <v>33</v>
      </c>
      <c r="E1820" s="3" t="s">
        <v>13</v>
      </c>
      <c r="F1820" s="5">
        <v>26002.44</v>
      </c>
      <c r="G1820" s="5">
        <v>0</v>
      </c>
      <c r="H1820" s="5">
        <f t="shared" si="56"/>
        <v>-26002.44</v>
      </c>
      <c r="I1820" s="9">
        <f t="shared" si="57"/>
        <v>-1</v>
      </c>
      <c r="J1820" s="3" t="s">
        <v>4604</v>
      </c>
    </row>
    <row r="1821" spans="1:10" ht="25.5">
      <c r="A1821" s="3" t="s">
        <v>1811</v>
      </c>
      <c r="B1821" s="3" t="s">
        <v>2693</v>
      </c>
      <c r="C1821" s="4">
        <v>194</v>
      </c>
      <c r="D1821" s="3" t="s">
        <v>179</v>
      </c>
      <c r="E1821" s="3" t="s">
        <v>13</v>
      </c>
      <c r="F1821" s="5">
        <v>6168</v>
      </c>
      <c r="G1821" s="5">
        <v>7173.96</v>
      </c>
      <c r="H1821" s="5">
        <f t="shared" si="56"/>
        <v>1005.96</v>
      </c>
      <c r="I1821" s="9">
        <f t="shared" si="57"/>
        <v>0.16309338521400774</v>
      </c>
      <c r="J1821" s="3" t="s">
        <v>4603</v>
      </c>
    </row>
    <row r="1822" spans="1:10" ht="25.5">
      <c r="A1822" s="3" t="s">
        <v>1811</v>
      </c>
      <c r="B1822" s="3" t="s">
        <v>2694</v>
      </c>
      <c r="C1822" s="4">
        <v>337</v>
      </c>
      <c r="D1822" s="3" t="s">
        <v>218</v>
      </c>
      <c r="E1822" s="3" t="s">
        <v>13</v>
      </c>
      <c r="F1822" s="5">
        <v>13131</v>
      </c>
      <c r="G1822" s="5">
        <v>0</v>
      </c>
      <c r="H1822" s="5">
        <f t="shared" si="56"/>
        <v>-13131</v>
      </c>
      <c r="I1822" s="9">
        <f t="shared" si="57"/>
        <v>-1</v>
      </c>
      <c r="J1822" s="3" t="s">
        <v>4603</v>
      </c>
    </row>
    <row r="1823" spans="1:10">
      <c r="A1823" s="3" t="s">
        <v>1811</v>
      </c>
      <c r="B1823" s="3" t="s">
        <v>2695</v>
      </c>
      <c r="C1823" s="4">
        <v>315</v>
      </c>
      <c r="D1823" s="3" t="s">
        <v>79</v>
      </c>
      <c r="E1823" s="3" t="s">
        <v>8</v>
      </c>
      <c r="F1823" s="5">
        <v>5681.1</v>
      </c>
      <c r="G1823" s="5">
        <v>4774.7700000000004</v>
      </c>
      <c r="H1823" s="5">
        <f t="shared" si="56"/>
        <v>-906.32999999999993</v>
      </c>
      <c r="I1823" s="9">
        <f t="shared" si="57"/>
        <v>-0.15953424512858427</v>
      </c>
      <c r="J1823" s="3" t="s">
        <v>4603</v>
      </c>
    </row>
    <row r="1824" spans="1:10" ht="25.5">
      <c r="A1824" s="3" t="s">
        <v>1811</v>
      </c>
      <c r="B1824" s="3" t="s">
        <v>2696</v>
      </c>
      <c r="C1824" s="4">
        <v>194</v>
      </c>
      <c r="D1824" s="3" t="s">
        <v>179</v>
      </c>
      <c r="E1824" s="3" t="s">
        <v>13</v>
      </c>
      <c r="F1824" s="5">
        <v>6608.52</v>
      </c>
      <c r="G1824" s="5">
        <v>8713.11</v>
      </c>
      <c r="H1824" s="5">
        <f t="shared" si="56"/>
        <v>2104.59</v>
      </c>
      <c r="I1824" s="9">
        <f t="shared" si="57"/>
        <v>0.31846616186377585</v>
      </c>
      <c r="J1824" s="3" t="s">
        <v>4603</v>
      </c>
    </row>
    <row r="1825" spans="1:10" ht="25.5">
      <c r="A1825" s="3" t="s">
        <v>1811</v>
      </c>
      <c r="B1825" s="3" t="s">
        <v>2697</v>
      </c>
      <c r="C1825" s="4">
        <v>270</v>
      </c>
      <c r="D1825" s="3" t="s">
        <v>312</v>
      </c>
      <c r="E1825" s="3" t="s">
        <v>30</v>
      </c>
      <c r="F1825" s="5">
        <v>9766.44</v>
      </c>
      <c r="G1825" s="5">
        <v>7554.06</v>
      </c>
      <c r="H1825" s="5">
        <f t="shared" si="56"/>
        <v>-2212.38</v>
      </c>
      <c r="I1825" s="9">
        <f t="shared" si="57"/>
        <v>-0.22652880681189869</v>
      </c>
      <c r="J1825" s="3" t="s">
        <v>4603</v>
      </c>
    </row>
    <row r="1826" spans="1:10" ht="25.5">
      <c r="A1826" s="3" t="s">
        <v>1811</v>
      </c>
      <c r="B1826" s="3" t="s">
        <v>2698</v>
      </c>
      <c r="C1826" s="4">
        <v>266</v>
      </c>
      <c r="D1826" s="3" t="s">
        <v>111</v>
      </c>
      <c r="E1826" s="3" t="s">
        <v>18</v>
      </c>
      <c r="F1826" s="5">
        <v>10068.780000000001</v>
      </c>
      <c r="G1826" s="5">
        <v>0</v>
      </c>
      <c r="H1826" s="5">
        <f t="shared" si="56"/>
        <v>-10068.780000000001</v>
      </c>
      <c r="I1826" s="9">
        <f t="shared" si="57"/>
        <v>-1</v>
      </c>
      <c r="J1826" s="3" t="s">
        <v>4603</v>
      </c>
    </row>
    <row r="1827" spans="1:10" ht="25.5">
      <c r="A1827" s="3" t="s">
        <v>1811</v>
      </c>
      <c r="B1827" s="3" t="s">
        <v>2699</v>
      </c>
      <c r="C1827" s="4">
        <v>240</v>
      </c>
      <c r="D1827" s="3" t="s">
        <v>152</v>
      </c>
      <c r="E1827" s="3" t="s">
        <v>13</v>
      </c>
      <c r="F1827" s="5">
        <v>49982.64</v>
      </c>
      <c r="G1827" s="5">
        <v>37238.85</v>
      </c>
      <c r="H1827" s="5">
        <f t="shared" si="56"/>
        <v>-12743.79</v>
      </c>
      <c r="I1827" s="9">
        <f t="shared" si="57"/>
        <v>-0.25496432361315846</v>
      </c>
      <c r="J1827" s="3" t="s">
        <v>4603</v>
      </c>
    </row>
    <row r="1828" spans="1:10" ht="38.25">
      <c r="A1828" s="3" t="s">
        <v>1811</v>
      </c>
      <c r="B1828" s="3" t="s">
        <v>2700</v>
      </c>
      <c r="C1828" s="4">
        <v>31</v>
      </c>
      <c r="D1828" s="3" t="s">
        <v>172</v>
      </c>
      <c r="E1828" s="3" t="s">
        <v>13</v>
      </c>
      <c r="F1828" s="5">
        <v>14280.57</v>
      </c>
      <c r="G1828" s="5">
        <v>12310.95</v>
      </c>
      <c r="H1828" s="5">
        <f t="shared" si="56"/>
        <v>-1969.619999999999</v>
      </c>
      <c r="I1828" s="9">
        <f t="shared" si="57"/>
        <v>-0.13792306609610117</v>
      </c>
      <c r="J1828" s="3" t="s">
        <v>4603</v>
      </c>
    </row>
    <row r="1829" spans="1:10" ht="25.5">
      <c r="A1829" s="3" t="s">
        <v>1811</v>
      </c>
      <c r="B1829" s="3" t="s">
        <v>2701</v>
      </c>
      <c r="C1829" s="4">
        <v>197</v>
      </c>
      <c r="D1829" s="3" t="s">
        <v>23</v>
      </c>
      <c r="E1829" s="3" t="s">
        <v>22</v>
      </c>
      <c r="F1829" s="5">
        <v>0</v>
      </c>
      <c r="G1829" s="5">
        <v>4622.34</v>
      </c>
      <c r="H1829" s="5">
        <f t="shared" si="56"/>
        <v>4622.34</v>
      </c>
      <c r="I1829" s="9">
        <f t="shared" si="57"/>
        <v>0</v>
      </c>
      <c r="J1829" s="3" t="s">
        <v>4603</v>
      </c>
    </row>
    <row r="1830" spans="1:10" ht="25.5">
      <c r="A1830" s="3" t="s">
        <v>1811</v>
      </c>
      <c r="B1830" s="3" t="s">
        <v>2702</v>
      </c>
      <c r="C1830" s="4">
        <v>194</v>
      </c>
      <c r="D1830" s="3" t="s">
        <v>179</v>
      </c>
      <c r="E1830" s="3" t="s">
        <v>13</v>
      </c>
      <c r="F1830" s="5">
        <v>8064.72</v>
      </c>
      <c r="G1830" s="5">
        <v>0</v>
      </c>
      <c r="H1830" s="5">
        <f t="shared" si="56"/>
        <v>-8064.72</v>
      </c>
      <c r="I1830" s="9">
        <f t="shared" si="57"/>
        <v>-1</v>
      </c>
      <c r="J1830" s="3" t="s">
        <v>4603</v>
      </c>
    </row>
    <row r="1831" spans="1:10" ht="38.25">
      <c r="A1831" s="3" t="s">
        <v>1811</v>
      </c>
      <c r="B1831" s="3" t="s">
        <v>2703</v>
      </c>
      <c r="C1831" s="4">
        <v>45</v>
      </c>
      <c r="D1831" s="3" t="s">
        <v>16</v>
      </c>
      <c r="E1831" s="3" t="s">
        <v>8</v>
      </c>
      <c r="F1831" s="5">
        <v>0</v>
      </c>
      <c r="G1831" s="5">
        <v>6427.38</v>
      </c>
      <c r="H1831" s="5">
        <f t="shared" si="56"/>
        <v>6427.38</v>
      </c>
      <c r="I1831" s="9">
        <f t="shared" si="57"/>
        <v>0</v>
      </c>
      <c r="J1831" s="3" t="s">
        <v>4603</v>
      </c>
    </row>
    <row r="1832" spans="1:10" ht="25.5">
      <c r="A1832" s="3" t="s">
        <v>1811</v>
      </c>
      <c r="B1832" s="3" t="s">
        <v>2704</v>
      </c>
      <c r="C1832" s="4">
        <v>178</v>
      </c>
      <c r="D1832" s="3" t="s">
        <v>92</v>
      </c>
      <c r="E1832" s="3" t="s">
        <v>8</v>
      </c>
      <c r="F1832" s="5">
        <v>3251.52</v>
      </c>
      <c r="G1832" s="5">
        <v>5177.76</v>
      </c>
      <c r="H1832" s="5">
        <f t="shared" si="56"/>
        <v>1926.2400000000002</v>
      </c>
      <c r="I1832" s="9">
        <f t="shared" si="57"/>
        <v>0.59241216415707121</v>
      </c>
      <c r="J1832" s="3" t="s">
        <v>4603</v>
      </c>
    </row>
    <row r="1833" spans="1:10">
      <c r="A1833" s="3" t="s">
        <v>1811</v>
      </c>
      <c r="B1833" s="3" t="s">
        <v>2705</v>
      </c>
      <c r="C1833" s="4">
        <v>231</v>
      </c>
      <c r="D1833" s="3" t="s">
        <v>89</v>
      </c>
      <c r="E1833" s="3" t="s">
        <v>8</v>
      </c>
      <c r="F1833" s="5">
        <v>6215.04</v>
      </c>
      <c r="G1833" s="5">
        <v>0</v>
      </c>
      <c r="H1833" s="5">
        <f t="shared" si="56"/>
        <v>-6215.04</v>
      </c>
      <c r="I1833" s="9">
        <f t="shared" si="57"/>
        <v>-1</v>
      </c>
      <c r="J1833" s="3" t="s">
        <v>4603</v>
      </c>
    </row>
    <row r="1834" spans="1:10" ht="25.5">
      <c r="A1834" s="3" t="s">
        <v>1811</v>
      </c>
      <c r="B1834" s="3" t="s">
        <v>2706</v>
      </c>
      <c r="C1834" s="4">
        <v>217</v>
      </c>
      <c r="D1834" s="3" t="s">
        <v>253</v>
      </c>
      <c r="E1834" s="3" t="s">
        <v>13</v>
      </c>
      <c r="F1834" s="5">
        <v>16582.62</v>
      </c>
      <c r="G1834" s="5">
        <v>2607.84</v>
      </c>
      <c r="H1834" s="5">
        <f t="shared" si="56"/>
        <v>-13974.779999999999</v>
      </c>
      <c r="I1834" s="9">
        <f t="shared" si="57"/>
        <v>-0.84273655188383978</v>
      </c>
      <c r="J1834" s="3" t="s">
        <v>4604</v>
      </c>
    </row>
    <row r="1835" spans="1:10" ht="25.5">
      <c r="A1835" s="3" t="s">
        <v>1811</v>
      </c>
      <c r="B1835" s="3" t="s">
        <v>2707</v>
      </c>
      <c r="C1835" s="4">
        <v>197</v>
      </c>
      <c r="D1835" s="3" t="s">
        <v>23</v>
      </c>
      <c r="E1835" s="3" t="s">
        <v>22</v>
      </c>
      <c r="F1835" s="5">
        <v>0</v>
      </c>
      <c r="G1835" s="5">
        <v>9035.1299999999992</v>
      </c>
      <c r="H1835" s="5">
        <f t="shared" si="56"/>
        <v>9035.1299999999992</v>
      </c>
      <c r="I1835" s="9">
        <f t="shared" si="57"/>
        <v>0</v>
      </c>
      <c r="J1835" s="3" t="s">
        <v>4603</v>
      </c>
    </row>
    <row r="1836" spans="1:10" ht="51">
      <c r="A1836" s="3" t="s">
        <v>1811</v>
      </c>
      <c r="B1836" s="3" t="s">
        <v>2708</v>
      </c>
      <c r="C1836" s="4">
        <v>282</v>
      </c>
      <c r="D1836" s="3" t="s">
        <v>298</v>
      </c>
      <c r="E1836" s="3" t="s">
        <v>9</v>
      </c>
      <c r="F1836" s="5">
        <v>2003.64</v>
      </c>
      <c r="G1836" s="5">
        <v>0</v>
      </c>
      <c r="H1836" s="5">
        <f t="shared" si="56"/>
        <v>-2003.64</v>
      </c>
      <c r="I1836" s="9">
        <f t="shared" si="57"/>
        <v>-1</v>
      </c>
      <c r="J1836" s="3" t="s">
        <v>4604</v>
      </c>
    </row>
    <row r="1837" spans="1:10">
      <c r="A1837" s="3" t="s">
        <v>1811</v>
      </c>
      <c r="B1837" s="3" t="s">
        <v>2709</v>
      </c>
      <c r="C1837" s="4">
        <v>231</v>
      </c>
      <c r="D1837" s="3" t="s">
        <v>89</v>
      </c>
      <c r="E1837" s="3" t="s">
        <v>8</v>
      </c>
      <c r="F1837" s="5">
        <v>9160.59</v>
      </c>
      <c r="G1837" s="5">
        <v>0</v>
      </c>
      <c r="H1837" s="5">
        <f t="shared" si="56"/>
        <v>-9160.59</v>
      </c>
      <c r="I1837" s="9">
        <f t="shared" si="57"/>
        <v>-1</v>
      </c>
      <c r="J1837" s="3" t="s">
        <v>4603</v>
      </c>
    </row>
    <row r="1838" spans="1:10" ht="25.5">
      <c r="A1838" s="3" t="s">
        <v>1811</v>
      </c>
      <c r="B1838" s="3" t="s">
        <v>2710</v>
      </c>
      <c r="C1838" s="4">
        <v>270</v>
      </c>
      <c r="D1838" s="3" t="s">
        <v>312</v>
      </c>
      <c r="E1838" s="3" t="s">
        <v>30</v>
      </c>
      <c r="F1838" s="5">
        <v>3719.4</v>
      </c>
      <c r="G1838" s="5">
        <v>0</v>
      </c>
      <c r="H1838" s="5">
        <f t="shared" si="56"/>
        <v>-3719.4</v>
      </c>
      <c r="I1838" s="9">
        <f t="shared" si="57"/>
        <v>-1</v>
      </c>
      <c r="J1838" s="3" t="s">
        <v>4603</v>
      </c>
    </row>
    <row r="1839" spans="1:10" ht="51">
      <c r="A1839" s="3" t="s">
        <v>1811</v>
      </c>
      <c r="B1839" s="3" t="s">
        <v>2711</v>
      </c>
      <c r="C1839" s="4">
        <v>282</v>
      </c>
      <c r="D1839" s="3" t="s">
        <v>298</v>
      </c>
      <c r="E1839" s="3" t="s">
        <v>9</v>
      </c>
      <c r="F1839" s="5">
        <v>6058.86</v>
      </c>
      <c r="G1839" s="5">
        <v>1865.268</v>
      </c>
      <c r="H1839" s="5">
        <f t="shared" si="56"/>
        <v>-4193.5919999999996</v>
      </c>
      <c r="I1839" s="9">
        <f t="shared" si="57"/>
        <v>-0.69214208613501549</v>
      </c>
      <c r="J1839" s="3" t="s">
        <v>4603</v>
      </c>
    </row>
    <row r="1840" spans="1:10">
      <c r="A1840" s="3" t="s">
        <v>1811</v>
      </c>
      <c r="B1840" s="3" t="s">
        <v>2712</v>
      </c>
      <c r="C1840" s="4">
        <v>240</v>
      </c>
      <c r="D1840" s="3" t="s">
        <v>152</v>
      </c>
      <c r="E1840" s="3" t="s">
        <v>13</v>
      </c>
      <c r="F1840" s="5">
        <v>0</v>
      </c>
      <c r="G1840" s="5">
        <v>4185</v>
      </c>
      <c r="H1840" s="5">
        <f t="shared" si="56"/>
        <v>4185</v>
      </c>
      <c r="I1840" s="9">
        <f t="shared" si="57"/>
        <v>0</v>
      </c>
      <c r="J1840" s="3" t="s">
        <v>4603</v>
      </c>
    </row>
    <row r="1841" spans="1:10">
      <c r="A1841" s="3" t="s">
        <v>1811</v>
      </c>
      <c r="B1841" s="3" t="s">
        <v>2713</v>
      </c>
      <c r="C1841" s="4">
        <v>232</v>
      </c>
      <c r="D1841" s="3" t="s">
        <v>95</v>
      </c>
      <c r="E1841" s="3" t="s">
        <v>13</v>
      </c>
      <c r="F1841" s="5">
        <v>8245.2000000000007</v>
      </c>
      <c r="G1841" s="5">
        <v>2707.1</v>
      </c>
      <c r="H1841" s="5">
        <f t="shared" si="56"/>
        <v>-5538.1</v>
      </c>
      <c r="I1841" s="9">
        <f t="shared" si="57"/>
        <v>-0.67167564158540727</v>
      </c>
      <c r="J1841" s="3" t="s">
        <v>4603</v>
      </c>
    </row>
    <row r="1842" spans="1:10" ht="25.5">
      <c r="A1842" s="3" t="s">
        <v>1811</v>
      </c>
      <c r="B1842" s="3" t="s">
        <v>2714</v>
      </c>
      <c r="C1842" s="4">
        <v>315</v>
      </c>
      <c r="D1842" s="3" t="s">
        <v>79</v>
      </c>
      <c r="E1842" s="3" t="s">
        <v>8</v>
      </c>
      <c r="F1842" s="5">
        <v>2988.54</v>
      </c>
      <c r="G1842" s="5">
        <v>5131.32</v>
      </c>
      <c r="H1842" s="5">
        <f t="shared" si="56"/>
        <v>2142.7799999999997</v>
      </c>
      <c r="I1842" s="9">
        <f t="shared" si="57"/>
        <v>0.71699893593527264</v>
      </c>
      <c r="J1842" s="3" t="s">
        <v>4603</v>
      </c>
    </row>
    <row r="1843" spans="1:10" ht="25.5">
      <c r="A1843" s="3" t="s">
        <v>1811</v>
      </c>
      <c r="B1843" s="3" t="s">
        <v>2715</v>
      </c>
      <c r="C1843" s="4">
        <v>19</v>
      </c>
      <c r="D1843" s="3" t="s">
        <v>53</v>
      </c>
      <c r="E1843" s="3" t="s">
        <v>22</v>
      </c>
      <c r="F1843" s="5">
        <v>21176.76</v>
      </c>
      <c r="G1843" s="5">
        <v>0</v>
      </c>
      <c r="H1843" s="5">
        <f t="shared" si="56"/>
        <v>-21176.76</v>
      </c>
      <c r="I1843" s="9">
        <f t="shared" si="57"/>
        <v>-1</v>
      </c>
      <c r="J1843" s="3" t="s">
        <v>4603</v>
      </c>
    </row>
    <row r="1844" spans="1:10" ht="25.5">
      <c r="A1844" s="3" t="s">
        <v>1811</v>
      </c>
      <c r="B1844" s="3" t="s">
        <v>2716</v>
      </c>
      <c r="C1844" s="4">
        <v>19</v>
      </c>
      <c r="D1844" s="3" t="s">
        <v>53</v>
      </c>
      <c r="E1844" s="3" t="s">
        <v>22</v>
      </c>
      <c r="F1844" s="5">
        <v>25166.31</v>
      </c>
      <c r="G1844" s="5">
        <v>0</v>
      </c>
      <c r="H1844" s="5">
        <f t="shared" si="56"/>
        <v>-25166.31</v>
      </c>
      <c r="I1844" s="9">
        <f t="shared" si="57"/>
        <v>-1</v>
      </c>
      <c r="J1844" s="3" t="s">
        <v>4603</v>
      </c>
    </row>
    <row r="1845" spans="1:10" ht="25.5">
      <c r="A1845" s="3" t="s">
        <v>1811</v>
      </c>
      <c r="B1845" s="3" t="s">
        <v>2717</v>
      </c>
      <c r="C1845" s="4">
        <v>167</v>
      </c>
      <c r="D1845" s="3" t="s">
        <v>335</v>
      </c>
      <c r="E1845" s="3" t="s">
        <v>30</v>
      </c>
      <c r="F1845" s="5">
        <v>0</v>
      </c>
      <c r="G1845" s="5">
        <v>8535.34</v>
      </c>
      <c r="H1845" s="5">
        <f t="shared" si="56"/>
        <v>8535.34</v>
      </c>
      <c r="I1845" s="9">
        <f t="shared" si="57"/>
        <v>0</v>
      </c>
      <c r="J1845" s="3" t="s">
        <v>4603</v>
      </c>
    </row>
    <row r="1846" spans="1:10" ht="38.25">
      <c r="A1846" s="3" t="s">
        <v>1811</v>
      </c>
      <c r="B1846" s="3" t="s">
        <v>2718</v>
      </c>
      <c r="C1846" s="4">
        <v>34</v>
      </c>
      <c r="D1846" s="3" t="s">
        <v>136</v>
      </c>
      <c r="E1846" s="3" t="s">
        <v>30</v>
      </c>
      <c r="F1846" s="5">
        <v>13128.96</v>
      </c>
      <c r="G1846" s="5">
        <v>0</v>
      </c>
      <c r="H1846" s="5">
        <f t="shared" si="56"/>
        <v>-13128.96</v>
      </c>
      <c r="I1846" s="9">
        <f t="shared" si="57"/>
        <v>-1</v>
      </c>
      <c r="J1846" s="3" t="s">
        <v>4603</v>
      </c>
    </row>
    <row r="1847" spans="1:10" ht="25.5">
      <c r="A1847" s="3" t="s">
        <v>1811</v>
      </c>
      <c r="B1847" s="3" t="s">
        <v>2719</v>
      </c>
      <c r="C1847" s="4">
        <v>74</v>
      </c>
      <c r="D1847" s="3" t="s">
        <v>86</v>
      </c>
      <c r="E1847" s="3" t="s">
        <v>8</v>
      </c>
      <c r="F1847" s="5">
        <v>0</v>
      </c>
      <c r="G1847" s="5">
        <v>4468.2299999999996</v>
      </c>
      <c r="H1847" s="5">
        <f t="shared" si="56"/>
        <v>4468.2299999999996</v>
      </c>
      <c r="I1847" s="9">
        <f t="shared" si="57"/>
        <v>0</v>
      </c>
      <c r="J1847" s="3" t="s">
        <v>4603</v>
      </c>
    </row>
    <row r="1848" spans="1:10" ht="25.5">
      <c r="A1848" s="3" t="s">
        <v>1811</v>
      </c>
      <c r="B1848" s="3" t="s">
        <v>2720</v>
      </c>
      <c r="C1848" s="4">
        <v>297</v>
      </c>
      <c r="D1848" s="3" t="s">
        <v>209</v>
      </c>
      <c r="E1848" s="3" t="s">
        <v>22</v>
      </c>
      <c r="F1848" s="5">
        <v>0</v>
      </c>
      <c r="G1848" s="5">
        <v>8861.6200000000008</v>
      </c>
      <c r="H1848" s="5">
        <f t="shared" si="56"/>
        <v>8861.6200000000008</v>
      </c>
      <c r="I1848" s="9">
        <f t="shared" si="57"/>
        <v>0</v>
      </c>
      <c r="J1848" s="3" t="s">
        <v>4603</v>
      </c>
    </row>
    <row r="1849" spans="1:10" ht="25.5">
      <c r="A1849" s="3" t="s">
        <v>1811</v>
      </c>
      <c r="B1849" s="3" t="s">
        <v>2721</v>
      </c>
      <c r="C1849" s="4">
        <v>31</v>
      </c>
      <c r="D1849" s="3" t="s">
        <v>172</v>
      </c>
      <c r="E1849" s="3" t="s">
        <v>13</v>
      </c>
      <c r="F1849" s="5">
        <v>29583.75</v>
      </c>
      <c r="G1849" s="5">
        <v>0</v>
      </c>
      <c r="H1849" s="5">
        <f t="shared" si="56"/>
        <v>-29583.75</v>
      </c>
      <c r="I1849" s="9">
        <f t="shared" si="57"/>
        <v>-1</v>
      </c>
      <c r="J1849" s="3" t="s">
        <v>4603</v>
      </c>
    </row>
    <row r="1850" spans="1:10" ht="25.5">
      <c r="A1850" s="3" t="s">
        <v>1811</v>
      </c>
      <c r="B1850" s="3" t="s">
        <v>2722</v>
      </c>
      <c r="C1850" s="4">
        <v>23</v>
      </c>
      <c r="D1850" s="3" t="s">
        <v>71</v>
      </c>
      <c r="E1850" s="3" t="s">
        <v>8</v>
      </c>
      <c r="F1850" s="5">
        <v>7930.8</v>
      </c>
      <c r="G1850" s="5">
        <v>0</v>
      </c>
      <c r="H1850" s="5">
        <f t="shared" si="56"/>
        <v>-7930.8</v>
      </c>
      <c r="I1850" s="9">
        <f t="shared" si="57"/>
        <v>-1</v>
      </c>
      <c r="J1850" s="3" t="s">
        <v>4603</v>
      </c>
    </row>
    <row r="1851" spans="1:10">
      <c r="A1851" s="3" t="s">
        <v>1811</v>
      </c>
      <c r="B1851" s="3" t="s">
        <v>2723</v>
      </c>
      <c r="C1851" s="4">
        <v>217</v>
      </c>
      <c r="D1851" s="3" t="s">
        <v>253</v>
      </c>
      <c r="E1851" s="3" t="s">
        <v>13</v>
      </c>
      <c r="F1851" s="5">
        <v>0</v>
      </c>
      <c r="G1851" s="5">
        <v>4129.8</v>
      </c>
      <c r="H1851" s="5">
        <f t="shared" si="56"/>
        <v>4129.8</v>
      </c>
      <c r="I1851" s="9">
        <f t="shared" si="57"/>
        <v>0</v>
      </c>
      <c r="J1851" s="3" t="s">
        <v>4603</v>
      </c>
    </row>
    <row r="1852" spans="1:10" ht="25.5">
      <c r="A1852" s="3" t="s">
        <v>1811</v>
      </c>
      <c r="B1852" s="3" t="s">
        <v>2724</v>
      </c>
      <c r="C1852" s="4">
        <v>194</v>
      </c>
      <c r="D1852" s="3" t="s">
        <v>179</v>
      </c>
      <c r="E1852" s="3" t="s">
        <v>13</v>
      </c>
      <c r="F1852" s="5">
        <v>0</v>
      </c>
      <c r="G1852" s="5">
        <v>6265.44</v>
      </c>
      <c r="H1852" s="5">
        <f t="shared" si="56"/>
        <v>6265.44</v>
      </c>
      <c r="I1852" s="9">
        <f t="shared" si="57"/>
        <v>0</v>
      </c>
      <c r="J1852" s="3" t="s">
        <v>4603</v>
      </c>
    </row>
    <row r="1853" spans="1:10" ht="25.5">
      <c r="A1853" s="3" t="s">
        <v>1811</v>
      </c>
      <c r="B1853" s="3" t="s">
        <v>2725</v>
      </c>
      <c r="C1853" s="4">
        <v>316</v>
      </c>
      <c r="D1853" s="3" t="s">
        <v>167</v>
      </c>
      <c r="E1853" s="3" t="s">
        <v>18</v>
      </c>
      <c r="F1853" s="5">
        <v>3527.16</v>
      </c>
      <c r="G1853" s="5">
        <v>3200.16</v>
      </c>
      <c r="H1853" s="5">
        <f t="shared" si="56"/>
        <v>-327</v>
      </c>
      <c r="I1853" s="9">
        <f t="shared" si="57"/>
        <v>-9.2709148436702637E-2</v>
      </c>
      <c r="J1853" s="3" t="s">
        <v>4603</v>
      </c>
    </row>
    <row r="1854" spans="1:10" ht="25.5">
      <c r="A1854" s="3" t="s">
        <v>1811</v>
      </c>
      <c r="B1854" s="3" t="s">
        <v>2726</v>
      </c>
      <c r="C1854" s="4">
        <v>23</v>
      </c>
      <c r="D1854" s="3" t="s">
        <v>71</v>
      </c>
      <c r="E1854" s="3" t="s">
        <v>8</v>
      </c>
      <c r="F1854" s="5">
        <v>0</v>
      </c>
      <c r="G1854" s="5">
        <v>3475.56</v>
      </c>
      <c r="H1854" s="5">
        <f t="shared" si="56"/>
        <v>3475.56</v>
      </c>
      <c r="I1854" s="9">
        <f t="shared" si="57"/>
        <v>0</v>
      </c>
      <c r="J1854" s="3" t="s">
        <v>4603</v>
      </c>
    </row>
    <row r="1855" spans="1:10" ht="25.5">
      <c r="A1855" s="3" t="s">
        <v>1811</v>
      </c>
      <c r="B1855" s="3" t="s">
        <v>2727</v>
      </c>
      <c r="C1855" s="4">
        <v>197</v>
      </c>
      <c r="D1855" s="3" t="s">
        <v>23</v>
      </c>
      <c r="E1855" s="3" t="s">
        <v>22</v>
      </c>
      <c r="F1855" s="5">
        <v>7009.5</v>
      </c>
      <c r="G1855" s="5">
        <v>11143</v>
      </c>
      <c r="H1855" s="5">
        <f t="shared" si="56"/>
        <v>4133.5</v>
      </c>
      <c r="I1855" s="9">
        <f t="shared" si="57"/>
        <v>0.58969969327341465</v>
      </c>
      <c r="J1855" s="3" t="s">
        <v>4603</v>
      </c>
    </row>
    <row r="1856" spans="1:10" ht="25.5">
      <c r="A1856" s="3" t="s">
        <v>1811</v>
      </c>
      <c r="B1856" s="3" t="s">
        <v>2728</v>
      </c>
      <c r="C1856" s="4">
        <v>197</v>
      </c>
      <c r="D1856" s="3" t="s">
        <v>23</v>
      </c>
      <c r="E1856" s="3" t="s">
        <v>22</v>
      </c>
      <c r="F1856" s="5">
        <v>8609.11</v>
      </c>
      <c r="G1856" s="5">
        <v>12725.34</v>
      </c>
      <c r="H1856" s="5">
        <f t="shared" si="56"/>
        <v>4116.2299999999996</v>
      </c>
      <c r="I1856" s="9">
        <f t="shared" si="57"/>
        <v>0.47812491651285671</v>
      </c>
      <c r="J1856" s="3" t="s">
        <v>4603</v>
      </c>
    </row>
    <row r="1857" spans="1:10" ht="25.5">
      <c r="A1857" s="3" t="s">
        <v>1811</v>
      </c>
      <c r="B1857" s="3" t="s">
        <v>2729</v>
      </c>
      <c r="C1857" s="4">
        <v>197</v>
      </c>
      <c r="D1857" s="3" t="s">
        <v>23</v>
      </c>
      <c r="E1857" s="3" t="s">
        <v>22</v>
      </c>
      <c r="F1857" s="5">
        <v>12432.32</v>
      </c>
      <c r="G1857" s="5">
        <v>0</v>
      </c>
      <c r="H1857" s="5">
        <f t="shared" si="56"/>
        <v>-12432.32</v>
      </c>
      <c r="I1857" s="9">
        <f t="shared" si="57"/>
        <v>-1</v>
      </c>
      <c r="J1857" s="3" t="s">
        <v>4603</v>
      </c>
    </row>
    <row r="1858" spans="1:10">
      <c r="A1858" s="3" t="s">
        <v>1811</v>
      </c>
      <c r="B1858" s="3" t="s">
        <v>2730</v>
      </c>
      <c r="C1858" s="4">
        <v>232</v>
      </c>
      <c r="D1858" s="3" t="s">
        <v>95</v>
      </c>
      <c r="E1858" s="3" t="s">
        <v>13</v>
      </c>
      <c r="F1858" s="5">
        <v>4344.3599999999997</v>
      </c>
      <c r="G1858" s="5">
        <v>10286.16</v>
      </c>
      <c r="H1858" s="5">
        <f t="shared" si="56"/>
        <v>5941.8</v>
      </c>
      <c r="I1858" s="9">
        <f t="shared" si="57"/>
        <v>1.3677043338949813</v>
      </c>
      <c r="J1858" s="3" t="s">
        <v>4603</v>
      </c>
    </row>
    <row r="1859" spans="1:10" ht="38.25">
      <c r="A1859" s="3" t="s">
        <v>1811</v>
      </c>
      <c r="B1859" s="3" t="s">
        <v>2731</v>
      </c>
      <c r="C1859" s="4">
        <v>34</v>
      </c>
      <c r="D1859" s="3" t="s">
        <v>136</v>
      </c>
      <c r="E1859" s="3" t="s">
        <v>30</v>
      </c>
      <c r="F1859" s="5">
        <v>13678.98</v>
      </c>
      <c r="G1859" s="5">
        <v>0</v>
      </c>
      <c r="H1859" s="5">
        <f t="shared" ref="H1859:H1922" si="58">G1859-F1859</f>
        <v>-13678.98</v>
      </c>
      <c r="I1859" s="9">
        <f t="shared" ref="I1859:I1922" si="59">IFERROR(G1859/F1859-1,0)</f>
        <v>-1</v>
      </c>
      <c r="J1859" s="3" t="s">
        <v>4603</v>
      </c>
    </row>
    <row r="1860" spans="1:10" ht="25.5">
      <c r="A1860" s="3" t="s">
        <v>1811</v>
      </c>
      <c r="B1860" s="3" t="s">
        <v>2732</v>
      </c>
      <c r="C1860" s="4">
        <v>297</v>
      </c>
      <c r="D1860" s="3" t="s">
        <v>209</v>
      </c>
      <c r="E1860" s="3" t="s">
        <v>22</v>
      </c>
      <c r="F1860" s="5">
        <v>6826.92</v>
      </c>
      <c r="G1860" s="5">
        <v>0</v>
      </c>
      <c r="H1860" s="5">
        <f t="shared" si="58"/>
        <v>-6826.92</v>
      </c>
      <c r="I1860" s="9">
        <f t="shared" si="59"/>
        <v>-1</v>
      </c>
      <c r="J1860" s="3" t="s">
        <v>4603</v>
      </c>
    </row>
    <row r="1861" spans="1:10" ht="25.5">
      <c r="A1861" s="3" t="s">
        <v>1811</v>
      </c>
      <c r="B1861" s="3" t="s">
        <v>2733</v>
      </c>
      <c r="C1861" s="4">
        <v>23</v>
      </c>
      <c r="D1861" s="3" t="s">
        <v>71</v>
      </c>
      <c r="E1861" s="3" t="s">
        <v>8</v>
      </c>
      <c r="F1861" s="5">
        <v>25642.799999999999</v>
      </c>
      <c r="G1861" s="5">
        <v>22480.65</v>
      </c>
      <c r="H1861" s="5">
        <f t="shared" si="58"/>
        <v>-3162.1499999999978</v>
      </c>
      <c r="I1861" s="9">
        <f t="shared" si="59"/>
        <v>-0.12331531658009254</v>
      </c>
      <c r="J1861" s="3" t="s">
        <v>4603</v>
      </c>
    </row>
    <row r="1862" spans="1:10" ht="25.5">
      <c r="A1862" s="3" t="s">
        <v>1811</v>
      </c>
      <c r="B1862" s="3" t="s">
        <v>2734</v>
      </c>
      <c r="C1862" s="4">
        <v>93</v>
      </c>
      <c r="D1862" s="3" t="s">
        <v>42</v>
      </c>
      <c r="E1862" s="3" t="s">
        <v>8</v>
      </c>
      <c r="F1862" s="5">
        <v>0</v>
      </c>
      <c r="G1862" s="5">
        <v>21826.799999999999</v>
      </c>
      <c r="H1862" s="5">
        <f t="shared" si="58"/>
        <v>21826.799999999999</v>
      </c>
      <c r="I1862" s="9">
        <f t="shared" si="59"/>
        <v>0</v>
      </c>
      <c r="J1862" s="3" t="s">
        <v>4603</v>
      </c>
    </row>
    <row r="1863" spans="1:10" ht="25.5">
      <c r="A1863" s="3" t="s">
        <v>1811</v>
      </c>
      <c r="B1863" s="3" t="s">
        <v>2735</v>
      </c>
      <c r="C1863" s="4">
        <v>74</v>
      </c>
      <c r="D1863" s="3" t="s">
        <v>86</v>
      </c>
      <c r="E1863" s="3" t="s">
        <v>8</v>
      </c>
      <c r="F1863" s="5">
        <v>31087.32</v>
      </c>
      <c r="G1863" s="5">
        <v>43226.94</v>
      </c>
      <c r="H1863" s="5">
        <f t="shared" si="58"/>
        <v>12139.620000000003</v>
      </c>
      <c r="I1863" s="9">
        <f t="shared" si="59"/>
        <v>0.39050069288700362</v>
      </c>
      <c r="J1863" s="3" t="s">
        <v>4603</v>
      </c>
    </row>
    <row r="1864" spans="1:10" ht="25.5">
      <c r="A1864" s="3" t="s">
        <v>1811</v>
      </c>
      <c r="B1864" s="3" t="s">
        <v>2736</v>
      </c>
      <c r="C1864" s="4">
        <v>266</v>
      </c>
      <c r="D1864" s="3" t="s">
        <v>111</v>
      </c>
      <c r="E1864" s="3" t="s">
        <v>18</v>
      </c>
      <c r="F1864" s="5">
        <v>0</v>
      </c>
      <c r="G1864" s="5">
        <v>284.04000000000002</v>
      </c>
      <c r="H1864" s="5">
        <f t="shared" si="58"/>
        <v>284.04000000000002</v>
      </c>
      <c r="I1864" s="9">
        <f t="shared" si="59"/>
        <v>0</v>
      </c>
      <c r="J1864" s="3" t="s">
        <v>4603</v>
      </c>
    </row>
    <row r="1865" spans="1:10">
      <c r="A1865" s="3" t="s">
        <v>1811</v>
      </c>
      <c r="B1865" s="3" t="s">
        <v>2737</v>
      </c>
      <c r="C1865" s="4">
        <v>232</v>
      </c>
      <c r="D1865" s="3" t="s">
        <v>95</v>
      </c>
      <c r="E1865" s="3" t="s">
        <v>13</v>
      </c>
      <c r="F1865" s="5">
        <v>0</v>
      </c>
      <c r="G1865" s="5">
        <v>18419.88</v>
      </c>
      <c r="H1865" s="5">
        <f t="shared" si="58"/>
        <v>18419.88</v>
      </c>
      <c r="I1865" s="9">
        <f t="shared" si="59"/>
        <v>0</v>
      </c>
      <c r="J1865" s="3" t="s">
        <v>4603</v>
      </c>
    </row>
    <row r="1866" spans="1:10" ht="25.5">
      <c r="A1866" s="3" t="s">
        <v>1811</v>
      </c>
      <c r="B1866" s="3" t="s">
        <v>2738</v>
      </c>
      <c r="C1866" s="4">
        <v>335</v>
      </c>
      <c r="D1866" s="3" t="s">
        <v>7</v>
      </c>
      <c r="E1866" s="3" t="s">
        <v>8</v>
      </c>
      <c r="F1866" s="5">
        <v>5135.16</v>
      </c>
      <c r="G1866" s="5">
        <v>9054.0300000000007</v>
      </c>
      <c r="H1866" s="5">
        <f t="shared" si="58"/>
        <v>3918.8700000000008</v>
      </c>
      <c r="I1866" s="9">
        <f t="shared" si="59"/>
        <v>0.7631446731942142</v>
      </c>
      <c r="J1866" s="3" t="s">
        <v>4603</v>
      </c>
    </row>
    <row r="1867" spans="1:10" ht="25.5">
      <c r="A1867" s="3" t="s">
        <v>1811</v>
      </c>
      <c r="B1867" s="3" t="s">
        <v>2739</v>
      </c>
      <c r="C1867" s="4">
        <v>19</v>
      </c>
      <c r="D1867" s="3" t="s">
        <v>53</v>
      </c>
      <c r="E1867" s="3" t="s">
        <v>22</v>
      </c>
      <c r="F1867" s="5">
        <v>0</v>
      </c>
      <c r="G1867" s="5">
        <v>33188.730000000003</v>
      </c>
      <c r="H1867" s="5">
        <f t="shared" si="58"/>
        <v>33188.730000000003</v>
      </c>
      <c r="I1867" s="9">
        <f t="shared" si="59"/>
        <v>0</v>
      </c>
      <c r="J1867" s="3" t="s">
        <v>4603</v>
      </c>
    </row>
    <row r="1868" spans="1:10" ht="25.5">
      <c r="A1868" s="3" t="s">
        <v>1811</v>
      </c>
      <c r="B1868" s="3" t="s">
        <v>2740</v>
      </c>
      <c r="C1868" s="4">
        <v>19</v>
      </c>
      <c r="D1868" s="3" t="s">
        <v>53</v>
      </c>
      <c r="E1868" s="3" t="s">
        <v>22</v>
      </c>
      <c r="F1868" s="5">
        <v>29918.41</v>
      </c>
      <c r="G1868" s="5">
        <v>31784.1</v>
      </c>
      <c r="H1868" s="5">
        <f t="shared" si="58"/>
        <v>1865.6899999999987</v>
      </c>
      <c r="I1868" s="9">
        <f t="shared" si="59"/>
        <v>6.2359263075811855E-2</v>
      </c>
      <c r="J1868" s="3" t="s">
        <v>4603</v>
      </c>
    </row>
    <row r="1869" spans="1:10" ht="25.5">
      <c r="A1869" s="3" t="s">
        <v>1811</v>
      </c>
      <c r="B1869" s="3" t="s">
        <v>2741</v>
      </c>
      <c r="C1869" s="4">
        <v>267</v>
      </c>
      <c r="D1869" s="3" t="s">
        <v>417</v>
      </c>
      <c r="E1869" s="3" t="s">
        <v>13</v>
      </c>
      <c r="F1869" s="5">
        <v>8356.17</v>
      </c>
      <c r="G1869" s="5">
        <v>0</v>
      </c>
      <c r="H1869" s="5">
        <f t="shared" si="58"/>
        <v>-8356.17</v>
      </c>
      <c r="I1869" s="9">
        <f t="shared" si="59"/>
        <v>-1</v>
      </c>
      <c r="J1869" s="3" t="s">
        <v>4603</v>
      </c>
    </row>
    <row r="1870" spans="1:10" ht="25.5">
      <c r="A1870" s="3" t="s">
        <v>1811</v>
      </c>
      <c r="B1870" s="3" t="s">
        <v>2742</v>
      </c>
      <c r="C1870" s="4">
        <v>273</v>
      </c>
      <c r="D1870" s="3" t="s">
        <v>771</v>
      </c>
      <c r="E1870" s="3" t="s">
        <v>18</v>
      </c>
      <c r="F1870" s="5">
        <v>2736.6</v>
      </c>
      <c r="G1870" s="5">
        <v>0</v>
      </c>
      <c r="H1870" s="5">
        <f t="shared" si="58"/>
        <v>-2736.6</v>
      </c>
      <c r="I1870" s="9">
        <f t="shared" si="59"/>
        <v>-1</v>
      </c>
      <c r="J1870" s="3" t="s">
        <v>4603</v>
      </c>
    </row>
    <row r="1871" spans="1:10" ht="25.5">
      <c r="A1871" s="3" t="s">
        <v>1811</v>
      </c>
      <c r="B1871" s="3" t="s">
        <v>2743</v>
      </c>
      <c r="C1871" s="4">
        <v>302</v>
      </c>
      <c r="D1871" s="3" t="s">
        <v>303</v>
      </c>
      <c r="E1871" s="3" t="s">
        <v>30</v>
      </c>
      <c r="F1871" s="5">
        <v>8707.6200000000008</v>
      </c>
      <c r="G1871" s="5">
        <v>7996.8</v>
      </c>
      <c r="H1871" s="5">
        <f t="shared" si="58"/>
        <v>-710.82000000000062</v>
      </c>
      <c r="I1871" s="9">
        <f t="shared" si="59"/>
        <v>-8.1631949947287619E-2</v>
      </c>
      <c r="J1871" s="3" t="s">
        <v>4603</v>
      </c>
    </row>
    <row r="1872" spans="1:10" ht="38.25">
      <c r="A1872" s="3" t="s">
        <v>1811</v>
      </c>
      <c r="B1872" s="3" t="s">
        <v>2744</v>
      </c>
      <c r="C1872" s="4">
        <v>11</v>
      </c>
      <c r="D1872" s="3" t="s">
        <v>55</v>
      </c>
      <c r="E1872" s="3" t="s">
        <v>18</v>
      </c>
      <c r="F1872" s="5">
        <v>3428.46</v>
      </c>
      <c r="G1872" s="5">
        <v>0</v>
      </c>
      <c r="H1872" s="5">
        <f t="shared" si="58"/>
        <v>-3428.46</v>
      </c>
      <c r="I1872" s="9">
        <f t="shared" si="59"/>
        <v>-1</v>
      </c>
      <c r="J1872" s="3" t="s">
        <v>4603</v>
      </c>
    </row>
    <row r="1873" spans="1:10" ht="38.25">
      <c r="A1873" s="3" t="s">
        <v>1811</v>
      </c>
      <c r="B1873" s="3" t="s">
        <v>2745</v>
      </c>
      <c r="C1873" s="4">
        <v>34</v>
      </c>
      <c r="D1873" s="3" t="s">
        <v>136</v>
      </c>
      <c r="E1873" s="3" t="s">
        <v>30</v>
      </c>
      <c r="F1873" s="5">
        <v>2993.58</v>
      </c>
      <c r="G1873" s="5">
        <v>7395.96</v>
      </c>
      <c r="H1873" s="5">
        <f t="shared" si="58"/>
        <v>4402.38</v>
      </c>
      <c r="I1873" s="9">
        <f t="shared" si="59"/>
        <v>1.4706070991922715</v>
      </c>
      <c r="J1873" s="3" t="s">
        <v>4603</v>
      </c>
    </row>
    <row r="1874" spans="1:10">
      <c r="A1874" s="3" t="s">
        <v>1811</v>
      </c>
      <c r="B1874" s="3" t="s">
        <v>2746</v>
      </c>
      <c r="C1874" s="4">
        <v>334</v>
      </c>
      <c r="D1874" s="3" t="s">
        <v>585</v>
      </c>
      <c r="E1874" s="3" t="s">
        <v>8</v>
      </c>
      <c r="F1874" s="5">
        <v>5487.84</v>
      </c>
      <c r="G1874" s="5">
        <v>3926.88</v>
      </c>
      <c r="H1874" s="5">
        <f t="shared" si="58"/>
        <v>-1560.96</v>
      </c>
      <c r="I1874" s="9">
        <f t="shared" si="59"/>
        <v>-0.28443977958541067</v>
      </c>
      <c r="J1874" s="3" t="s">
        <v>4603</v>
      </c>
    </row>
    <row r="1875" spans="1:10" ht="25.5">
      <c r="A1875" s="3" t="s">
        <v>1811</v>
      </c>
      <c r="B1875" s="3" t="s">
        <v>2747</v>
      </c>
      <c r="C1875" s="4">
        <v>31</v>
      </c>
      <c r="D1875" s="3" t="s">
        <v>172</v>
      </c>
      <c r="E1875" s="3" t="s">
        <v>13</v>
      </c>
      <c r="F1875" s="5">
        <v>18995.46</v>
      </c>
      <c r="G1875" s="5">
        <v>27251.02</v>
      </c>
      <c r="H1875" s="5">
        <f t="shared" si="58"/>
        <v>8255.5600000000013</v>
      </c>
      <c r="I1875" s="9">
        <f t="shared" si="59"/>
        <v>0.4346070060951408</v>
      </c>
      <c r="J1875" s="3" t="s">
        <v>4603</v>
      </c>
    </row>
    <row r="1876" spans="1:10" ht="25.5">
      <c r="A1876" s="3" t="s">
        <v>1811</v>
      </c>
      <c r="B1876" s="3" t="s">
        <v>2748</v>
      </c>
      <c r="C1876" s="4">
        <v>335</v>
      </c>
      <c r="D1876" s="3" t="s">
        <v>7</v>
      </c>
      <c r="E1876" s="3" t="s">
        <v>8</v>
      </c>
      <c r="F1876" s="5">
        <v>0</v>
      </c>
      <c r="G1876" s="5">
        <v>17924.16</v>
      </c>
      <c r="H1876" s="5">
        <f t="shared" si="58"/>
        <v>17924.16</v>
      </c>
      <c r="I1876" s="9">
        <f t="shared" si="59"/>
        <v>0</v>
      </c>
      <c r="J1876" s="3" t="s">
        <v>4603</v>
      </c>
    </row>
    <row r="1877" spans="1:10" ht="25.5">
      <c r="A1877" s="3" t="s">
        <v>1811</v>
      </c>
      <c r="B1877" s="3" t="s">
        <v>2749</v>
      </c>
      <c r="C1877" s="4">
        <v>317</v>
      </c>
      <c r="D1877" s="3" t="s">
        <v>54</v>
      </c>
      <c r="E1877" s="3" t="s">
        <v>18</v>
      </c>
      <c r="F1877" s="5">
        <v>8940</v>
      </c>
      <c r="G1877" s="5">
        <v>2951.16</v>
      </c>
      <c r="H1877" s="5">
        <f t="shared" si="58"/>
        <v>-5988.84</v>
      </c>
      <c r="I1877" s="9">
        <f t="shared" si="59"/>
        <v>-0.66989261744966444</v>
      </c>
      <c r="J1877" s="3" t="s">
        <v>4603</v>
      </c>
    </row>
    <row r="1878" spans="1:10" ht="25.5">
      <c r="A1878" s="3" t="s">
        <v>1811</v>
      </c>
      <c r="B1878" s="3" t="s">
        <v>2750</v>
      </c>
      <c r="C1878" s="4">
        <v>61</v>
      </c>
      <c r="D1878" s="3" t="s">
        <v>114</v>
      </c>
      <c r="E1878" s="3" t="s">
        <v>30</v>
      </c>
      <c r="F1878" s="5">
        <v>6526.98</v>
      </c>
      <c r="G1878" s="5">
        <v>0</v>
      </c>
      <c r="H1878" s="5">
        <f t="shared" si="58"/>
        <v>-6526.98</v>
      </c>
      <c r="I1878" s="9">
        <f t="shared" si="59"/>
        <v>-1</v>
      </c>
      <c r="J1878" s="3" t="s">
        <v>4603</v>
      </c>
    </row>
    <row r="1879" spans="1:10" ht="25.5">
      <c r="A1879" s="3" t="s">
        <v>1811</v>
      </c>
      <c r="B1879" s="3" t="s">
        <v>2751</v>
      </c>
      <c r="C1879" s="4">
        <v>31</v>
      </c>
      <c r="D1879" s="3" t="s">
        <v>172</v>
      </c>
      <c r="E1879" s="3" t="s">
        <v>13</v>
      </c>
      <c r="F1879" s="5">
        <v>16881</v>
      </c>
      <c r="G1879" s="5">
        <v>0</v>
      </c>
      <c r="H1879" s="5">
        <f t="shared" si="58"/>
        <v>-16881</v>
      </c>
      <c r="I1879" s="9">
        <f t="shared" si="59"/>
        <v>-1</v>
      </c>
      <c r="J1879" s="3" t="s">
        <v>4603</v>
      </c>
    </row>
    <row r="1880" spans="1:10" ht="25.5">
      <c r="A1880" s="3" t="s">
        <v>1811</v>
      </c>
      <c r="B1880" s="3" t="s">
        <v>2752</v>
      </c>
      <c r="C1880" s="4">
        <v>178</v>
      </c>
      <c r="D1880" s="3" t="s">
        <v>92</v>
      </c>
      <c r="E1880" s="3" t="s">
        <v>8</v>
      </c>
      <c r="F1880" s="5">
        <v>11404.17</v>
      </c>
      <c r="G1880" s="5">
        <v>21726.48</v>
      </c>
      <c r="H1880" s="5">
        <f t="shared" si="58"/>
        <v>10322.31</v>
      </c>
      <c r="I1880" s="9">
        <f t="shared" si="59"/>
        <v>0.90513470072789159</v>
      </c>
      <c r="J1880" s="3" t="s">
        <v>4604</v>
      </c>
    </row>
    <row r="1881" spans="1:10">
      <c r="A1881" s="3" t="s">
        <v>1811</v>
      </c>
      <c r="B1881" s="3" t="s">
        <v>2753</v>
      </c>
      <c r="C1881" s="4">
        <v>217</v>
      </c>
      <c r="D1881" s="3" t="s">
        <v>253</v>
      </c>
      <c r="E1881" s="3" t="s">
        <v>13</v>
      </c>
      <c r="F1881" s="5">
        <v>12911.34</v>
      </c>
      <c r="G1881" s="5">
        <v>13782.51</v>
      </c>
      <c r="H1881" s="5">
        <f t="shared" si="58"/>
        <v>871.17000000000007</v>
      </c>
      <c r="I1881" s="9">
        <f t="shared" si="59"/>
        <v>6.747324445022751E-2</v>
      </c>
      <c r="J1881" s="3" t="s">
        <v>4603</v>
      </c>
    </row>
    <row r="1882" spans="1:10" ht="25.5">
      <c r="A1882" s="3" t="s">
        <v>1811</v>
      </c>
      <c r="B1882" s="3" t="s">
        <v>2754</v>
      </c>
      <c r="C1882" s="4">
        <v>266</v>
      </c>
      <c r="D1882" s="3" t="s">
        <v>111</v>
      </c>
      <c r="E1882" s="3" t="s">
        <v>18</v>
      </c>
      <c r="F1882" s="5">
        <v>0</v>
      </c>
      <c r="G1882" s="5">
        <v>14032.86</v>
      </c>
      <c r="H1882" s="5">
        <f t="shared" si="58"/>
        <v>14032.86</v>
      </c>
      <c r="I1882" s="9">
        <f t="shared" si="59"/>
        <v>0</v>
      </c>
      <c r="J1882" s="3" t="s">
        <v>4603</v>
      </c>
    </row>
    <row r="1883" spans="1:10" ht="25.5">
      <c r="A1883" s="3" t="s">
        <v>1811</v>
      </c>
      <c r="B1883" s="3" t="s">
        <v>2755</v>
      </c>
      <c r="C1883" s="4">
        <v>217</v>
      </c>
      <c r="D1883" s="3" t="s">
        <v>253</v>
      </c>
      <c r="E1883" s="3" t="s">
        <v>13</v>
      </c>
      <c r="F1883" s="5">
        <v>6536.37</v>
      </c>
      <c r="G1883" s="5">
        <v>0</v>
      </c>
      <c r="H1883" s="5">
        <f t="shared" si="58"/>
        <v>-6536.37</v>
      </c>
      <c r="I1883" s="9">
        <f t="shared" si="59"/>
        <v>-1</v>
      </c>
      <c r="J1883" s="3" t="s">
        <v>4603</v>
      </c>
    </row>
    <row r="1884" spans="1:10" ht="25.5">
      <c r="A1884" s="3" t="s">
        <v>1811</v>
      </c>
      <c r="B1884" s="3" t="s">
        <v>2756</v>
      </c>
      <c r="C1884" s="4">
        <v>61</v>
      </c>
      <c r="D1884" s="3" t="s">
        <v>114</v>
      </c>
      <c r="E1884" s="3" t="s">
        <v>30</v>
      </c>
      <c r="F1884" s="5">
        <v>10830.84</v>
      </c>
      <c r="G1884" s="5">
        <v>15535.71</v>
      </c>
      <c r="H1884" s="5">
        <f t="shared" si="58"/>
        <v>4704.869999999999</v>
      </c>
      <c r="I1884" s="9">
        <f t="shared" si="59"/>
        <v>0.43439567014192804</v>
      </c>
      <c r="J1884" s="3" t="s">
        <v>4603</v>
      </c>
    </row>
    <row r="1885" spans="1:10" ht="25.5">
      <c r="A1885" s="3" t="s">
        <v>1811</v>
      </c>
      <c r="B1885" s="3" t="s">
        <v>2757</v>
      </c>
      <c r="C1885" s="4">
        <v>93</v>
      </c>
      <c r="D1885" s="3" t="s">
        <v>42</v>
      </c>
      <c r="E1885" s="3" t="s">
        <v>8</v>
      </c>
      <c r="F1885" s="5">
        <v>14160.96</v>
      </c>
      <c r="G1885" s="5">
        <v>0</v>
      </c>
      <c r="H1885" s="5">
        <f t="shared" si="58"/>
        <v>-14160.96</v>
      </c>
      <c r="I1885" s="9">
        <f t="shared" si="59"/>
        <v>-1</v>
      </c>
      <c r="J1885" s="3" t="s">
        <v>4603</v>
      </c>
    </row>
    <row r="1886" spans="1:10">
      <c r="A1886" s="3" t="s">
        <v>1811</v>
      </c>
      <c r="B1886" s="3" t="s">
        <v>2758</v>
      </c>
      <c r="C1886" s="4">
        <v>232</v>
      </c>
      <c r="D1886" s="3" t="s">
        <v>95</v>
      </c>
      <c r="E1886" s="3" t="s">
        <v>13</v>
      </c>
      <c r="F1886" s="5">
        <v>3230.64</v>
      </c>
      <c r="G1886" s="5">
        <v>0</v>
      </c>
      <c r="H1886" s="5">
        <f t="shared" si="58"/>
        <v>-3230.64</v>
      </c>
      <c r="I1886" s="9">
        <f t="shared" si="59"/>
        <v>-1</v>
      </c>
      <c r="J1886" s="3" t="s">
        <v>4603</v>
      </c>
    </row>
    <row r="1887" spans="1:10" ht="25.5">
      <c r="A1887" s="3" t="s">
        <v>1811</v>
      </c>
      <c r="B1887" s="3" t="s">
        <v>2759</v>
      </c>
      <c r="C1887" s="4">
        <v>240</v>
      </c>
      <c r="D1887" s="3" t="s">
        <v>152</v>
      </c>
      <c r="E1887" s="3" t="s">
        <v>13</v>
      </c>
      <c r="F1887" s="5">
        <v>8168.76</v>
      </c>
      <c r="G1887" s="5">
        <v>0</v>
      </c>
      <c r="H1887" s="5">
        <f t="shared" si="58"/>
        <v>-8168.76</v>
      </c>
      <c r="I1887" s="9">
        <f t="shared" si="59"/>
        <v>-1</v>
      </c>
      <c r="J1887" s="3" t="s">
        <v>4603</v>
      </c>
    </row>
    <row r="1888" spans="1:10" ht="38.25">
      <c r="A1888" s="3" t="s">
        <v>1811</v>
      </c>
      <c r="B1888" s="3" t="s">
        <v>2760</v>
      </c>
      <c r="C1888" s="4">
        <v>331</v>
      </c>
      <c r="D1888" s="3" t="s">
        <v>1728</v>
      </c>
      <c r="E1888" s="3" t="s">
        <v>9</v>
      </c>
      <c r="F1888" s="5">
        <v>0</v>
      </c>
      <c r="G1888" s="5">
        <v>8395.4459999999999</v>
      </c>
      <c r="H1888" s="5">
        <f t="shared" si="58"/>
        <v>8395.4459999999999</v>
      </c>
      <c r="I1888" s="9">
        <f t="shared" si="59"/>
        <v>0</v>
      </c>
      <c r="J1888" s="3" t="s">
        <v>4603</v>
      </c>
    </row>
    <row r="1889" spans="1:10" ht="25.5">
      <c r="A1889" s="3" t="s">
        <v>1811</v>
      </c>
      <c r="B1889" s="3" t="s">
        <v>2761</v>
      </c>
      <c r="C1889" s="4">
        <v>218</v>
      </c>
      <c r="D1889" s="3" t="s">
        <v>155</v>
      </c>
      <c r="E1889" s="3" t="s">
        <v>13</v>
      </c>
      <c r="F1889" s="5">
        <v>0</v>
      </c>
      <c r="G1889" s="5">
        <v>3089.16</v>
      </c>
      <c r="H1889" s="5">
        <f t="shared" si="58"/>
        <v>3089.16</v>
      </c>
      <c r="I1889" s="9">
        <f t="shared" si="59"/>
        <v>0</v>
      </c>
      <c r="J1889" s="3" t="s">
        <v>4603</v>
      </c>
    </row>
    <row r="1890" spans="1:10" ht="25.5">
      <c r="A1890" s="3" t="s">
        <v>1811</v>
      </c>
      <c r="B1890" s="3" t="s">
        <v>2762</v>
      </c>
      <c r="C1890" s="4">
        <v>41</v>
      </c>
      <c r="D1890" s="3" t="s">
        <v>106</v>
      </c>
      <c r="E1890" s="3" t="s">
        <v>22</v>
      </c>
      <c r="F1890" s="5">
        <v>0</v>
      </c>
      <c r="G1890" s="5">
        <v>3408.96</v>
      </c>
      <c r="H1890" s="5">
        <f t="shared" si="58"/>
        <v>3408.96</v>
      </c>
      <c r="I1890" s="9">
        <f t="shared" si="59"/>
        <v>0</v>
      </c>
      <c r="J1890" s="3" t="s">
        <v>4603</v>
      </c>
    </row>
    <row r="1891" spans="1:10" ht="38.25">
      <c r="A1891" s="3" t="s">
        <v>1811</v>
      </c>
      <c r="B1891" s="3" t="s">
        <v>2763</v>
      </c>
      <c r="C1891" s="4">
        <v>31</v>
      </c>
      <c r="D1891" s="3" t="s">
        <v>172</v>
      </c>
      <c r="E1891" s="3" t="s">
        <v>13</v>
      </c>
      <c r="F1891" s="5">
        <v>3323.4</v>
      </c>
      <c r="G1891" s="5">
        <v>11688.48</v>
      </c>
      <c r="H1891" s="5">
        <f t="shared" si="58"/>
        <v>8365.08</v>
      </c>
      <c r="I1891" s="9">
        <f t="shared" si="59"/>
        <v>2.5170247337064451</v>
      </c>
      <c r="J1891" s="3" t="s">
        <v>4603</v>
      </c>
    </row>
    <row r="1892" spans="1:10" ht="25.5">
      <c r="A1892" s="3" t="s">
        <v>1811</v>
      </c>
      <c r="B1892" s="3" t="s">
        <v>2764</v>
      </c>
      <c r="C1892" s="4">
        <v>261</v>
      </c>
      <c r="D1892" s="3" t="s">
        <v>17</v>
      </c>
      <c r="E1892" s="3" t="s">
        <v>18</v>
      </c>
      <c r="F1892" s="5">
        <v>14046.27</v>
      </c>
      <c r="G1892" s="5">
        <v>11799.15</v>
      </c>
      <c r="H1892" s="5">
        <f t="shared" si="58"/>
        <v>-2247.1200000000008</v>
      </c>
      <c r="I1892" s="9">
        <f t="shared" si="59"/>
        <v>-0.1599798380637707</v>
      </c>
      <c r="J1892" s="3" t="s">
        <v>4603</v>
      </c>
    </row>
    <row r="1893" spans="1:10">
      <c r="A1893" s="3" t="s">
        <v>1811</v>
      </c>
      <c r="B1893" s="3" t="s">
        <v>2765</v>
      </c>
      <c r="C1893" s="4">
        <v>232</v>
      </c>
      <c r="D1893" s="3" t="s">
        <v>95</v>
      </c>
      <c r="E1893" s="3" t="s">
        <v>13</v>
      </c>
      <c r="F1893" s="5">
        <v>0</v>
      </c>
      <c r="G1893" s="5">
        <v>14473.74</v>
      </c>
      <c r="H1893" s="5">
        <f t="shared" si="58"/>
        <v>14473.74</v>
      </c>
      <c r="I1893" s="9">
        <f t="shared" si="59"/>
        <v>0</v>
      </c>
      <c r="J1893" s="3" t="s">
        <v>4603</v>
      </c>
    </row>
    <row r="1894" spans="1:10" ht="25.5">
      <c r="A1894" s="3" t="s">
        <v>1811</v>
      </c>
      <c r="B1894" s="3" t="s">
        <v>2766</v>
      </c>
      <c r="C1894" s="4">
        <v>299</v>
      </c>
      <c r="D1894" s="3" t="s">
        <v>246</v>
      </c>
      <c r="E1894" s="3" t="s">
        <v>30</v>
      </c>
      <c r="F1894" s="5">
        <v>2291.64</v>
      </c>
      <c r="G1894" s="5">
        <v>0</v>
      </c>
      <c r="H1894" s="5">
        <f t="shared" si="58"/>
        <v>-2291.64</v>
      </c>
      <c r="I1894" s="9">
        <f t="shared" si="59"/>
        <v>-1</v>
      </c>
      <c r="J1894" s="3" t="s">
        <v>4603</v>
      </c>
    </row>
    <row r="1895" spans="1:10" ht="25.5">
      <c r="A1895" s="3" t="s">
        <v>1811</v>
      </c>
      <c r="B1895" s="3" t="s">
        <v>2767</v>
      </c>
      <c r="C1895" s="4">
        <v>208</v>
      </c>
      <c r="D1895" s="3" t="s">
        <v>58</v>
      </c>
      <c r="E1895" s="3" t="s">
        <v>13</v>
      </c>
      <c r="F1895" s="5">
        <v>19677</v>
      </c>
      <c r="G1895" s="5">
        <v>0</v>
      </c>
      <c r="H1895" s="5">
        <f t="shared" si="58"/>
        <v>-19677</v>
      </c>
      <c r="I1895" s="9">
        <f t="shared" si="59"/>
        <v>-1</v>
      </c>
      <c r="J1895" s="3" t="s">
        <v>4603</v>
      </c>
    </row>
    <row r="1896" spans="1:10" ht="25.5">
      <c r="A1896" s="3" t="s">
        <v>1811</v>
      </c>
      <c r="B1896" s="3" t="s">
        <v>2768</v>
      </c>
      <c r="C1896" s="4">
        <v>266</v>
      </c>
      <c r="D1896" s="3" t="s">
        <v>111</v>
      </c>
      <c r="E1896" s="3" t="s">
        <v>18</v>
      </c>
      <c r="F1896" s="5">
        <v>11717.73</v>
      </c>
      <c r="G1896" s="5">
        <v>0</v>
      </c>
      <c r="H1896" s="5">
        <f t="shared" si="58"/>
        <v>-11717.73</v>
      </c>
      <c r="I1896" s="9">
        <f t="shared" si="59"/>
        <v>-1</v>
      </c>
      <c r="J1896" s="3" t="s">
        <v>4604</v>
      </c>
    </row>
    <row r="1897" spans="1:10" ht="25.5">
      <c r="A1897" s="3" t="s">
        <v>1811</v>
      </c>
      <c r="B1897" s="3" t="s">
        <v>2769</v>
      </c>
      <c r="C1897" s="4">
        <v>296</v>
      </c>
      <c r="D1897" s="3" t="s">
        <v>137</v>
      </c>
      <c r="E1897" s="3" t="s">
        <v>18</v>
      </c>
      <c r="F1897" s="5">
        <v>0</v>
      </c>
      <c r="G1897" s="5">
        <v>2556.6999999999998</v>
      </c>
      <c r="H1897" s="5">
        <f t="shared" si="58"/>
        <v>2556.6999999999998</v>
      </c>
      <c r="I1897" s="9">
        <f t="shared" si="59"/>
        <v>0</v>
      </c>
      <c r="J1897" s="3" t="s">
        <v>4603</v>
      </c>
    </row>
    <row r="1898" spans="1:10" ht="25.5">
      <c r="A1898" s="3" t="s">
        <v>1811</v>
      </c>
      <c r="B1898" s="3" t="s">
        <v>2770</v>
      </c>
      <c r="C1898" s="4">
        <v>299</v>
      </c>
      <c r="D1898" s="3" t="s">
        <v>246</v>
      </c>
      <c r="E1898" s="3" t="s">
        <v>30</v>
      </c>
      <c r="F1898" s="5">
        <v>2111.52</v>
      </c>
      <c r="G1898" s="5">
        <v>0</v>
      </c>
      <c r="H1898" s="5">
        <f t="shared" si="58"/>
        <v>-2111.52</v>
      </c>
      <c r="I1898" s="9">
        <f t="shared" si="59"/>
        <v>-1</v>
      </c>
      <c r="J1898" s="3" t="s">
        <v>4603</v>
      </c>
    </row>
    <row r="1899" spans="1:10" ht="25.5">
      <c r="A1899" s="3" t="s">
        <v>1811</v>
      </c>
      <c r="B1899" s="3" t="s">
        <v>2771</v>
      </c>
      <c r="C1899" s="4">
        <v>23</v>
      </c>
      <c r="D1899" s="3" t="s">
        <v>71</v>
      </c>
      <c r="E1899" s="3" t="s">
        <v>8</v>
      </c>
      <c r="F1899" s="5">
        <v>11014.2</v>
      </c>
      <c r="G1899" s="5">
        <v>0</v>
      </c>
      <c r="H1899" s="5">
        <f t="shared" si="58"/>
        <v>-11014.2</v>
      </c>
      <c r="I1899" s="9">
        <f t="shared" si="59"/>
        <v>-1</v>
      </c>
      <c r="J1899" s="3" t="s">
        <v>4604</v>
      </c>
    </row>
    <row r="1900" spans="1:10" ht="25.5">
      <c r="A1900" s="3" t="s">
        <v>1811</v>
      </c>
      <c r="B1900" s="3" t="s">
        <v>2772</v>
      </c>
      <c r="C1900" s="4">
        <v>327</v>
      </c>
      <c r="D1900" s="3" t="s">
        <v>76</v>
      </c>
      <c r="E1900" s="3" t="s">
        <v>8</v>
      </c>
      <c r="F1900" s="5">
        <v>0</v>
      </c>
      <c r="G1900" s="5">
        <v>10608.36</v>
      </c>
      <c r="H1900" s="5">
        <f t="shared" si="58"/>
        <v>10608.36</v>
      </c>
      <c r="I1900" s="9">
        <f t="shared" si="59"/>
        <v>0</v>
      </c>
      <c r="J1900" s="3" t="s">
        <v>4603</v>
      </c>
    </row>
    <row r="1901" spans="1:10" ht="25.5">
      <c r="A1901" s="3" t="s">
        <v>1811</v>
      </c>
      <c r="B1901" s="3" t="s">
        <v>2773</v>
      </c>
      <c r="C1901" s="4">
        <v>299</v>
      </c>
      <c r="D1901" s="3" t="s">
        <v>246</v>
      </c>
      <c r="E1901" s="3" t="s">
        <v>30</v>
      </c>
      <c r="F1901" s="5">
        <v>2699.4</v>
      </c>
      <c r="G1901" s="5">
        <v>0</v>
      </c>
      <c r="H1901" s="5">
        <f t="shared" si="58"/>
        <v>-2699.4</v>
      </c>
      <c r="I1901" s="9">
        <f t="shared" si="59"/>
        <v>-1</v>
      </c>
      <c r="J1901" s="3" t="s">
        <v>4603</v>
      </c>
    </row>
    <row r="1902" spans="1:10" ht="25.5">
      <c r="A1902" s="3" t="s">
        <v>1811</v>
      </c>
      <c r="B1902" s="3" t="s">
        <v>2774</v>
      </c>
      <c r="C1902" s="4">
        <v>194</v>
      </c>
      <c r="D1902" s="3" t="s">
        <v>179</v>
      </c>
      <c r="E1902" s="3" t="s">
        <v>13</v>
      </c>
      <c r="F1902" s="5">
        <v>4466.76</v>
      </c>
      <c r="G1902" s="5">
        <v>6519.36</v>
      </c>
      <c r="H1902" s="5">
        <f t="shared" si="58"/>
        <v>2052.5999999999995</v>
      </c>
      <c r="I1902" s="9">
        <f t="shared" si="59"/>
        <v>0.45952771136125503</v>
      </c>
      <c r="J1902" s="3" t="s">
        <v>4603</v>
      </c>
    </row>
    <row r="1903" spans="1:10" ht="25.5">
      <c r="A1903" s="3" t="s">
        <v>1811</v>
      </c>
      <c r="B1903" s="3" t="s">
        <v>2775</v>
      </c>
      <c r="C1903" s="4">
        <v>327</v>
      </c>
      <c r="D1903" s="3" t="s">
        <v>76</v>
      </c>
      <c r="E1903" s="3" t="s">
        <v>8</v>
      </c>
      <c r="F1903" s="5">
        <v>0</v>
      </c>
      <c r="G1903" s="5">
        <v>7076.88</v>
      </c>
      <c r="H1903" s="5">
        <f t="shared" si="58"/>
        <v>7076.88</v>
      </c>
      <c r="I1903" s="9">
        <f t="shared" si="59"/>
        <v>0</v>
      </c>
      <c r="J1903" s="3" t="s">
        <v>4603</v>
      </c>
    </row>
    <row r="1904" spans="1:10" ht="25.5">
      <c r="A1904" s="3" t="s">
        <v>1811</v>
      </c>
      <c r="B1904" s="3" t="s">
        <v>2776</v>
      </c>
      <c r="C1904" s="4">
        <v>321</v>
      </c>
      <c r="D1904" s="3" t="s">
        <v>125</v>
      </c>
      <c r="E1904" s="3" t="s">
        <v>22</v>
      </c>
      <c r="F1904" s="5">
        <v>6407.01</v>
      </c>
      <c r="G1904" s="5">
        <v>0</v>
      </c>
      <c r="H1904" s="5">
        <f t="shared" si="58"/>
        <v>-6407.01</v>
      </c>
      <c r="I1904" s="9">
        <f t="shared" si="59"/>
        <v>-1</v>
      </c>
      <c r="J1904" s="3" t="s">
        <v>4603</v>
      </c>
    </row>
    <row r="1905" spans="1:10" ht="25.5">
      <c r="A1905" s="3" t="s">
        <v>1811</v>
      </c>
      <c r="B1905" s="3" t="s">
        <v>2777</v>
      </c>
      <c r="C1905" s="4">
        <v>93</v>
      </c>
      <c r="D1905" s="3" t="s">
        <v>42</v>
      </c>
      <c r="E1905" s="3" t="s">
        <v>8</v>
      </c>
      <c r="F1905" s="5">
        <v>14709.84</v>
      </c>
      <c r="G1905" s="5">
        <v>9400.44</v>
      </c>
      <c r="H1905" s="5">
        <f t="shared" si="58"/>
        <v>-5309.4</v>
      </c>
      <c r="I1905" s="9">
        <f t="shared" si="59"/>
        <v>-0.36094206327193223</v>
      </c>
      <c r="J1905" s="3" t="s">
        <v>4603</v>
      </c>
    </row>
    <row r="1906" spans="1:10" ht="38.25">
      <c r="A1906" s="3" t="s">
        <v>1811</v>
      </c>
      <c r="B1906" s="3" t="s">
        <v>2778</v>
      </c>
      <c r="C1906" s="4">
        <v>38</v>
      </c>
      <c r="D1906" s="3" t="s">
        <v>229</v>
      </c>
      <c r="E1906" s="3" t="s">
        <v>30</v>
      </c>
      <c r="F1906" s="5">
        <v>17139.57</v>
      </c>
      <c r="G1906" s="5">
        <v>24270.959999999999</v>
      </c>
      <c r="H1906" s="5">
        <f t="shared" si="58"/>
        <v>7131.3899999999994</v>
      </c>
      <c r="I1906" s="9">
        <f t="shared" si="59"/>
        <v>0.41607753286692728</v>
      </c>
      <c r="J1906" s="3" t="s">
        <v>4603</v>
      </c>
    </row>
    <row r="1907" spans="1:10" ht="38.25">
      <c r="A1907" s="3" t="s">
        <v>1811</v>
      </c>
      <c r="B1907" s="3" t="s">
        <v>2779</v>
      </c>
      <c r="C1907" s="4">
        <v>371</v>
      </c>
      <c r="D1907" s="3" t="s">
        <v>29</v>
      </c>
      <c r="E1907" s="3" t="s">
        <v>30</v>
      </c>
      <c r="F1907" s="5">
        <v>0</v>
      </c>
      <c r="G1907" s="5">
        <v>2109.6</v>
      </c>
      <c r="H1907" s="5">
        <f t="shared" si="58"/>
        <v>2109.6</v>
      </c>
      <c r="I1907" s="9">
        <f t="shared" si="59"/>
        <v>0</v>
      </c>
      <c r="J1907" s="3" t="s">
        <v>4603</v>
      </c>
    </row>
    <row r="1908" spans="1:10" ht="25.5">
      <c r="A1908" s="3" t="s">
        <v>1811</v>
      </c>
      <c r="B1908" s="3" t="s">
        <v>2780</v>
      </c>
      <c r="C1908" s="4">
        <v>53</v>
      </c>
      <c r="D1908" s="3" t="s">
        <v>340</v>
      </c>
      <c r="E1908" s="3" t="s">
        <v>13</v>
      </c>
      <c r="F1908" s="5">
        <v>0</v>
      </c>
      <c r="G1908" s="5">
        <v>34679.279999999999</v>
      </c>
      <c r="H1908" s="5">
        <f t="shared" si="58"/>
        <v>34679.279999999999</v>
      </c>
      <c r="I1908" s="9">
        <f t="shared" si="59"/>
        <v>0</v>
      </c>
      <c r="J1908" s="3" t="s">
        <v>4603</v>
      </c>
    </row>
    <row r="1909" spans="1:10" ht="25.5">
      <c r="A1909" s="3" t="s">
        <v>1811</v>
      </c>
      <c r="B1909" s="3" t="s">
        <v>2781</v>
      </c>
      <c r="C1909" s="4">
        <v>261</v>
      </c>
      <c r="D1909" s="3" t="s">
        <v>17</v>
      </c>
      <c r="E1909" s="3" t="s">
        <v>18</v>
      </c>
      <c r="F1909" s="5">
        <v>0</v>
      </c>
      <c r="G1909" s="5">
        <v>2508.96</v>
      </c>
      <c r="H1909" s="5">
        <f t="shared" si="58"/>
        <v>2508.96</v>
      </c>
      <c r="I1909" s="9">
        <f t="shared" si="59"/>
        <v>0</v>
      </c>
      <c r="J1909" s="3" t="s">
        <v>4603</v>
      </c>
    </row>
    <row r="1910" spans="1:10" ht="25.5">
      <c r="A1910" s="3" t="s">
        <v>1811</v>
      </c>
      <c r="B1910" s="3" t="s">
        <v>2782</v>
      </c>
      <c r="C1910" s="4">
        <v>218</v>
      </c>
      <c r="D1910" s="3" t="s">
        <v>155</v>
      </c>
      <c r="E1910" s="3" t="s">
        <v>13</v>
      </c>
      <c r="F1910" s="5">
        <v>6847.65</v>
      </c>
      <c r="G1910" s="5">
        <v>0</v>
      </c>
      <c r="H1910" s="5">
        <f t="shared" si="58"/>
        <v>-6847.65</v>
      </c>
      <c r="I1910" s="9">
        <f t="shared" si="59"/>
        <v>-1</v>
      </c>
      <c r="J1910" s="3" t="s">
        <v>4603</v>
      </c>
    </row>
    <row r="1911" spans="1:10" ht="25.5">
      <c r="A1911" s="3" t="s">
        <v>1811</v>
      </c>
      <c r="B1911" s="3" t="s">
        <v>2783</v>
      </c>
      <c r="C1911" s="4">
        <v>74</v>
      </c>
      <c r="D1911" s="3" t="s">
        <v>86</v>
      </c>
      <c r="E1911" s="3" t="s">
        <v>8</v>
      </c>
      <c r="F1911" s="5">
        <v>14325.99</v>
      </c>
      <c r="G1911" s="5">
        <v>11067</v>
      </c>
      <c r="H1911" s="5">
        <f t="shared" si="58"/>
        <v>-3258.99</v>
      </c>
      <c r="I1911" s="9">
        <f t="shared" si="59"/>
        <v>-0.22748794324161892</v>
      </c>
      <c r="J1911" s="3" t="s">
        <v>4603</v>
      </c>
    </row>
    <row r="1912" spans="1:10" ht="25.5">
      <c r="A1912" s="3" t="s">
        <v>1811</v>
      </c>
      <c r="B1912" s="3" t="s">
        <v>2784</v>
      </c>
      <c r="C1912" s="4">
        <v>267</v>
      </c>
      <c r="D1912" s="3" t="s">
        <v>417</v>
      </c>
      <c r="E1912" s="3" t="s">
        <v>13</v>
      </c>
      <c r="F1912" s="5">
        <v>0</v>
      </c>
      <c r="G1912" s="5">
        <v>8060.76</v>
      </c>
      <c r="H1912" s="5">
        <f t="shared" si="58"/>
        <v>8060.76</v>
      </c>
      <c r="I1912" s="9">
        <f t="shared" si="59"/>
        <v>0</v>
      </c>
      <c r="J1912" s="3" t="s">
        <v>4603</v>
      </c>
    </row>
    <row r="1913" spans="1:10" ht="25.5">
      <c r="A1913" s="3" t="s">
        <v>1811</v>
      </c>
      <c r="B1913" s="3" t="s">
        <v>2785</v>
      </c>
      <c r="C1913" s="4">
        <v>74</v>
      </c>
      <c r="D1913" s="3" t="s">
        <v>86</v>
      </c>
      <c r="E1913" s="3" t="s">
        <v>8</v>
      </c>
      <c r="F1913" s="5">
        <v>6323.04</v>
      </c>
      <c r="G1913" s="5">
        <v>0</v>
      </c>
      <c r="H1913" s="5">
        <f t="shared" si="58"/>
        <v>-6323.04</v>
      </c>
      <c r="I1913" s="9">
        <f t="shared" si="59"/>
        <v>-1</v>
      </c>
      <c r="J1913" s="3" t="s">
        <v>4603</v>
      </c>
    </row>
    <row r="1914" spans="1:10" ht="25.5">
      <c r="A1914" s="3" t="s">
        <v>1811</v>
      </c>
      <c r="B1914" s="3" t="s">
        <v>2786</v>
      </c>
      <c r="C1914" s="4">
        <v>178</v>
      </c>
      <c r="D1914" s="3" t="s">
        <v>92</v>
      </c>
      <c r="E1914" s="3" t="s">
        <v>8</v>
      </c>
      <c r="F1914" s="5">
        <v>0</v>
      </c>
      <c r="G1914" s="5">
        <v>12157.14</v>
      </c>
      <c r="H1914" s="5">
        <f t="shared" si="58"/>
        <v>12157.14</v>
      </c>
      <c r="I1914" s="9">
        <f t="shared" si="59"/>
        <v>0</v>
      </c>
      <c r="J1914" s="3" t="s">
        <v>4603</v>
      </c>
    </row>
    <row r="1915" spans="1:10" ht="25.5">
      <c r="A1915" s="3" t="s">
        <v>1811</v>
      </c>
      <c r="B1915" s="3" t="s">
        <v>2787</v>
      </c>
      <c r="C1915" s="4">
        <v>93</v>
      </c>
      <c r="D1915" s="3" t="s">
        <v>42</v>
      </c>
      <c r="E1915" s="3" t="s">
        <v>8</v>
      </c>
      <c r="F1915" s="5">
        <v>0</v>
      </c>
      <c r="G1915" s="5">
        <v>11405.88</v>
      </c>
      <c r="H1915" s="5">
        <f t="shared" si="58"/>
        <v>11405.88</v>
      </c>
      <c r="I1915" s="9">
        <f t="shared" si="59"/>
        <v>0</v>
      </c>
      <c r="J1915" s="3" t="s">
        <v>4603</v>
      </c>
    </row>
    <row r="1916" spans="1:10">
      <c r="A1916" s="3" t="s">
        <v>1811</v>
      </c>
      <c r="B1916" s="3" t="s">
        <v>2788</v>
      </c>
      <c r="C1916" s="4">
        <v>217</v>
      </c>
      <c r="D1916" s="3" t="s">
        <v>253</v>
      </c>
      <c r="E1916" s="3" t="s">
        <v>13</v>
      </c>
      <c r="F1916" s="5">
        <v>3842.7</v>
      </c>
      <c r="G1916" s="5">
        <v>0</v>
      </c>
      <c r="H1916" s="5">
        <f t="shared" si="58"/>
        <v>-3842.7</v>
      </c>
      <c r="I1916" s="9">
        <f t="shared" si="59"/>
        <v>-1</v>
      </c>
      <c r="J1916" s="3" t="s">
        <v>4603</v>
      </c>
    </row>
    <row r="1917" spans="1:10" ht="25.5">
      <c r="A1917" s="3" t="s">
        <v>1811</v>
      </c>
      <c r="B1917" s="3" t="s">
        <v>2789</v>
      </c>
      <c r="C1917" s="4">
        <v>74</v>
      </c>
      <c r="D1917" s="3" t="s">
        <v>86</v>
      </c>
      <c r="E1917" s="3" t="s">
        <v>8</v>
      </c>
      <c r="F1917" s="5">
        <v>7547.04</v>
      </c>
      <c r="G1917" s="5">
        <v>0</v>
      </c>
      <c r="H1917" s="5">
        <f t="shared" si="58"/>
        <v>-7547.04</v>
      </c>
      <c r="I1917" s="9">
        <f t="shared" si="59"/>
        <v>-1</v>
      </c>
      <c r="J1917" s="3" t="s">
        <v>4603</v>
      </c>
    </row>
    <row r="1918" spans="1:10" ht="25.5">
      <c r="A1918" s="3" t="s">
        <v>1811</v>
      </c>
      <c r="B1918" s="3" t="s">
        <v>2790</v>
      </c>
      <c r="C1918" s="4">
        <v>261</v>
      </c>
      <c r="D1918" s="3" t="s">
        <v>17</v>
      </c>
      <c r="E1918" s="3" t="s">
        <v>18</v>
      </c>
      <c r="F1918" s="5">
        <v>9298.44</v>
      </c>
      <c r="G1918" s="5">
        <v>0</v>
      </c>
      <c r="H1918" s="5">
        <f t="shared" si="58"/>
        <v>-9298.44</v>
      </c>
      <c r="I1918" s="9">
        <f t="shared" si="59"/>
        <v>-1</v>
      </c>
      <c r="J1918" s="3" t="s">
        <v>4603</v>
      </c>
    </row>
    <row r="1919" spans="1:10" ht="25.5">
      <c r="A1919" s="3" t="s">
        <v>1811</v>
      </c>
      <c r="B1919" s="3" t="s">
        <v>2791</v>
      </c>
      <c r="C1919" s="4">
        <v>74</v>
      </c>
      <c r="D1919" s="3" t="s">
        <v>86</v>
      </c>
      <c r="E1919" s="3" t="s">
        <v>8</v>
      </c>
      <c r="F1919" s="5">
        <v>7318.92</v>
      </c>
      <c r="G1919" s="5">
        <v>0</v>
      </c>
      <c r="H1919" s="5">
        <f t="shared" si="58"/>
        <v>-7318.92</v>
      </c>
      <c r="I1919" s="9">
        <f t="shared" si="59"/>
        <v>-1</v>
      </c>
      <c r="J1919" s="3" t="s">
        <v>4603</v>
      </c>
    </row>
    <row r="1920" spans="1:10" ht="25.5">
      <c r="A1920" s="3" t="s">
        <v>1811</v>
      </c>
      <c r="B1920" s="3" t="s">
        <v>2792</v>
      </c>
      <c r="C1920" s="4">
        <v>74</v>
      </c>
      <c r="D1920" s="3" t="s">
        <v>86</v>
      </c>
      <c r="E1920" s="3" t="s">
        <v>8</v>
      </c>
      <c r="F1920" s="5">
        <v>28930.44</v>
      </c>
      <c r="G1920" s="5">
        <v>0</v>
      </c>
      <c r="H1920" s="5">
        <f t="shared" si="58"/>
        <v>-28930.44</v>
      </c>
      <c r="I1920" s="9">
        <f t="shared" si="59"/>
        <v>-1</v>
      </c>
      <c r="J1920" s="3" t="s">
        <v>4603</v>
      </c>
    </row>
    <row r="1921" spans="1:10" ht="25.5">
      <c r="A1921" s="3" t="s">
        <v>1811</v>
      </c>
      <c r="B1921" s="3" t="s">
        <v>2793</v>
      </c>
      <c r="C1921" s="4">
        <v>93</v>
      </c>
      <c r="D1921" s="3" t="s">
        <v>42</v>
      </c>
      <c r="E1921" s="3" t="s">
        <v>8</v>
      </c>
      <c r="F1921" s="5">
        <v>5476.56</v>
      </c>
      <c r="G1921" s="5">
        <v>9533.2800000000007</v>
      </c>
      <c r="H1921" s="5">
        <f t="shared" si="58"/>
        <v>4056.7200000000003</v>
      </c>
      <c r="I1921" s="9">
        <f t="shared" si="59"/>
        <v>0.74074236381962399</v>
      </c>
      <c r="J1921" s="3" t="s">
        <v>4603</v>
      </c>
    </row>
    <row r="1922" spans="1:10" ht="25.5">
      <c r="A1922" s="3" t="s">
        <v>1811</v>
      </c>
      <c r="B1922" s="3" t="s">
        <v>2794</v>
      </c>
      <c r="C1922" s="4">
        <v>217</v>
      </c>
      <c r="D1922" s="3" t="s">
        <v>253</v>
      </c>
      <c r="E1922" s="3" t="s">
        <v>13</v>
      </c>
      <c r="F1922" s="5">
        <v>10598.1</v>
      </c>
      <c r="G1922" s="5">
        <v>0</v>
      </c>
      <c r="H1922" s="5">
        <f t="shared" si="58"/>
        <v>-10598.1</v>
      </c>
      <c r="I1922" s="9">
        <f t="shared" si="59"/>
        <v>-1</v>
      </c>
      <c r="J1922" s="3" t="s">
        <v>4603</v>
      </c>
    </row>
    <row r="1923" spans="1:10" ht="25.5">
      <c r="A1923" s="3" t="s">
        <v>1811</v>
      </c>
      <c r="B1923" s="3" t="s">
        <v>2795</v>
      </c>
      <c r="C1923" s="4">
        <v>31</v>
      </c>
      <c r="D1923" s="3" t="s">
        <v>172</v>
      </c>
      <c r="E1923" s="3" t="s">
        <v>13</v>
      </c>
      <c r="F1923" s="5">
        <v>11182.14</v>
      </c>
      <c r="G1923" s="5">
        <v>0</v>
      </c>
      <c r="H1923" s="5">
        <f t="shared" ref="H1923:H1986" si="60">G1923-F1923</f>
        <v>-11182.14</v>
      </c>
      <c r="I1923" s="9">
        <f t="shared" ref="I1923:I1986" si="61">IFERROR(G1923/F1923-1,0)</f>
        <v>-1</v>
      </c>
      <c r="J1923" s="3" t="s">
        <v>4603</v>
      </c>
    </row>
    <row r="1924" spans="1:10" ht="25.5">
      <c r="A1924" s="3" t="s">
        <v>1811</v>
      </c>
      <c r="B1924" s="3" t="s">
        <v>2796</v>
      </c>
      <c r="C1924" s="4">
        <v>23</v>
      </c>
      <c r="D1924" s="3" t="s">
        <v>71</v>
      </c>
      <c r="E1924" s="3" t="s">
        <v>8</v>
      </c>
      <c r="F1924" s="5">
        <v>0</v>
      </c>
      <c r="G1924" s="5">
        <v>3494.43</v>
      </c>
      <c r="H1924" s="5">
        <f t="shared" si="60"/>
        <v>3494.43</v>
      </c>
      <c r="I1924" s="9">
        <f t="shared" si="61"/>
        <v>0</v>
      </c>
      <c r="J1924" s="3" t="s">
        <v>4603</v>
      </c>
    </row>
    <row r="1925" spans="1:10">
      <c r="A1925" s="3" t="s">
        <v>1811</v>
      </c>
      <c r="B1925" s="3" t="s">
        <v>2797</v>
      </c>
      <c r="C1925" s="4">
        <v>217</v>
      </c>
      <c r="D1925" s="3" t="s">
        <v>253</v>
      </c>
      <c r="E1925" s="3" t="s">
        <v>13</v>
      </c>
      <c r="F1925" s="5">
        <v>2928.99</v>
      </c>
      <c r="G1925" s="5">
        <v>0</v>
      </c>
      <c r="H1925" s="5">
        <f t="shared" si="60"/>
        <v>-2928.99</v>
      </c>
      <c r="I1925" s="9">
        <f t="shared" si="61"/>
        <v>-1</v>
      </c>
      <c r="J1925" s="3" t="s">
        <v>4603</v>
      </c>
    </row>
    <row r="1926" spans="1:10" ht="38.25">
      <c r="A1926" s="3" t="s">
        <v>1811</v>
      </c>
      <c r="B1926" s="3" t="s">
        <v>2798</v>
      </c>
      <c r="C1926" s="4">
        <v>45</v>
      </c>
      <c r="D1926" s="3" t="s">
        <v>16</v>
      </c>
      <c r="E1926" s="3" t="s">
        <v>8</v>
      </c>
      <c r="F1926" s="5">
        <v>3316.92</v>
      </c>
      <c r="G1926" s="5">
        <v>14328.54</v>
      </c>
      <c r="H1926" s="5">
        <f t="shared" si="60"/>
        <v>11011.62</v>
      </c>
      <c r="I1926" s="9">
        <f t="shared" si="61"/>
        <v>3.3198328569878077</v>
      </c>
      <c r="J1926" s="3" t="s">
        <v>4603</v>
      </c>
    </row>
    <row r="1927" spans="1:10" ht="25.5">
      <c r="A1927" s="3" t="s">
        <v>1811</v>
      </c>
      <c r="B1927" s="3" t="s">
        <v>2799</v>
      </c>
      <c r="C1927" s="4">
        <v>217</v>
      </c>
      <c r="D1927" s="3" t="s">
        <v>253</v>
      </c>
      <c r="E1927" s="3" t="s">
        <v>13</v>
      </c>
      <c r="F1927" s="5">
        <v>6547.44</v>
      </c>
      <c r="G1927" s="5">
        <v>6909.9</v>
      </c>
      <c r="H1927" s="5">
        <f t="shared" si="60"/>
        <v>362.46000000000004</v>
      </c>
      <c r="I1927" s="9">
        <f t="shared" si="61"/>
        <v>5.5359041090869088E-2</v>
      </c>
      <c r="J1927" s="3" t="s">
        <v>4603</v>
      </c>
    </row>
    <row r="1928" spans="1:10" ht="25.5">
      <c r="A1928" s="3" t="s">
        <v>1811</v>
      </c>
      <c r="B1928" s="3" t="s">
        <v>2800</v>
      </c>
      <c r="C1928" s="4">
        <v>187</v>
      </c>
      <c r="D1928" s="3" t="s">
        <v>460</v>
      </c>
      <c r="E1928" s="3" t="s">
        <v>8</v>
      </c>
      <c r="F1928" s="5">
        <v>46669.41</v>
      </c>
      <c r="G1928" s="5">
        <v>50321.4</v>
      </c>
      <c r="H1928" s="5">
        <f t="shared" si="60"/>
        <v>3651.989999999998</v>
      </c>
      <c r="I1928" s="9">
        <f t="shared" si="61"/>
        <v>7.8252328452405928E-2</v>
      </c>
      <c r="J1928" s="3" t="s">
        <v>4603</v>
      </c>
    </row>
    <row r="1929" spans="1:10" ht="38.25">
      <c r="A1929" s="3" t="s">
        <v>1811</v>
      </c>
      <c r="B1929" s="3" t="s">
        <v>2801</v>
      </c>
      <c r="C1929" s="4">
        <v>371</v>
      </c>
      <c r="D1929" s="3" t="s">
        <v>29</v>
      </c>
      <c r="E1929" s="3" t="s">
        <v>30</v>
      </c>
      <c r="F1929" s="5">
        <v>14224.08</v>
      </c>
      <c r="G1929" s="5">
        <v>0</v>
      </c>
      <c r="H1929" s="5">
        <f t="shared" si="60"/>
        <v>-14224.08</v>
      </c>
      <c r="I1929" s="9">
        <f t="shared" si="61"/>
        <v>-1</v>
      </c>
      <c r="J1929" s="3" t="s">
        <v>4603</v>
      </c>
    </row>
    <row r="1930" spans="1:10" ht="25.5">
      <c r="A1930" s="3" t="s">
        <v>1811</v>
      </c>
      <c r="B1930" s="3" t="s">
        <v>2802</v>
      </c>
      <c r="C1930" s="4">
        <v>316</v>
      </c>
      <c r="D1930" s="3" t="s">
        <v>167</v>
      </c>
      <c r="E1930" s="3" t="s">
        <v>18</v>
      </c>
      <c r="F1930" s="5">
        <v>0</v>
      </c>
      <c r="G1930" s="5">
        <v>9992.5499999999993</v>
      </c>
      <c r="H1930" s="5">
        <f t="shared" si="60"/>
        <v>9992.5499999999993</v>
      </c>
      <c r="I1930" s="9">
        <f t="shared" si="61"/>
        <v>0</v>
      </c>
      <c r="J1930" s="3" t="s">
        <v>4603</v>
      </c>
    </row>
    <row r="1931" spans="1:10" ht="38.25">
      <c r="A1931" s="3" t="s">
        <v>1811</v>
      </c>
      <c r="B1931" s="3" t="s">
        <v>2803</v>
      </c>
      <c r="C1931" s="4">
        <v>45</v>
      </c>
      <c r="D1931" s="3" t="s">
        <v>16</v>
      </c>
      <c r="E1931" s="3" t="s">
        <v>8</v>
      </c>
      <c r="F1931" s="5">
        <v>9333.9599999999991</v>
      </c>
      <c r="G1931" s="5">
        <v>0</v>
      </c>
      <c r="H1931" s="5">
        <f t="shared" si="60"/>
        <v>-9333.9599999999991</v>
      </c>
      <c r="I1931" s="9">
        <f t="shared" si="61"/>
        <v>-1</v>
      </c>
      <c r="J1931" s="3" t="s">
        <v>4603</v>
      </c>
    </row>
    <row r="1932" spans="1:10" ht="25.5">
      <c r="A1932" s="3" t="s">
        <v>1811</v>
      </c>
      <c r="B1932" s="3" t="s">
        <v>2804</v>
      </c>
      <c r="C1932" s="4">
        <v>316</v>
      </c>
      <c r="D1932" s="3" t="s">
        <v>167</v>
      </c>
      <c r="E1932" s="3" t="s">
        <v>18</v>
      </c>
      <c r="F1932" s="5">
        <v>7523.28</v>
      </c>
      <c r="G1932" s="5">
        <v>0</v>
      </c>
      <c r="H1932" s="5">
        <f t="shared" si="60"/>
        <v>-7523.28</v>
      </c>
      <c r="I1932" s="9">
        <f t="shared" si="61"/>
        <v>-1</v>
      </c>
      <c r="J1932" s="3" t="s">
        <v>4604</v>
      </c>
    </row>
    <row r="1933" spans="1:10" ht="38.25">
      <c r="A1933" s="3" t="s">
        <v>1811</v>
      </c>
      <c r="B1933" s="3" t="s">
        <v>2805</v>
      </c>
      <c r="C1933" s="4">
        <v>292</v>
      </c>
      <c r="D1933" s="3" t="s">
        <v>619</v>
      </c>
      <c r="E1933" s="3" t="s">
        <v>30</v>
      </c>
      <c r="F1933" s="5">
        <v>2130.2399999999998</v>
      </c>
      <c r="G1933" s="5">
        <v>2330.88</v>
      </c>
      <c r="H1933" s="5">
        <f t="shared" si="60"/>
        <v>200.64000000000033</v>
      </c>
      <c r="I1933" s="9">
        <f t="shared" si="61"/>
        <v>9.4186570527264646E-2</v>
      </c>
      <c r="J1933" s="3" t="s">
        <v>4603</v>
      </c>
    </row>
    <row r="1934" spans="1:10" ht="25.5">
      <c r="A1934" s="3" t="s">
        <v>1811</v>
      </c>
      <c r="B1934" s="3" t="s">
        <v>2806</v>
      </c>
      <c r="C1934" s="4">
        <v>208</v>
      </c>
      <c r="D1934" s="3" t="s">
        <v>58</v>
      </c>
      <c r="E1934" s="3" t="s">
        <v>13</v>
      </c>
      <c r="F1934" s="5">
        <v>0</v>
      </c>
      <c r="G1934" s="5">
        <v>4551</v>
      </c>
      <c r="H1934" s="5">
        <f t="shared" si="60"/>
        <v>4551</v>
      </c>
      <c r="I1934" s="9">
        <f t="shared" si="61"/>
        <v>0</v>
      </c>
      <c r="J1934" s="3" t="s">
        <v>4603</v>
      </c>
    </row>
    <row r="1935" spans="1:10" ht="25.5">
      <c r="A1935" s="3" t="s">
        <v>1811</v>
      </c>
      <c r="B1935" s="3" t="s">
        <v>2807</v>
      </c>
      <c r="C1935" s="4">
        <v>267</v>
      </c>
      <c r="D1935" s="3" t="s">
        <v>417</v>
      </c>
      <c r="E1935" s="3" t="s">
        <v>13</v>
      </c>
      <c r="F1935" s="5">
        <v>0</v>
      </c>
      <c r="G1935" s="5">
        <v>3275.76</v>
      </c>
      <c r="H1935" s="5">
        <f t="shared" si="60"/>
        <v>3275.76</v>
      </c>
      <c r="I1935" s="9">
        <f t="shared" si="61"/>
        <v>0</v>
      </c>
      <c r="J1935" s="3" t="s">
        <v>4603</v>
      </c>
    </row>
    <row r="1936" spans="1:10" ht="25.5">
      <c r="A1936" s="3" t="s">
        <v>1811</v>
      </c>
      <c r="B1936" s="3" t="s">
        <v>2808</v>
      </c>
      <c r="C1936" s="4">
        <v>267</v>
      </c>
      <c r="D1936" s="3" t="s">
        <v>417</v>
      </c>
      <c r="E1936" s="3" t="s">
        <v>13</v>
      </c>
      <c r="F1936" s="5">
        <v>0</v>
      </c>
      <c r="G1936" s="5">
        <v>11438.25</v>
      </c>
      <c r="H1936" s="5">
        <f t="shared" si="60"/>
        <v>11438.25</v>
      </c>
      <c r="I1936" s="9">
        <f t="shared" si="61"/>
        <v>0</v>
      </c>
      <c r="J1936" s="3" t="s">
        <v>4603</v>
      </c>
    </row>
    <row r="1937" spans="1:10" ht="25.5">
      <c r="A1937" s="3" t="s">
        <v>1811</v>
      </c>
      <c r="B1937" s="3" t="s">
        <v>2809</v>
      </c>
      <c r="C1937" s="4">
        <v>267</v>
      </c>
      <c r="D1937" s="3" t="s">
        <v>417</v>
      </c>
      <c r="E1937" s="3" t="s">
        <v>13</v>
      </c>
      <c r="F1937" s="5">
        <v>0</v>
      </c>
      <c r="G1937" s="5">
        <v>3131.4</v>
      </c>
      <c r="H1937" s="5">
        <f t="shared" si="60"/>
        <v>3131.4</v>
      </c>
      <c r="I1937" s="9">
        <f t="shared" si="61"/>
        <v>0</v>
      </c>
      <c r="J1937" s="3" t="s">
        <v>4603</v>
      </c>
    </row>
    <row r="1938" spans="1:10" ht="38.25">
      <c r="A1938" s="3" t="s">
        <v>1811</v>
      </c>
      <c r="B1938" s="3" t="s">
        <v>2810</v>
      </c>
      <c r="C1938" s="4">
        <v>371</v>
      </c>
      <c r="D1938" s="3" t="s">
        <v>29</v>
      </c>
      <c r="E1938" s="3" t="s">
        <v>30</v>
      </c>
      <c r="F1938" s="5">
        <v>6109.5</v>
      </c>
      <c r="G1938" s="5">
        <v>0</v>
      </c>
      <c r="H1938" s="5">
        <f t="shared" si="60"/>
        <v>-6109.5</v>
      </c>
      <c r="I1938" s="9">
        <f t="shared" si="61"/>
        <v>-1</v>
      </c>
      <c r="J1938" s="3" t="s">
        <v>4604</v>
      </c>
    </row>
    <row r="1939" spans="1:10" ht="25.5">
      <c r="A1939" s="3" t="s">
        <v>1811</v>
      </c>
      <c r="B1939" s="3" t="s">
        <v>2811</v>
      </c>
      <c r="C1939" s="4">
        <v>218</v>
      </c>
      <c r="D1939" s="3" t="s">
        <v>155</v>
      </c>
      <c r="E1939" s="3" t="s">
        <v>13</v>
      </c>
      <c r="F1939" s="5">
        <v>4604.22</v>
      </c>
      <c r="G1939" s="5">
        <v>5032.08</v>
      </c>
      <c r="H1939" s="5">
        <f t="shared" si="60"/>
        <v>427.85999999999967</v>
      </c>
      <c r="I1939" s="9">
        <f t="shared" si="61"/>
        <v>9.2927792329645431E-2</v>
      </c>
      <c r="J1939" s="3" t="s">
        <v>4603</v>
      </c>
    </row>
    <row r="1940" spans="1:10">
      <c r="A1940" s="3" t="s">
        <v>1811</v>
      </c>
      <c r="B1940" s="3" t="s">
        <v>2812</v>
      </c>
      <c r="C1940" s="4">
        <v>232</v>
      </c>
      <c r="D1940" s="3" t="s">
        <v>95</v>
      </c>
      <c r="E1940" s="3" t="s">
        <v>13</v>
      </c>
      <c r="F1940" s="5">
        <v>9264.24</v>
      </c>
      <c r="G1940" s="5">
        <v>4895.3999999999996</v>
      </c>
      <c r="H1940" s="5">
        <f t="shared" si="60"/>
        <v>-4368.84</v>
      </c>
      <c r="I1940" s="9">
        <f t="shared" si="61"/>
        <v>-0.47158104712313154</v>
      </c>
      <c r="J1940" s="3" t="s">
        <v>4603</v>
      </c>
    </row>
    <row r="1941" spans="1:10" ht="25.5">
      <c r="A1941" s="3" t="s">
        <v>1811</v>
      </c>
      <c r="B1941" s="3" t="s">
        <v>2813</v>
      </c>
      <c r="C1941" s="4">
        <v>337</v>
      </c>
      <c r="D1941" s="3" t="s">
        <v>218</v>
      </c>
      <c r="E1941" s="3" t="s">
        <v>13</v>
      </c>
      <c r="F1941" s="5">
        <v>0</v>
      </c>
      <c r="G1941" s="5">
        <v>8029.32</v>
      </c>
      <c r="H1941" s="5">
        <f t="shared" si="60"/>
        <v>8029.32</v>
      </c>
      <c r="I1941" s="9">
        <f t="shared" si="61"/>
        <v>0</v>
      </c>
      <c r="J1941" s="3" t="s">
        <v>4603</v>
      </c>
    </row>
    <row r="1942" spans="1:10" ht="51">
      <c r="A1942" s="3" t="s">
        <v>1811</v>
      </c>
      <c r="B1942" s="3" t="s">
        <v>2814</v>
      </c>
      <c r="C1942" s="4">
        <v>282</v>
      </c>
      <c r="D1942" s="3" t="s">
        <v>298</v>
      </c>
      <c r="E1942" s="3" t="s">
        <v>9</v>
      </c>
      <c r="F1942" s="5">
        <v>3608.19</v>
      </c>
      <c r="G1942" s="5">
        <v>10401.780000000001</v>
      </c>
      <c r="H1942" s="5">
        <f t="shared" si="60"/>
        <v>6793.59</v>
      </c>
      <c r="I1942" s="9">
        <f t="shared" si="61"/>
        <v>1.8828249066706579</v>
      </c>
      <c r="J1942" s="3" t="s">
        <v>4603</v>
      </c>
    </row>
    <row r="1943" spans="1:10" ht="25.5">
      <c r="A1943" s="3" t="s">
        <v>1811</v>
      </c>
      <c r="B1943" s="3" t="s">
        <v>2815</v>
      </c>
      <c r="C1943" s="4">
        <v>267</v>
      </c>
      <c r="D1943" s="3" t="s">
        <v>417</v>
      </c>
      <c r="E1943" s="3" t="s">
        <v>13</v>
      </c>
      <c r="F1943" s="5">
        <v>0</v>
      </c>
      <c r="G1943" s="5">
        <v>4922.6400000000003</v>
      </c>
      <c r="H1943" s="5">
        <f t="shared" si="60"/>
        <v>4922.6400000000003</v>
      </c>
      <c r="I1943" s="9">
        <f t="shared" si="61"/>
        <v>0</v>
      </c>
      <c r="J1943" s="3" t="s">
        <v>4603</v>
      </c>
    </row>
    <row r="1944" spans="1:10" ht="25.5">
      <c r="A1944" s="3" t="s">
        <v>1811</v>
      </c>
      <c r="B1944" s="3" t="s">
        <v>2816</v>
      </c>
      <c r="C1944" s="4">
        <v>273</v>
      </c>
      <c r="D1944" s="3" t="s">
        <v>771</v>
      </c>
      <c r="E1944" s="3" t="s">
        <v>13</v>
      </c>
      <c r="F1944" s="5">
        <v>5003.04</v>
      </c>
      <c r="G1944" s="5">
        <v>7931.97</v>
      </c>
      <c r="H1944" s="5">
        <f t="shared" si="60"/>
        <v>2928.9300000000003</v>
      </c>
      <c r="I1944" s="9">
        <f t="shared" si="61"/>
        <v>0.58543005852441721</v>
      </c>
      <c r="J1944" s="3" t="s">
        <v>4604</v>
      </c>
    </row>
    <row r="1945" spans="1:10" ht="25.5">
      <c r="A1945" s="3" t="s">
        <v>1811</v>
      </c>
      <c r="B1945" s="3" t="s">
        <v>2817</v>
      </c>
      <c r="C1945" s="4">
        <v>178</v>
      </c>
      <c r="D1945" s="3" t="s">
        <v>92</v>
      </c>
      <c r="E1945" s="3" t="s">
        <v>8</v>
      </c>
      <c r="F1945" s="5">
        <v>5999.07</v>
      </c>
      <c r="G1945" s="5">
        <v>8469.24</v>
      </c>
      <c r="H1945" s="5">
        <f t="shared" si="60"/>
        <v>2470.17</v>
      </c>
      <c r="I1945" s="9">
        <f t="shared" si="61"/>
        <v>0.41175882261750574</v>
      </c>
      <c r="J1945" s="3" t="s">
        <v>4603</v>
      </c>
    </row>
    <row r="1946" spans="1:10" ht="25.5">
      <c r="A1946" s="3" t="s">
        <v>1811</v>
      </c>
      <c r="B1946" s="3" t="s">
        <v>2818</v>
      </c>
      <c r="C1946" s="4">
        <v>270</v>
      </c>
      <c r="D1946" s="3" t="s">
        <v>312</v>
      </c>
      <c r="E1946" s="3" t="s">
        <v>30</v>
      </c>
      <c r="F1946" s="5">
        <v>10924.32</v>
      </c>
      <c r="G1946" s="5">
        <v>0</v>
      </c>
      <c r="H1946" s="5">
        <f t="shared" si="60"/>
        <v>-10924.32</v>
      </c>
      <c r="I1946" s="9">
        <f t="shared" si="61"/>
        <v>-1</v>
      </c>
      <c r="J1946" s="3" t="s">
        <v>4604</v>
      </c>
    </row>
    <row r="1947" spans="1:10" ht="25.5">
      <c r="A1947" s="3" t="s">
        <v>1811</v>
      </c>
      <c r="B1947" s="3" t="s">
        <v>2819</v>
      </c>
      <c r="C1947" s="4">
        <v>178</v>
      </c>
      <c r="D1947" s="3" t="s">
        <v>92</v>
      </c>
      <c r="E1947" s="3" t="s">
        <v>8</v>
      </c>
      <c r="F1947" s="5">
        <v>16968.419999999998</v>
      </c>
      <c r="G1947" s="5">
        <v>13134.12</v>
      </c>
      <c r="H1947" s="5">
        <f t="shared" si="60"/>
        <v>-3834.2999999999975</v>
      </c>
      <c r="I1947" s="9">
        <f t="shared" si="61"/>
        <v>-0.22596682543218505</v>
      </c>
      <c r="J1947" s="3" t="s">
        <v>4603</v>
      </c>
    </row>
    <row r="1948" spans="1:10">
      <c r="A1948" s="3" t="s">
        <v>1811</v>
      </c>
      <c r="B1948" s="3" t="s">
        <v>2820</v>
      </c>
      <c r="C1948" s="4">
        <v>15</v>
      </c>
      <c r="D1948" s="3" t="s">
        <v>33</v>
      </c>
      <c r="E1948" s="3" t="s">
        <v>13</v>
      </c>
      <c r="F1948" s="5">
        <v>3426.72</v>
      </c>
      <c r="G1948" s="5">
        <v>0</v>
      </c>
      <c r="H1948" s="5">
        <f t="shared" si="60"/>
        <v>-3426.72</v>
      </c>
      <c r="I1948" s="9">
        <f t="shared" si="61"/>
        <v>-1</v>
      </c>
      <c r="J1948" s="3" t="s">
        <v>4603</v>
      </c>
    </row>
    <row r="1949" spans="1:10" ht="25.5">
      <c r="A1949" s="3" t="s">
        <v>1811</v>
      </c>
      <c r="B1949" s="3" t="s">
        <v>2821</v>
      </c>
      <c r="C1949" s="4">
        <v>337</v>
      </c>
      <c r="D1949" s="3" t="s">
        <v>218</v>
      </c>
      <c r="E1949" s="3" t="s">
        <v>13</v>
      </c>
      <c r="F1949" s="5">
        <v>0</v>
      </c>
      <c r="G1949" s="5">
        <v>4953.84</v>
      </c>
      <c r="H1949" s="5">
        <f t="shared" si="60"/>
        <v>4953.84</v>
      </c>
      <c r="I1949" s="9">
        <f t="shared" si="61"/>
        <v>0</v>
      </c>
      <c r="J1949" s="3" t="s">
        <v>4603</v>
      </c>
    </row>
    <row r="1950" spans="1:10" ht="51">
      <c r="A1950" s="3" t="s">
        <v>1811</v>
      </c>
      <c r="B1950" s="3" t="s">
        <v>2822</v>
      </c>
      <c r="C1950" s="4">
        <v>282</v>
      </c>
      <c r="D1950" s="3" t="s">
        <v>298</v>
      </c>
      <c r="E1950" s="3" t="s">
        <v>9</v>
      </c>
      <c r="F1950" s="5">
        <v>3431.52</v>
      </c>
      <c r="G1950" s="5">
        <v>0</v>
      </c>
      <c r="H1950" s="5">
        <f t="shared" si="60"/>
        <v>-3431.52</v>
      </c>
      <c r="I1950" s="9">
        <f t="shared" si="61"/>
        <v>-1</v>
      </c>
      <c r="J1950" s="3" t="s">
        <v>4603</v>
      </c>
    </row>
    <row r="1951" spans="1:10" ht="25.5">
      <c r="A1951" s="3" t="s">
        <v>1811</v>
      </c>
      <c r="B1951" s="3" t="s">
        <v>2823</v>
      </c>
      <c r="C1951" s="4">
        <v>194</v>
      </c>
      <c r="D1951" s="3" t="s">
        <v>179</v>
      </c>
      <c r="E1951" s="3" t="s">
        <v>13</v>
      </c>
      <c r="F1951" s="5">
        <v>5318.28</v>
      </c>
      <c r="G1951" s="5">
        <v>14859.96</v>
      </c>
      <c r="H1951" s="5">
        <f t="shared" si="60"/>
        <v>9541.68</v>
      </c>
      <c r="I1951" s="9">
        <f t="shared" si="61"/>
        <v>1.7941289289018254</v>
      </c>
      <c r="J1951" s="3" t="s">
        <v>4603</v>
      </c>
    </row>
    <row r="1952" spans="1:10" ht="38.25">
      <c r="A1952" s="3" t="s">
        <v>1811</v>
      </c>
      <c r="B1952" s="3" t="s">
        <v>2824</v>
      </c>
      <c r="C1952" s="4">
        <v>45</v>
      </c>
      <c r="D1952" s="3" t="s">
        <v>16</v>
      </c>
      <c r="E1952" s="3" t="s">
        <v>8</v>
      </c>
      <c r="F1952" s="5">
        <v>0</v>
      </c>
      <c r="G1952" s="5">
        <v>2618.04</v>
      </c>
      <c r="H1952" s="5">
        <f t="shared" si="60"/>
        <v>2618.04</v>
      </c>
      <c r="I1952" s="9">
        <f t="shared" si="61"/>
        <v>0</v>
      </c>
      <c r="J1952" s="3" t="s">
        <v>4603</v>
      </c>
    </row>
    <row r="1953" spans="1:10" ht="25.5">
      <c r="A1953" s="3" t="s">
        <v>1811</v>
      </c>
      <c r="B1953" s="3" t="s">
        <v>2825</v>
      </c>
      <c r="C1953" s="4">
        <v>194</v>
      </c>
      <c r="D1953" s="3" t="s">
        <v>179</v>
      </c>
      <c r="E1953" s="3" t="s">
        <v>13</v>
      </c>
      <c r="F1953" s="5">
        <v>14015.7</v>
      </c>
      <c r="G1953" s="5">
        <v>23044.44</v>
      </c>
      <c r="H1953" s="5">
        <f t="shared" si="60"/>
        <v>9028.739999999998</v>
      </c>
      <c r="I1953" s="9">
        <f t="shared" si="61"/>
        <v>0.64418758963162714</v>
      </c>
      <c r="J1953" s="3" t="s">
        <v>4603</v>
      </c>
    </row>
    <row r="1954" spans="1:10" ht="25.5">
      <c r="A1954" s="3" t="s">
        <v>1811</v>
      </c>
      <c r="B1954" s="3" t="s">
        <v>2826</v>
      </c>
      <c r="C1954" s="4">
        <v>264</v>
      </c>
      <c r="D1954" s="3" t="s">
        <v>632</v>
      </c>
      <c r="E1954" s="3" t="s">
        <v>18</v>
      </c>
      <c r="F1954" s="5">
        <v>3761.16</v>
      </c>
      <c r="G1954" s="5">
        <v>3512.64</v>
      </c>
      <c r="H1954" s="5">
        <f t="shared" si="60"/>
        <v>-248.51999999999998</v>
      </c>
      <c r="I1954" s="9">
        <f t="shared" si="61"/>
        <v>-6.6075359729445116E-2</v>
      </c>
      <c r="J1954" s="3" t="s">
        <v>4603</v>
      </c>
    </row>
    <row r="1955" spans="1:10" ht="25.5">
      <c r="A1955" s="3" t="s">
        <v>1811</v>
      </c>
      <c r="B1955" s="3" t="s">
        <v>2826</v>
      </c>
      <c r="C1955" s="4">
        <v>264</v>
      </c>
      <c r="D1955" s="3" t="s">
        <v>632</v>
      </c>
      <c r="E1955" s="3" t="s">
        <v>22</v>
      </c>
      <c r="F1955" s="5">
        <v>3761.16</v>
      </c>
      <c r="G1955" s="5">
        <v>3512.64</v>
      </c>
      <c r="H1955" s="5">
        <f t="shared" si="60"/>
        <v>-248.51999999999998</v>
      </c>
      <c r="I1955" s="9">
        <f t="shared" si="61"/>
        <v>-6.6075359729445116E-2</v>
      </c>
      <c r="J1955" s="3" t="s">
        <v>4603</v>
      </c>
    </row>
    <row r="1956" spans="1:10" ht="25.5">
      <c r="A1956" s="3" t="s">
        <v>1811</v>
      </c>
      <c r="B1956" s="3" t="s">
        <v>2827</v>
      </c>
      <c r="C1956" s="4">
        <v>74</v>
      </c>
      <c r="D1956" s="3" t="s">
        <v>86</v>
      </c>
      <c r="E1956" s="3" t="s">
        <v>8</v>
      </c>
      <c r="F1956" s="5">
        <v>7894.8</v>
      </c>
      <c r="G1956" s="5">
        <v>0</v>
      </c>
      <c r="H1956" s="5">
        <f t="shared" si="60"/>
        <v>-7894.8</v>
      </c>
      <c r="I1956" s="9">
        <f t="shared" si="61"/>
        <v>-1</v>
      </c>
      <c r="J1956" s="3" t="s">
        <v>4603</v>
      </c>
    </row>
    <row r="1957" spans="1:10" ht="25.5">
      <c r="A1957" s="3" t="s">
        <v>1811</v>
      </c>
      <c r="B1957" s="3" t="s">
        <v>2828</v>
      </c>
      <c r="C1957" s="4">
        <v>299</v>
      </c>
      <c r="D1957" s="3" t="s">
        <v>246</v>
      </c>
      <c r="E1957" s="3" t="s">
        <v>30</v>
      </c>
      <c r="F1957" s="5">
        <v>0</v>
      </c>
      <c r="G1957" s="5">
        <v>7581.24</v>
      </c>
      <c r="H1957" s="5">
        <f t="shared" si="60"/>
        <v>7581.24</v>
      </c>
      <c r="I1957" s="9">
        <f t="shared" si="61"/>
        <v>0</v>
      </c>
      <c r="J1957" s="3" t="s">
        <v>4603</v>
      </c>
    </row>
    <row r="1958" spans="1:10" ht="25.5">
      <c r="A1958" s="3" t="s">
        <v>1811</v>
      </c>
      <c r="B1958" s="3" t="s">
        <v>2829</v>
      </c>
      <c r="C1958" s="4">
        <v>297</v>
      </c>
      <c r="D1958" s="3" t="s">
        <v>209</v>
      </c>
      <c r="E1958" s="3" t="s">
        <v>22</v>
      </c>
      <c r="F1958" s="5">
        <v>13953.96</v>
      </c>
      <c r="G1958" s="5">
        <v>13051.754000000001</v>
      </c>
      <c r="H1958" s="5">
        <f t="shared" si="60"/>
        <v>-902.20599999999831</v>
      </c>
      <c r="I1958" s="9">
        <f t="shared" si="61"/>
        <v>-6.4655911296864765E-2</v>
      </c>
      <c r="J1958" s="3" t="s">
        <v>4603</v>
      </c>
    </row>
    <row r="1959" spans="1:10" ht="25.5">
      <c r="A1959" s="3" t="s">
        <v>1811</v>
      </c>
      <c r="B1959" s="3" t="s">
        <v>2830</v>
      </c>
      <c r="C1959" s="4">
        <v>23</v>
      </c>
      <c r="D1959" s="3" t="s">
        <v>71</v>
      </c>
      <c r="E1959" s="3" t="s">
        <v>8</v>
      </c>
      <c r="F1959" s="5">
        <v>14907.72</v>
      </c>
      <c r="G1959" s="5">
        <v>19969.77</v>
      </c>
      <c r="H1959" s="5">
        <f t="shared" si="60"/>
        <v>5062.0500000000011</v>
      </c>
      <c r="I1959" s="9">
        <f t="shared" si="61"/>
        <v>0.33955896676352926</v>
      </c>
      <c r="J1959" s="3" t="s">
        <v>4603</v>
      </c>
    </row>
    <row r="1960" spans="1:10" ht="25.5">
      <c r="A1960" s="3" t="s">
        <v>1811</v>
      </c>
      <c r="B1960" s="3" t="s">
        <v>2831</v>
      </c>
      <c r="C1960" s="4">
        <v>23</v>
      </c>
      <c r="D1960" s="3" t="s">
        <v>71</v>
      </c>
      <c r="E1960" s="3" t="s">
        <v>8</v>
      </c>
      <c r="F1960" s="5">
        <v>3164.49</v>
      </c>
      <c r="G1960" s="5">
        <v>8195.8799999999992</v>
      </c>
      <c r="H1960" s="5">
        <f t="shared" si="60"/>
        <v>5031.3899999999994</v>
      </c>
      <c r="I1960" s="9">
        <f t="shared" si="61"/>
        <v>1.5899528834030128</v>
      </c>
      <c r="J1960" s="3" t="s">
        <v>4603</v>
      </c>
    </row>
    <row r="1961" spans="1:10" ht="25.5">
      <c r="A1961" s="3" t="s">
        <v>1811</v>
      </c>
      <c r="B1961" s="3" t="s">
        <v>2832</v>
      </c>
      <c r="C1961" s="4">
        <v>270</v>
      </c>
      <c r="D1961" s="3" t="s">
        <v>312</v>
      </c>
      <c r="E1961" s="3" t="s">
        <v>30</v>
      </c>
      <c r="F1961" s="5">
        <v>3586.14</v>
      </c>
      <c r="G1961" s="5">
        <v>0</v>
      </c>
      <c r="H1961" s="5">
        <f t="shared" si="60"/>
        <v>-3586.14</v>
      </c>
      <c r="I1961" s="9">
        <f t="shared" si="61"/>
        <v>-1</v>
      </c>
      <c r="J1961" s="3" t="s">
        <v>4603</v>
      </c>
    </row>
    <row r="1962" spans="1:10" ht="38.25">
      <c r="A1962" s="3" t="s">
        <v>1811</v>
      </c>
      <c r="B1962" s="3" t="s">
        <v>2833</v>
      </c>
      <c r="C1962" s="4">
        <v>143</v>
      </c>
      <c r="D1962" s="3" t="s">
        <v>21</v>
      </c>
      <c r="E1962" s="3" t="s">
        <v>22</v>
      </c>
      <c r="F1962" s="5">
        <v>8169.72</v>
      </c>
      <c r="G1962" s="5">
        <v>6826.2</v>
      </c>
      <c r="H1962" s="5">
        <f t="shared" si="60"/>
        <v>-1343.5200000000004</v>
      </c>
      <c r="I1962" s="9">
        <f t="shared" si="61"/>
        <v>-0.16445116846109786</v>
      </c>
      <c r="J1962" s="3" t="s">
        <v>4603</v>
      </c>
    </row>
    <row r="1963" spans="1:10" ht="25.5">
      <c r="A1963" s="3" t="s">
        <v>1811</v>
      </c>
      <c r="B1963" s="3" t="s">
        <v>2834</v>
      </c>
      <c r="C1963" s="4">
        <v>270</v>
      </c>
      <c r="D1963" s="3" t="s">
        <v>312</v>
      </c>
      <c r="E1963" s="3" t="s">
        <v>30</v>
      </c>
      <c r="F1963" s="5">
        <v>0</v>
      </c>
      <c r="G1963" s="5">
        <v>24144.39</v>
      </c>
      <c r="H1963" s="5">
        <f t="shared" si="60"/>
        <v>24144.39</v>
      </c>
      <c r="I1963" s="9">
        <f t="shared" si="61"/>
        <v>0</v>
      </c>
      <c r="J1963" s="3" t="s">
        <v>4603</v>
      </c>
    </row>
    <row r="1964" spans="1:10" ht="38.25">
      <c r="A1964" s="3" t="s">
        <v>1811</v>
      </c>
      <c r="B1964" s="3" t="s">
        <v>2835</v>
      </c>
      <c r="C1964" s="4">
        <v>301</v>
      </c>
      <c r="D1964" s="3" t="s">
        <v>12</v>
      </c>
      <c r="E1964" s="3" t="s">
        <v>13</v>
      </c>
      <c r="F1964" s="5">
        <v>0</v>
      </c>
      <c r="G1964" s="5">
        <v>3803.04</v>
      </c>
      <c r="H1964" s="5">
        <f t="shared" si="60"/>
        <v>3803.04</v>
      </c>
      <c r="I1964" s="9">
        <f t="shared" si="61"/>
        <v>0</v>
      </c>
      <c r="J1964" s="3" t="s">
        <v>4603</v>
      </c>
    </row>
    <row r="1965" spans="1:10" ht="25.5">
      <c r="A1965" s="3" t="s">
        <v>1811</v>
      </c>
      <c r="B1965" s="3" t="s">
        <v>2836</v>
      </c>
      <c r="C1965" s="4">
        <v>187</v>
      </c>
      <c r="D1965" s="3" t="s">
        <v>460</v>
      </c>
      <c r="E1965" s="3" t="s">
        <v>8</v>
      </c>
      <c r="F1965" s="5">
        <v>15555.75</v>
      </c>
      <c r="G1965" s="5">
        <v>21258.15</v>
      </c>
      <c r="H1965" s="5">
        <f t="shared" si="60"/>
        <v>5702.4000000000015</v>
      </c>
      <c r="I1965" s="9">
        <f t="shared" si="61"/>
        <v>0.36657827491442085</v>
      </c>
      <c r="J1965" s="3" t="s">
        <v>4603</v>
      </c>
    </row>
    <row r="1966" spans="1:10">
      <c r="A1966" s="3" t="s">
        <v>1811</v>
      </c>
      <c r="B1966" s="3" t="s">
        <v>2837</v>
      </c>
      <c r="C1966" s="4">
        <v>240</v>
      </c>
      <c r="D1966" s="3" t="s">
        <v>152</v>
      </c>
      <c r="E1966" s="3" t="s">
        <v>13</v>
      </c>
      <c r="F1966" s="5">
        <v>0</v>
      </c>
      <c r="G1966" s="5">
        <v>3373.56</v>
      </c>
      <c r="H1966" s="5">
        <f t="shared" si="60"/>
        <v>3373.56</v>
      </c>
      <c r="I1966" s="9">
        <f t="shared" si="61"/>
        <v>0</v>
      </c>
      <c r="J1966" s="3" t="s">
        <v>4603</v>
      </c>
    </row>
    <row r="1967" spans="1:10" ht="25.5">
      <c r="A1967" s="3" t="s">
        <v>1811</v>
      </c>
      <c r="B1967" s="3" t="s">
        <v>2838</v>
      </c>
      <c r="C1967" s="4">
        <v>187</v>
      </c>
      <c r="D1967" s="3" t="s">
        <v>460</v>
      </c>
      <c r="E1967" s="3" t="s">
        <v>8</v>
      </c>
      <c r="F1967" s="5">
        <v>5735.13</v>
      </c>
      <c r="G1967" s="5">
        <v>4420.38</v>
      </c>
      <c r="H1967" s="5">
        <f t="shared" si="60"/>
        <v>-1314.75</v>
      </c>
      <c r="I1967" s="9">
        <f t="shared" si="61"/>
        <v>-0.22924502147292214</v>
      </c>
      <c r="J1967" s="3" t="s">
        <v>4603</v>
      </c>
    </row>
    <row r="1968" spans="1:10" ht="38.25">
      <c r="A1968" s="3" t="s">
        <v>1811</v>
      </c>
      <c r="B1968" s="3" t="s">
        <v>2839</v>
      </c>
      <c r="C1968" s="4">
        <v>38</v>
      </c>
      <c r="D1968" s="3" t="s">
        <v>229</v>
      </c>
      <c r="E1968" s="3" t="s">
        <v>30</v>
      </c>
      <c r="F1968" s="5">
        <v>0</v>
      </c>
      <c r="G1968" s="5">
        <v>11508.3</v>
      </c>
      <c r="H1968" s="5">
        <f t="shared" si="60"/>
        <v>11508.3</v>
      </c>
      <c r="I1968" s="9">
        <f t="shared" si="61"/>
        <v>0</v>
      </c>
      <c r="J1968" s="3" t="s">
        <v>4603</v>
      </c>
    </row>
    <row r="1969" spans="1:10" ht="38.25">
      <c r="A1969" s="3" t="s">
        <v>1811</v>
      </c>
      <c r="B1969" s="3" t="s">
        <v>2840</v>
      </c>
      <c r="C1969" s="4">
        <v>34</v>
      </c>
      <c r="D1969" s="3" t="s">
        <v>136</v>
      </c>
      <c r="E1969" s="3" t="s">
        <v>30</v>
      </c>
      <c r="F1969" s="5">
        <v>21166.92</v>
      </c>
      <c r="G1969" s="5">
        <v>24963</v>
      </c>
      <c r="H1969" s="5">
        <f t="shared" si="60"/>
        <v>3796.0800000000017</v>
      </c>
      <c r="I1969" s="9">
        <f t="shared" si="61"/>
        <v>0.17934021577064607</v>
      </c>
      <c r="J1969" s="3" t="s">
        <v>4603</v>
      </c>
    </row>
    <row r="1970" spans="1:10" ht="25.5">
      <c r="A1970" s="3" t="s">
        <v>1811</v>
      </c>
      <c r="B1970" s="3" t="s">
        <v>2841</v>
      </c>
      <c r="C1970" s="4">
        <v>178</v>
      </c>
      <c r="D1970" s="3" t="s">
        <v>92</v>
      </c>
      <c r="E1970" s="3" t="s">
        <v>8</v>
      </c>
      <c r="F1970" s="5">
        <v>11164.26</v>
      </c>
      <c r="G1970" s="5">
        <v>27232.5</v>
      </c>
      <c r="H1970" s="5">
        <f t="shared" si="60"/>
        <v>16068.24</v>
      </c>
      <c r="I1970" s="9">
        <f t="shared" si="61"/>
        <v>1.4392570577897685</v>
      </c>
      <c r="J1970" s="3" t="s">
        <v>4603</v>
      </c>
    </row>
    <row r="1971" spans="1:10" ht="25.5">
      <c r="A1971" s="3" t="s">
        <v>1811</v>
      </c>
      <c r="B1971" s="3" t="s">
        <v>2842</v>
      </c>
      <c r="C1971" s="4">
        <v>39</v>
      </c>
      <c r="D1971" s="3" t="s">
        <v>26</v>
      </c>
      <c r="E1971" s="3" t="s">
        <v>9</v>
      </c>
      <c r="F1971" s="5">
        <v>0</v>
      </c>
      <c r="G1971" s="5">
        <v>4326.3599999999997</v>
      </c>
      <c r="H1971" s="5">
        <f t="shared" si="60"/>
        <v>4326.3599999999997</v>
      </c>
      <c r="I1971" s="9">
        <f t="shared" si="61"/>
        <v>0</v>
      </c>
      <c r="J1971" s="3" t="s">
        <v>4603</v>
      </c>
    </row>
    <row r="1972" spans="1:10" ht="25.5">
      <c r="A1972" s="3" t="s">
        <v>1811</v>
      </c>
      <c r="B1972" s="3" t="s">
        <v>2843</v>
      </c>
      <c r="C1972" s="4">
        <v>316</v>
      </c>
      <c r="D1972" s="3" t="s">
        <v>167</v>
      </c>
      <c r="E1972" s="3" t="s">
        <v>18</v>
      </c>
      <c r="F1972" s="5">
        <v>17905.23</v>
      </c>
      <c r="G1972" s="5">
        <v>0</v>
      </c>
      <c r="H1972" s="5">
        <f t="shared" si="60"/>
        <v>-17905.23</v>
      </c>
      <c r="I1972" s="9">
        <f t="shared" si="61"/>
        <v>-1</v>
      </c>
      <c r="J1972" s="3" t="s">
        <v>4604</v>
      </c>
    </row>
    <row r="1973" spans="1:10" ht="25.5">
      <c r="A1973" s="3" t="s">
        <v>1811</v>
      </c>
      <c r="B1973" s="3" t="s">
        <v>2844</v>
      </c>
      <c r="C1973" s="4">
        <v>261</v>
      </c>
      <c r="D1973" s="3" t="s">
        <v>17</v>
      </c>
      <c r="E1973" s="3" t="s">
        <v>18</v>
      </c>
      <c r="F1973" s="5">
        <v>4877.22</v>
      </c>
      <c r="G1973" s="5">
        <v>7663.17</v>
      </c>
      <c r="H1973" s="5">
        <f t="shared" si="60"/>
        <v>2785.95</v>
      </c>
      <c r="I1973" s="9">
        <f t="shared" si="61"/>
        <v>0.57121679973427475</v>
      </c>
      <c r="J1973" s="3" t="s">
        <v>4603</v>
      </c>
    </row>
    <row r="1974" spans="1:10" ht="38.25">
      <c r="A1974" s="3" t="s">
        <v>1811</v>
      </c>
      <c r="B1974" s="3" t="s">
        <v>2845</v>
      </c>
      <c r="C1974" s="4">
        <v>19</v>
      </c>
      <c r="D1974" s="3" t="s">
        <v>53</v>
      </c>
      <c r="E1974" s="3" t="s">
        <v>22</v>
      </c>
      <c r="F1974" s="5">
        <v>5553</v>
      </c>
      <c r="G1974" s="5">
        <v>0</v>
      </c>
      <c r="H1974" s="5">
        <f t="shared" si="60"/>
        <v>-5553</v>
      </c>
      <c r="I1974" s="9">
        <f t="shared" si="61"/>
        <v>-1</v>
      </c>
      <c r="J1974" s="3" t="s">
        <v>4603</v>
      </c>
    </row>
    <row r="1975" spans="1:10" ht="38.25">
      <c r="A1975" s="3" t="s">
        <v>1811</v>
      </c>
      <c r="B1975" s="3" t="s">
        <v>2846</v>
      </c>
      <c r="C1975" s="4">
        <v>45</v>
      </c>
      <c r="D1975" s="3" t="s">
        <v>16</v>
      </c>
      <c r="E1975" s="3" t="s">
        <v>8</v>
      </c>
      <c r="F1975" s="5">
        <v>34164.54</v>
      </c>
      <c r="G1975" s="5">
        <v>30356.67</v>
      </c>
      <c r="H1975" s="5">
        <f t="shared" si="60"/>
        <v>-3807.8700000000026</v>
      </c>
      <c r="I1975" s="9">
        <f t="shared" si="61"/>
        <v>-0.11145679116417206</v>
      </c>
      <c r="J1975" s="3" t="s">
        <v>4603</v>
      </c>
    </row>
    <row r="1976" spans="1:10" ht="25.5">
      <c r="A1976" s="3" t="s">
        <v>1811</v>
      </c>
      <c r="B1976" s="3" t="s">
        <v>2847</v>
      </c>
      <c r="C1976" s="4">
        <v>194</v>
      </c>
      <c r="D1976" s="3" t="s">
        <v>179</v>
      </c>
      <c r="E1976" s="3" t="s">
        <v>13</v>
      </c>
      <c r="F1976" s="5">
        <v>0</v>
      </c>
      <c r="G1976" s="5">
        <v>9775.7099999999991</v>
      </c>
      <c r="H1976" s="5">
        <f t="shared" si="60"/>
        <v>9775.7099999999991</v>
      </c>
      <c r="I1976" s="9">
        <f t="shared" si="61"/>
        <v>0</v>
      </c>
      <c r="J1976" s="3" t="s">
        <v>4603</v>
      </c>
    </row>
    <row r="1977" spans="1:10" ht="25.5">
      <c r="A1977" s="3" t="s">
        <v>1811</v>
      </c>
      <c r="B1977" s="3" t="s">
        <v>2848</v>
      </c>
      <c r="C1977" s="4">
        <v>327</v>
      </c>
      <c r="D1977" s="3" t="s">
        <v>76</v>
      </c>
      <c r="E1977" s="3" t="s">
        <v>8</v>
      </c>
      <c r="F1977" s="5">
        <v>12617.1</v>
      </c>
      <c r="G1977" s="5">
        <v>15550.463</v>
      </c>
      <c r="H1977" s="5">
        <f t="shared" si="60"/>
        <v>2933.3629999999994</v>
      </c>
      <c r="I1977" s="9">
        <f t="shared" si="61"/>
        <v>0.23249106371511674</v>
      </c>
      <c r="J1977" s="3" t="s">
        <v>4603</v>
      </c>
    </row>
    <row r="1978" spans="1:10" ht="25.5">
      <c r="A1978" s="3" t="s">
        <v>1811</v>
      </c>
      <c r="B1978" s="3" t="s">
        <v>2849</v>
      </c>
      <c r="C1978" s="4">
        <v>218</v>
      </c>
      <c r="D1978" s="3" t="s">
        <v>155</v>
      </c>
      <c r="E1978" s="3" t="s">
        <v>13</v>
      </c>
      <c r="F1978" s="5">
        <v>3167.28</v>
      </c>
      <c r="G1978" s="5">
        <v>3195.6</v>
      </c>
      <c r="H1978" s="5">
        <f t="shared" si="60"/>
        <v>28.319999999999709</v>
      </c>
      <c r="I1978" s="9">
        <f t="shared" si="61"/>
        <v>8.9414260816851332E-3</v>
      </c>
      <c r="J1978" s="3" t="s">
        <v>4603</v>
      </c>
    </row>
    <row r="1979" spans="1:10" ht="38.25">
      <c r="A1979" s="3" t="s">
        <v>1811</v>
      </c>
      <c r="B1979" s="3" t="s">
        <v>2850</v>
      </c>
      <c r="C1979" s="4">
        <v>38</v>
      </c>
      <c r="D1979" s="3" t="s">
        <v>229</v>
      </c>
      <c r="E1979" s="3" t="s">
        <v>30</v>
      </c>
      <c r="F1979" s="5">
        <v>5471.04</v>
      </c>
      <c r="G1979" s="5">
        <v>0</v>
      </c>
      <c r="H1979" s="5">
        <f t="shared" si="60"/>
        <v>-5471.04</v>
      </c>
      <c r="I1979" s="9">
        <f t="shared" si="61"/>
        <v>-1</v>
      </c>
      <c r="J1979" s="3" t="s">
        <v>4603</v>
      </c>
    </row>
    <row r="1980" spans="1:10" ht="25.5">
      <c r="A1980" s="3" t="s">
        <v>1811</v>
      </c>
      <c r="B1980" s="3" t="s">
        <v>2851</v>
      </c>
      <c r="C1980" s="4">
        <v>320</v>
      </c>
      <c r="D1980" s="3" t="s">
        <v>188</v>
      </c>
      <c r="E1980" s="3" t="s">
        <v>30</v>
      </c>
      <c r="F1980" s="5">
        <v>5939.04</v>
      </c>
      <c r="G1980" s="5">
        <v>0</v>
      </c>
      <c r="H1980" s="5">
        <f t="shared" si="60"/>
        <v>-5939.04</v>
      </c>
      <c r="I1980" s="9">
        <f t="shared" si="61"/>
        <v>-1</v>
      </c>
      <c r="J1980" s="3" t="s">
        <v>4603</v>
      </c>
    </row>
    <row r="1981" spans="1:10" ht="25.5">
      <c r="A1981" s="3" t="s">
        <v>1811</v>
      </c>
      <c r="B1981" s="3" t="s">
        <v>2852</v>
      </c>
      <c r="C1981" s="4">
        <v>264</v>
      </c>
      <c r="D1981" s="3" t="s">
        <v>632</v>
      </c>
      <c r="E1981" s="3" t="s">
        <v>22</v>
      </c>
      <c r="F1981" s="5">
        <v>0</v>
      </c>
      <c r="G1981" s="5">
        <v>19214.682000000001</v>
      </c>
      <c r="H1981" s="5">
        <f t="shared" si="60"/>
        <v>19214.682000000001</v>
      </c>
      <c r="I1981" s="9">
        <f t="shared" si="61"/>
        <v>0</v>
      </c>
      <c r="J1981" s="3" t="s">
        <v>4603</v>
      </c>
    </row>
    <row r="1982" spans="1:10" ht="25.5">
      <c r="A1982" s="3" t="s">
        <v>1811</v>
      </c>
      <c r="B1982" s="3" t="s">
        <v>2852</v>
      </c>
      <c r="C1982" s="4">
        <v>264</v>
      </c>
      <c r="D1982" s="3" t="s">
        <v>632</v>
      </c>
      <c r="E1982" s="3" t="s">
        <v>8</v>
      </c>
      <c r="F1982" s="5">
        <v>0</v>
      </c>
      <c r="G1982" s="5">
        <v>19214.682000000001</v>
      </c>
      <c r="H1982" s="5">
        <f t="shared" si="60"/>
        <v>19214.682000000001</v>
      </c>
      <c r="I1982" s="9">
        <f t="shared" si="61"/>
        <v>0</v>
      </c>
      <c r="J1982" s="3" t="s">
        <v>4603</v>
      </c>
    </row>
    <row r="1983" spans="1:10" ht="25.5">
      <c r="A1983" s="3" t="s">
        <v>1811</v>
      </c>
      <c r="B1983" s="3" t="s">
        <v>2853</v>
      </c>
      <c r="C1983" s="4">
        <v>197</v>
      </c>
      <c r="D1983" s="3" t="s">
        <v>23</v>
      </c>
      <c r="E1983" s="3" t="s">
        <v>22</v>
      </c>
      <c r="F1983" s="5">
        <v>4798.9399999999996</v>
      </c>
      <c r="G1983" s="5">
        <v>0</v>
      </c>
      <c r="H1983" s="5">
        <f t="shared" si="60"/>
        <v>-4798.9399999999996</v>
      </c>
      <c r="I1983" s="9">
        <f t="shared" si="61"/>
        <v>-1</v>
      </c>
      <c r="J1983" s="3" t="s">
        <v>4603</v>
      </c>
    </row>
    <row r="1984" spans="1:10" ht="25.5">
      <c r="A1984" s="3" t="s">
        <v>1811</v>
      </c>
      <c r="B1984" s="3" t="s">
        <v>2854</v>
      </c>
      <c r="C1984" s="4">
        <v>296</v>
      </c>
      <c r="D1984" s="3" t="s">
        <v>137</v>
      </c>
      <c r="E1984" s="3" t="s">
        <v>13</v>
      </c>
      <c r="F1984" s="5">
        <v>3689.88</v>
      </c>
      <c r="G1984" s="5">
        <v>0</v>
      </c>
      <c r="H1984" s="5">
        <f t="shared" si="60"/>
        <v>-3689.88</v>
      </c>
      <c r="I1984" s="9">
        <f t="shared" si="61"/>
        <v>-1</v>
      </c>
      <c r="J1984" s="3" t="s">
        <v>4603</v>
      </c>
    </row>
    <row r="1985" spans="1:10" ht="38.25">
      <c r="A1985" s="3" t="s">
        <v>1811</v>
      </c>
      <c r="B1985" s="3" t="s">
        <v>2855</v>
      </c>
      <c r="C1985" s="4">
        <v>371</v>
      </c>
      <c r="D1985" s="3" t="s">
        <v>29</v>
      </c>
      <c r="E1985" s="3" t="s">
        <v>30</v>
      </c>
      <c r="F1985" s="5">
        <v>0</v>
      </c>
      <c r="G1985" s="5">
        <v>3135.36</v>
      </c>
      <c r="H1985" s="5">
        <f t="shared" si="60"/>
        <v>3135.36</v>
      </c>
      <c r="I1985" s="9">
        <f t="shared" si="61"/>
        <v>0</v>
      </c>
      <c r="J1985" s="3" t="s">
        <v>4603</v>
      </c>
    </row>
    <row r="1986" spans="1:10" ht="25.5">
      <c r="A1986" s="3" t="s">
        <v>1811</v>
      </c>
      <c r="B1986" s="3" t="s">
        <v>2856</v>
      </c>
      <c r="C1986" s="4">
        <v>23</v>
      </c>
      <c r="D1986" s="3" t="s">
        <v>71</v>
      </c>
      <c r="E1986" s="3" t="s">
        <v>8</v>
      </c>
      <c r="F1986" s="5">
        <v>12760.08</v>
      </c>
      <c r="G1986" s="5">
        <v>12348.15</v>
      </c>
      <c r="H1986" s="5">
        <f t="shared" si="60"/>
        <v>-411.93000000000029</v>
      </c>
      <c r="I1986" s="9">
        <f t="shared" si="61"/>
        <v>-3.2282712961047344E-2</v>
      </c>
      <c r="J1986" s="3" t="s">
        <v>4603</v>
      </c>
    </row>
    <row r="1987" spans="1:10" ht="38.25">
      <c r="A1987" s="3" t="s">
        <v>1811</v>
      </c>
      <c r="B1987" s="3" t="s">
        <v>2857</v>
      </c>
      <c r="C1987" s="4">
        <v>38</v>
      </c>
      <c r="D1987" s="3" t="s">
        <v>229</v>
      </c>
      <c r="E1987" s="3" t="s">
        <v>30</v>
      </c>
      <c r="F1987" s="5">
        <v>11293.08</v>
      </c>
      <c r="G1987" s="5">
        <v>5617.68</v>
      </c>
      <c r="H1987" s="5">
        <f t="shared" ref="H1987:H2050" si="62">G1987-F1987</f>
        <v>-5675.4</v>
      </c>
      <c r="I1987" s="9">
        <f t="shared" ref="I1987:I2050" si="63">IFERROR(G1987/F1987-1,0)</f>
        <v>-0.50255554729090735</v>
      </c>
      <c r="J1987" s="3" t="s">
        <v>4603</v>
      </c>
    </row>
    <row r="1988" spans="1:10" ht="38.25">
      <c r="A1988" s="3" t="s">
        <v>1811</v>
      </c>
      <c r="B1988" s="3" t="s">
        <v>2858</v>
      </c>
      <c r="C1988" s="4">
        <v>34</v>
      </c>
      <c r="D1988" s="3" t="s">
        <v>136</v>
      </c>
      <c r="E1988" s="3" t="s">
        <v>30</v>
      </c>
      <c r="F1988" s="5">
        <v>0</v>
      </c>
      <c r="G1988" s="5">
        <v>9894.48</v>
      </c>
      <c r="H1988" s="5">
        <f t="shared" si="62"/>
        <v>9894.48</v>
      </c>
      <c r="I1988" s="9">
        <f t="shared" si="63"/>
        <v>0</v>
      </c>
      <c r="J1988" s="3" t="s">
        <v>4603</v>
      </c>
    </row>
    <row r="1989" spans="1:10" ht="25.5">
      <c r="A1989" s="3" t="s">
        <v>1811</v>
      </c>
      <c r="B1989" s="3" t="s">
        <v>2859</v>
      </c>
      <c r="C1989" s="4">
        <v>187</v>
      </c>
      <c r="D1989" s="3" t="s">
        <v>460</v>
      </c>
      <c r="E1989" s="3" t="s">
        <v>8</v>
      </c>
      <c r="F1989" s="5">
        <v>13962.69</v>
      </c>
      <c r="G1989" s="5">
        <v>0</v>
      </c>
      <c r="H1989" s="5">
        <f t="shared" si="62"/>
        <v>-13962.69</v>
      </c>
      <c r="I1989" s="9">
        <f t="shared" si="63"/>
        <v>-1</v>
      </c>
      <c r="J1989" s="3" t="s">
        <v>4603</v>
      </c>
    </row>
    <row r="1990" spans="1:10" ht="25.5">
      <c r="A1990" s="3" t="s">
        <v>1811</v>
      </c>
      <c r="B1990" s="3" t="s">
        <v>2860</v>
      </c>
      <c r="C1990" s="4">
        <v>261</v>
      </c>
      <c r="D1990" s="3" t="s">
        <v>17</v>
      </c>
      <c r="E1990" s="3" t="s">
        <v>18</v>
      </c>
      <c r="F1990" s="5">
        <v>11656.11</v>
      </c>
      <c r="G1990" s="5">
        <v>0</v>
      </c>
      <c r="H1990" s="5">
        <f t="shared" si="62"/>
        <v>-11656.11</v>
      </c>
      <c r="I1990" s="9">
        <f t="shared" si="63"/>
        <v>-1</v>
      </c>
      <c r="J1990" s="3" t="s">
        <v>4604</v>
      </c>
    </row>
    <row r="1991" spans="1:10" ht="25.5">
      <c r="A1991" s="3" t="s">
        <v>1811</v>
      </c>
      <c r="B1991" s="3" t="s">
        <v>2861</v>
      </c>
      <c r="C1991" s="4">
        <v>19</v>
      </c>
      <c r="D1991" s="3" t="s">
        <v>53</v>
      </c>
      <c r="E1991" s="3" t="s">
        <v>22</v>
      </c>
      <c r="F1991" s="5">
        <v>17829.240000000002</v>
      </c>
      <c r="G1991" s="5">
        <v>0</v>
      </c>
      <c r="H1991" s="5">
        <f t="shared" si="62"/>
        <v>-17829.240000000002</v>
      </c>
      <c r="I1991" s="9">
        <f t="shared" si="63"/>
        <v>-1</v>
      </c>
      <c r="J1991" s="3" t="s">
        <v>4603</v>
      </c>
    </row>
    <row r="1992" spans="1:10" ht="25.5">
      <c r="A1992" s="3" t="s">
        <v>1811</v>
      </c>
      <c r="B1992" s="3" t="s">
        <v>2862</v>
      </c>
      <c r="C1992" s="4">
        <v>270</v>
      </c>
      <c r="D1992" s="3" t="s">
        <v>312</v>
      </c>
      <c r="E1992" s="3" t="s">
        <v>30</v>
      </c>
      <c r="F1992" s="5">
        <v>0</v>
      </c>
      <c r="G1992" s="5">
        <v>20006.310000000001</v>
      </c>
      <c r="H1992" s="5">
        <f t="shared" si="62"/>
        <v>20006.310000000001</v>
      </c>
      <c r="I1992" s="9">
        <f t="shared" si="63"/>
        <v>0</v>
      </c>
      <c r="J1992" s="3" t="s">
        <v>4603</v>
      </c>
    </row>
    <row r="1993" spans="1:10" ht="25.5">
      <c r="A1993" s="3" t="s">
        <v>1811</v>
      </c>
      <c r="B1993" s="3" t="s">
        <v>2863</v>
      </c>
      <c r="C1993" s="4">
        <v>93</v>
      </c>
      <c r="D1993" s="3" t="s">
        <v>42</v>
      </c>
      <c r="E1993" s="3" t="s">
        <v>8</v>
      </c>
      <c r="F1993" s="5">
        <v>5255.28</v>
      </c>
      <c r="G1993" s="5">
        <v>0</v>
      </c>
      <c r="H1993" s="5">
        <f t="shared" si="62"/>
        <v>-5255.28</v>
      </c>
      <c r="I1993" s="9">
        <f t="shared" si="63"/>
        <v>-1</v>
      </c>
      <c r="J1993" s="3" t="s">
        <v>4603</v>
      </c>
    </row>
    <row r="1994" spans="1:10" ht="25.5">
      <c r="A1994" s="3" t="s">
        <v>1811</v>
      </c>
      <c r="B1994" s="3" t="s">
        <v>2864</v>
      </c>
      <c r="C1994" s="4">
        <v>208</v>
      </c>
      <c r="D1994" s="3" t="s">
        <v>58</v>
      </c>
      <c r="E1994" s="3" t="s">
        <v>13</v>
      </c>
      <c r="F1994" s="5">
        <v>0</v>
      </c>
      <c r="G1994" s="5">
        <v>34306.237000000001</v>
      </c>
      <c r="H1994" s="5">
        <f t="shared" si="62"/>
        <v>34306.237000000001</v>
      </c>
      <c r="I1994" s="9">
        <f t="shared" si="63"/>
        <v>0</v>
      </c>
      <c r="J1994" s="3" t="s">
        <v>4603</v>
      </c>
    </row>
    <row r="1995" spans="1:10" ht="38.25">
      <c r="A1995" s="3" t="s">
        <v>1811</v>
      </c>
      <c r="B1995" s="3" t="s">
        <v>2865</v>
      </c>
      <c r="C1995" s="4">
        <v>292</v>
      </c>
      <c r="D1995" s="3" t="s">
        <v>619</v>
      </c>
      <c r="E1995" s="3" t="s">
        <v>30</v>
      </c>
      <c r="F1995" s="5">
        <v>9873.6</v>
      </c>
      <c r="G1995" s="5">
        <v>0</v>
      </c>
      <c r="H1995" s="5">
        <f t="shared" si="62"/>
        <v>-9873.6</v>
      </c>
      <c r="I1995" s="9">
        <f t="shared" si="63"/>
        <v>-1</v>
      </c>
      <c r="J1995" s="3" t="s">
        <v>4603</v>
      </c>
    </row>
    <row r="1996" spans="1:10" ht="25.5">
      <c r="A1996" s="3" t="s">
        <v>1811</v>
      </c>
      <c r="B1996" s="3" t="s">
        <v>2866</v>
      </c>
      <c r="C1996" s="4">
        <v>327</v>
      </c>
      <c r="D1996" s="3" t="s">
        <v>76</v>
      </c>
      <c r="E1996" s="3" t="s">
        <v>8</v>
      </c>
      <c r="F1996" s="5">
        <v>0</v>
      </c>
      <c r="G1996" s="5">
        <v>8368.83</v>
      </c>
      <c r="H1996" s="5">
        <f t="shared" si="62"/>
        <v>8368.83</v>
      </c>
      <c r="I1996" s="9">
        <f t="shared" si="63"/>
        <v>0</v>
      </c>
      <c r="J1996" s="3" t="s">
        <v>4603</v>
      </c>
    </row>
    <row r="1997" spans="1:10" ht="25.5">
      <c r="A1997" s="3" t="s">
        <v>1811</v>
      </c>
      <c r="B1997" s="3" t="s">
        <v>2867</v>
      </c>
      <c r="C1997" s="4">
        <v>327</v>
      </c>
      <c r="D1997" s="3" t="s">
        <v>76</v>
      </c>
      <c r="E1997" s="3" t="s">
        <v>8</v>
      </c>
      <c r="F1997" s="5">
        <v>0</v>
      </c>
      <c r="G1997" s="5">
        <v>3245.28</v>
      </c>
      <c r="H1997" s="5">
        <f t="shared" si="62"/>
        <v>3245.28</v>
      </c>
      <c r="I1997" s="9">
        <f t="shared" si="63"/>
        <v>0</v>
      </c>
      <c r="J1997" s="3" t="s">
        <v>4603</v>
      </c>
    </row>
    <row r="1998" spans="1:10" ht="25.5">
      <c r="A1998" s="3" t="s">
        <v>1811</v>
      </c>
      <c r="B1998" s="3" t="s">
        <v>2868</v>
      </c>
      <c r="C1998" s="4">
        <v>74</v>
      </c>
      <c r="D1998" s="3" t="s">
        <v>86</v>
      </c>
      <c r="E1998" s="3" t="s">
        <v>8</v>
      </c>
      <c r="F1998" s="5">
        <v>11002.32</v>
      </c>
      <c r="G1998" s="5">
        <v>0</v>
      </c>
      <c r="H1998" s="5">
        <f t="shared" si="62"/>
        <v>-11002.32</v>
      </c>
      <c r="I1998" s="9">
        <f t="shared" si="63"/>
        <v>-1</v>
      </c>
      <c r="J1998" s="3" t="s">
        <v>4603</v>
      </c>
    </row>
    <row r="1999" spans="1:10" ht="25.5">
      <c r="A1999" s="3" t="s">
        <v>1811</v>
      </c>
      <c r="B1999" s="3" t="s">
        <v>2869</v>
      </c>
      <c r="C1999" s="4">
        <v>297</v>
      </c>
      <c r="D1999" s="3" t="s">
        <v>209</v>
      </c>
      <c r="E1999" s="3" t="s">
        <v>22</v>
      </c>
      <c r="F1999" s="5">
        <v>0</v>
      </c>
      <c r="G1999" s="5">
        <v>10838.062</v>
      </c>
      <c r="H1999" s="5">
        <f t="shared" si="62"/>
        <v>10838.062</v>
      </c>
      <c r="I1999" s="9">
        <f t="shared" si="63"/>
        <v>0</v>
      </c>
      <c r="J1999" s="3" t="s">
        <v>4603</v>
      </c>
    </row>
    <row r="2000" spans="1:10" ht="25.5">
      <c r="A2000" s="3" t="s">
        <v>1811</v>
      </c>
      <c r="B2000" s="3" t="s">
        <v>2870</v>
      </c>
      <c r="C2000" s="4">
        <v>218</v>
      </c>
      <c r="D2000" s="3" t="s">
        <v>155</v>
      </c>
      <c r="E2000" s="3" t="s">
        <v>13</v>
      </c>
      <c r="F2000" s="5">
        <v>3167.28</v>
      </c>
      <c r="G2000" s="5">
        <v>0</v>
      </c>
      <c r="H2000" s="5">
        <f t="shared" si="62"/>
        <v>-3167.28</v>
      </c>
      <c r="I2000" s="9">
        <f t="shared" si="63"/>
        <v>-1</v>
      </c>
      <c r="J2000" s="3" t="s">
        <v>4603</v>
      </c>
    </row>
    <row r="2001" spans="1:10" ht="25.5">
      <c r="A2001" s="3" t="s">
        <v>1811</v>
      </c>
      <c r="B2001" s="3" t="s">
        <v>2871</v>
      </c>
      <c r="C2001" s="4">
        <v>240</v>
      </c>
      <c r="D2001" s="3" t="s">
        <v>152</v>
      </c>
      <c r="E2001" s="3" t="s">
        <v>13</v>
      </c>
      <c r="F2001" s="5">
        <v>3010.56</v>
      </c>
      <c r="G2001" s="5">
        <v>0</v>
      </c>
      <c r="H2001" s="5">
        <f t="shared" si="62"/>
        <v>-3010.56</v>
      </c>
      <c r="I2001" s="9">
        <f t="shared" si="63"/>
        <v>-1</v>
      </c>
      <c r="J2001" s="3" t="s">
        <v>4603</v>
      </c>
    </row>
    <row r="2002" spans="1:10" ht="25.5">
      <c r="A2002" s="3" t="s">
        <v>1811</v>
      </c>
      <c r="B2002" s="3" t="s">
        <v>2872</v>
      </c>
      <c r="C2002" s="4">
        <v>267</v>
      </c>
      <c r="D2002" s="3" t="s">
        <v>417</v>
      </c>
      <c r="E2002" s="3" t="s">
        <v>13</v>
      </c>
      <c r="F2002" s="5">
        <v>3107.4</v>
      </c>
      <c r="G2002" s="5">
        <v>0</v>
      </c>
      <c r="H2002" s="5">
        <f t="shared" si="62"/>
        <v>-3107.4</v>
      </c>
      <c r="I2002" s="9">
        <f t="shared" si="63"/>
        <v>-1</v>
      </c>
      <c r="J2002" s="3" t="s">
        <v>4603</v>
      </c>
    </row>
    <row r="2003" spans="1:10" ht="38.25">
      <c r="A2003" s="3" t="s">
        <v>1811</v>
      </c>
      <c r="B2003" s="3" t="s">
        <v>2873</v>
      </c>
      <c r="C2003" s="4">
        <v>371</v>
      </c>
      <c r="D2003" s="3" t="s">
        <v>29</v>
      </c>
      <c r="E2003" s="3" t="s">
        <v>30</v>
      </c>
      <c r="F2003" s="5">
        <v>5386.8</v>
      </c>
      <c r="G2003" s="5">
        <v>0</v>
      </c>
      <c r="H2003" s="5">
        <f t="shared" si="62"/>
        <v>-5386.8</v>
      </c>
      <c r="I2003" s="9">
        <f t="shared" si="63"/>
        <v>-1</v>
      </c>
      <c r="J2003" s="3" t="s">
        <v>4603</v>
      </c>
    </row>
    <row r="2004" spans="1:10" ht="25.5">
      <c r="A2004" s="3" t="s">
        <v>1811</v>
      </c>
      <c r="B2004" s="3" t="s">
        <v>2874</v>
      </c>
      <c r="C2004" s="4">
        <v>267</v>
      </c>
      <c r="D2004" s="3" t="s">
        <v>417</v>
      </c>
      <c r="E2004" s="3" t="s">
        <v>13</v>
      </c>
      <c r="F2004" s="5">
        <v>13099.44</v>
      </c>
      <c r="G2004" s="5">
        <v>0</v>
      </c>
      <c r="H2004" s="5">
        <f t="shared" si="62"/>
        <v>-13099.44</v>
      </c>
      <c r="I2004" s="9">
        <f t="shared" si="63"/>
        <v>-1</v>
      </c>
      <c r="J2004" s="3" t="s">
        <v>4604</v>
      </c>
    </row>
    <row r="2005" spans="1:10" ht="25.5">
      <c r="A2005" s="3" t="s">
        <v>1811</v>
      </c>
      <c r="B2005" s="3" t="s">
        <v>2875</v>
      </c>
      <c r="C2005" s="4">
        <v>218</v>
      </c>
      <c r="D2005" s="3" t="s">
        <v>155</v>
      </c>
      <c r="E2005" s="3" t="s">
        <v>13</v>
      </c>
      <c r="F2005" s="5">
        <v>12153.72</v>
      </c>
      <c r="G2005" s="5">
        <v>7350.36</v>
      </c>
      <c r="H2005" s="5">
        <f t="shared" si="62"/>
        <v>-4803.3599999999997</v>
      </c>
      <c r="I2005" s="9">
        <f t="shared" si="63"/>
        <v>-0.39521726681213654</v>
      </c>
      <c r="J2005" s="3" t="s">
        <v>4603</v>
      </c>
    </row>
    <row r="2006" spans="1:10" ht="25.5">
      <c r="A2006" s="3" t="s">
        <v>1811</v>
      </c>
      <c r="B2006" s="3" t="s">
        <v>2876</v>
      </c>
      <c r="C2006" s="4">
        <v>267</v>
      </c>
      <c r="D2006" s="3" t="s">
        <v>417</v>
      </c>
      <c r="E2006" s="3" t="s">
        <v>13</v>
      </c>
      <c r="F2006" s="5">
        <v>6536.82</v>
      </c>
      <c r="G2006" s="5">
        <v>0</v>
      </c>
      <c r="H2006" s="5">
        <f t="shared" si="62"/>
        <v>-6536.82</v>
      </c>
      <c r="I2006" s="9">
        <f t="shared" si="63"/>
        <v>-1</v>
      </c>
      <c r="J2006" s="3" t="s">
        <v>4603</v>
      </c>
    </row>
    <row r="2007" spans="1:10" ht="25.5">
      <c r="A2007" s="3" t="s">
        <v>1811</v>
      </c>
      <c r="B2007" s="3" t="s">
        <v>2877</v>
      </c>
      <c r="C2007" s="4">
        <v>218</v>
      </c>
      <c r="D2007" s="3" t="s">
        <v>155</v>
      </c>
      <c r="E2007" s="3" t="s">
        <v>13</v>
      </c>
      <c r="F2007" s="5">
        <v>0</v>
      </c>
      <c r="G2007" s="5">
        <v>2396.88</v>
      </c>
      <c r="H2007" s="5">
        <f t="shared" si="62"/>
        <v>2396.88</v>
      </c>
      <c r="I2007" s="9">
        <f t="shared" si="63"/>
        <v>0</v>
      </c>
      <c r="J2007" s="3" t="s">
        <v>4603</v>
      </c>
    </row>
    <row r="2008" spans="1:10" ht="25.5">
      <c r="A2008" s="3" t="s">
        <v>1811</v>
      </c>
      <c r="B2008" s="3" t="s">
        <v>2878</v>
      </c>
      <c r="C2008" s="4">
        <v>267</v>
      </c>
      <c r="D2008" s="3" t="s">
        <v>417</v>
      </c>
      <c r="E2008" s="3" t="s">
        <v>13</v>
      </c>
      <c r="F2008" s="5">
        <v>21655.02</v>
      </c>
      <c r="G2008" s="5">
        <v>17203.740000000002</v>
      </c>
      <c r="H2008" s="5">
        <f t="shared" si="62"/>
        <v>-4451.2799999999988</v>
      </c>
      <c r="I2008" s="9">
        <f t="shared" si="63"/>
        <v>-0.20555418558837624</v>
      </c>
      <c r="J2008" s="3" t="s">
        <v>4603</v>
      </c>
    </row>
    <row r="2009" spans="1:10" ht="25.5">
      <c r="A2009" s="3" t="s">
        <v>1811</v>
      </c>
      <c r="B2009" s="3" t="s">
        <v>2879</v>
      </c>
      <c r="C2009" s="4">
        <v>19</v>
      </c>
      <c r="D2009" s="3" t="s">
        <v>53</v>
      </c>
      <c r="E2009" s="3" t="s">
        <v>22</v>
      </c>
      <c r="F2009" s="5">
        <v>4709.34</v>
      </c>
      <c r="G2009" s="5">
        <v>6053.49</v>
      </c>
      <c r="H2009" s="5">
        <f t="shared" si="62"/>
        <v>1344.1499999999996</v>
      </c>
      <c r="I2009" s="9">
        <f t="shared" si="63"/>
        <v>0.2854221610671559</v>
      </c>
      <c r="J2009" s="3" t="s">
        <v>4603</v>
      </c>
    </row>
    <row r="2010" spans="1:10" ht="25.5">
      <c r="A2010" s="3" t="s">
        <v>1811</v>
      </c>
      <c r="B2010" s="3" t="s">
        <v>2880</v>
      </c>
      <c r="C2010" s="4">
        <v>218</v>
      </c>
      <c r="D2010" s="3" t="s">
        <v>155</v>
      </c>
      <c r="E2010" s="3" t="s">
        <v>13</v>
      </c>
      <c r="F2010" s="5">
        <v>0</v>
      </c>
      <c r="G2010" s="5">
        <v>3195.6</v>
      </c>
      <c r="H2010" s="5">
        <f t="shared" si="62"/>
        <v>3195.6</v>
      </c>
      <c r="I2010" s="9">
        <f t="shared" si="63"/>
        <v>0</v>
      </c>
      <c r="J2010" s="3" t="s">
        <v>4603</v>
      </c>
    </row>
    <row r="2011" spans="1:10" ht="25.5">
      <c r="A2011" s="3" t="s">
        <v>1811</v>
      </c>
      <c r="B2011" s="3" t="s">
        <v>2881</v>
      </c>
      <c r="C2011" s="4">
        <v>316</v>
      </c>
      <c r="D2011" s="3" t="s">
        <v>167</v>
      </c>
      <c r="E2011" s="3" t="s">
        <v>18</v>
      </c>
      <c r="F2011" s="5">
        <v>2913.84</v>
      </c>
      <c r="G2011" s="5">
        <v>0</v>
      </c>
      <c r="H2011" s="5">
        <f t="shared" si="62"/>
        <v>-2913.84</v>
      </c>
      <c r="I2011" s="9">
        <f t="shared" si="63"/>
        <v>-1</v>
      </c>
      <c r="J2011" s="3" t="s">
        <v>4604</v>
      </c>
    </row>
    <row r="2012" spans="1:10" ht="25.5">
      <c r="A2012" s="3" t="s">
        <v>1811</v>
      </c>
      <c r="B2012" s="3" t="s">
        <v>2882</v>
      </c>
      <c r="C2012" s="4">
        <v>93</v>
      </c>
      <c r="D2012" s="3" t="s">
        <v>42</v>
      </c>
      <c r="E2012" s="3" t="s">
        <v>8</v>
      </c>
      <c r="F2012" s="5">
        <v>23822.16</v>
      </c>
      <c r="G2012" s="5">
        <v>17249.37</v>
      </c>
      <c r="H2012" s="5">
        <f t="shared" si="62"/>
        <v>-6572.7900000000009</v>
      </c>
      <c r="I2012" s="9">
        <f t="shared" si="63"/>
        <v>-0.27591074864747789</v>
      </c>
      <c r="J2012" s="3" t="s">
        <v>4603</v>
      </c>
    </row>
    <row r="2013" spans="1:10" ht="25.5">
      <c r="A2013" s="3" t="s">
        <v>1811</v>
      </c>
      <c r="B2013" s="3" t="s">
        <v>2883</v>
      </c>
      <c r="C2013" s="4">
        <v>337</v>
      </c>
      <c r="D2013" s="3" t="s">
        <v>218</v>
      </c>
      <c r="E2013" s="3" t="s">
        <v>13</v>
      </c>
      <c r="F2013" s="5">
        <v>0</v>
      </c>
      <c r="G2013" s="5">
        <v>9504.1200000000008</v>
      </c>
      <c r="H2013" s="5">
        <f t="shared" si="62"/>
        <v>9504.1200000000008</v>
      </c>
      <c r="I2013" s="9">
        <f t="shared" si="63"/>
        <v>0</v>
      </c>
      <c r="J2013" s="3" t="s">
        <v>4603</v>
      </c>
    </row>
    <row r="2014" spans="1:10" ht="25.5">
      <c r="A2014" s="3" t="s">
        <v>1811</v>
      </c>
      <c r="B2014" s="3" t="s">
        <v>2884</v>
      </c>
      <c r="C2014" s="4">
        <v>335</v>
      </c>
      <c r="D2014" s="3" t="s">
        <v>7</v>
      </c>
      <c r="E2014" s="3" t="s">
        <v>8</v>
      </c>
      <c r="F2014" s="5">
        <v>0</v>
      </c>
      <c r="G2014" s="5">
        <v>5244.69</v>
      </c>
      <c r="H2014" s="5">
        <f t="shared" si="62"/>
        <v>5244.69</v>
      </c>
      <c r="I2014" s="9">
        <f t="shared" si="63"/>
        <v>0</v>
      </c>
      <c r="J2014" s="3" t="s">
        <v>4603</v>
      </c>
    </row>
    <row r="2015" spans="1:10" ht="25.5">
      <c r="A2015" s="3" t="s">
        <v>1811</v>
      </c>
      <c r="B2015" s="3" t="s">
        <v>2885</v>
      </c>
      <c r="C2015" s="4">
        <v>74</v>
      </c>
      <c r="D2015" s="3" t="s">
        <v>86</v>
      </c>
      <c r="E2015" s="3" t="s">
        <v>8</v>
      </c>
      <c r="F2015" s="5">
        <v>4541.6400000000003</v>
      </c>
      <c r="G2015" s="5">
        <v>0</v>
      </c>
      <c r="H2015" s="5">
        <f t="shared" si="62"/>
        <v>-4541.6400000000003</v>
      </c>
      <c r="I2015" s="9">
        <f t="shared" si="63"/>
        <v>-1</v>
      </c>
      <c r="J2015" s="3" t="s">
        <v>4603</v>
      </c>
    </row>
    <row r="2016" spans="1:10">
      <c r="A2016" s="3" t="s">
        <v>1811</v>
      </c>
      <c r="B2016" s="3" t="s">
        <v>2886</v>
      </c>
      <c r="C2016" s="4">
        <v>167</v>
      </c>
      <c r="D2016" s="3" t="s">
        <v>335</v>
      </c>
      <c r="E2016" s="3" t="s">
        <v>30</v>
      </c>
      <c r="F2016" s="5">
        <v>13003.08</v>
      </c>
      <c r="G2016" s="5">
        <v>7963.14</v>
      </c>
      <c r="H2016" s="5">
        <f t="shared" si="62"/>
        <v>-5039.9399999999996</v>
      </c>
      <c r="I2016" s="9">
        <f t="shared" si="63"/>
        <v>-0.38759586190348749</v>
      </c>
      <c r="J2016" s="3" t="s">
        <v>4603</v>
      </c>
    </row>
    <row r="2017" spans="1:10" ht="25.5">
      <c r="A2017" s="3" t="s">
        <v>1811</v>
      </c>
      <c r="B2017" s="3" t="s">
        <v>2887</v>
      </c>
      <c r="C2017" s="4">
        <v>267</v>
      </c>
      <c r="D2017" s="3" t="s">
        <v>417</v>
      </c>
      <c r="E2017" s="3" t="s">
        <v>13</v>
      </c>
      <c r="F2017" s="5">
        <v>0</v>
      </c>
      <c r="G2017" s="5">
        <v>3340.08</v>
      </c>
      <c r="H2017" s="5">
        <f t="shared" si="62"/>
        <v>3340.08</v>
      </c>
      <c r="I2017" s="9">
        <f t="shared" si="63"/>
        <v>0</v>
      </c>
      <c r="J2017" s="3" t="s">
        <v>4603</v>
      </c>
    </row>
    <row r="2018" spans="1:10" ht="25.5">
      <c r="A2018" s="3" t="s">
        <v>1811</v>
      </c>
      <c r="B2018" s="3" t="s">
        <v>2888</v>
      </c>
      <c r="C2018" s="4">
        <v>266</v>
      </c>
      <c r="D2018" s="3" t="s">
        <v>111</v>
      </c>
      <c r="E2018" s="3" t="s">
        <v>18</v>
      </c>
      <c r="F2018" s="5">
        <v>0</v>
      </c>
      <c r="G2018" s="5">
        <v>9514.23</v>
      </c>
      <c r="H2018" s="5">
        <f t="shared" si="62"/>
        <v>9514.23</v>
      </c>
      <c r="I2018" s="9">
        <f t="shared" si="63"/>
        <v>0</v>
      </c>
      <c r="J2018" s="3" t="s">
        <v>4603</v>
      </c>
    </row>
    <row r="2019" spans="1:10" ht="25.5">
      <c r="A2019" s="3" t="s">
        <v>1811</v>
      </c>
      <c r="B2019" s="3" t="s">
        <v>2889</v>
      </c>
      <c r="C2019" s="4">
        <v>93</v>
      </c>
      <c r="D2019" s="3" t="s">
        <v>42</v>
      </c>
      <c r="E2019" s="3" t="s">
        <v>8</v>
      </c>
      <c r="F2019" s="5">
        <v>6982.92</v>
      </c>
      <c r="G2019" s="5">
        <v>0</v>
      </c>
      <c r="H2019" s="5">
        <f t="shared" si="62"/>
        <v>-6982.92</v>
      </c>
      <c r="I2019" s="9">
        <f t="shared" si="63"/>
        <v>-1</v>
      </c>
      <c r="J2019" s="3" t="s">
        <v>4603</v>
      </c>
    </row>
    <row r="2020" spans="1:10" ht="25.5">
      <c r="A2020" s="3" t="s">
        <v>1811</v>
      </c>
      <c r="B2020" s="3" t="s">
        <v>2890</v>
      </c>
      <c r="C2020" s="4">
        <v>15</v>
      </c>
      <c r="D2020" s="3" t="s">
        <v>33</v>
      </c>
      <c r="E2020" s="3" t="s">
        <v>13</v>
      </c>
      <c r="F2020" s="5">
        <v>7709.88</v>
      </c>
      <c r="G2020" s="5">
        <v>0</v>
      </c>
      <c r="H2020" s="5">
        <f t="shared" si="62"/>
        <v>-7709.88</v>
      </c>
      <c r="I2020" s="9">
        <f t="shared" si="63"/>
        <v>-1</v>
      </c>
      <c r="J2020" s="3" t="s">
        <v>4603</v>
      </c>
    </row>
    <row r="2021" spans="1:10" ht="25.5">
      <c r="A2021" s="3" t="s">
        <v>1811</v>
      </c>
      <c r="B2021" s="3" t="s">
        <v>2891</v>
      </c>
      <c r="C2021" s="4">
        <v>232</v>
      </c>
      <c r="D2021" s="3" t="s">
        <v>95</v>
      </c>
      <c r="E2021" s="3" t="s">
        <v>13</v>
      </c>
      <c r="F2021" s="5">
        <v>7905.72</v>
      </c>
      <c r="G2021" s="5">
        <v>5758.8</v>
      </c>
      <c r="H2021" s="5">
        <f t="shared" si="62"/>
        <v>-2146.92</v>
      </c>
      <c r="I2021" s="9">
        <f t="shared" si="63"/>
        <v>-0.27156539821799908</v>
      </c>
      <c r="J2021" s="3" t="s">
        <v>4603</v>
      </c>
    </row>
    <row r="2022" spans="1:10" ht="25.5">
      <c r="A2022" s="3" t="s">
        <v>1811</v>
      </c>
      <c r="B2022" s="3" t="s">
        <v>2892</v>
      </c>
      <c r="C2022" s="4">
        <v>232</v>
      </c>
      <c r="D2022" s="3" t="s">
        <v>95</v>
      </c>
      <c r="E2022" s="3" t="s">
        <v>13</v>
      </c>
      <c r="F2022" s="5">
        <v>0</v>
      </c>
      <c r="G2022" s="5">
        <v>7248.24</v>
      </c>
      <c r="H2022" s="5">
        <f t="shared" si="62"/>
        <v>7248.24</v>
      </c>
      <c r="I2022" s="9">
        <f t="shared" si="63"/>
        <v>0</v>
      </c>
      <c r="J2022" s="3" t="s">
        <v>4603</v>
      </c>
    </row>
    <row r="2023" spans="1:10" ht="25.5">
      <c r="A2023" s="3" t="s">
        <v>1811</v>
      </c>
      <c r="B2023" s="3" t="s">
        <v>2893</v>
      </c>
      <c r="C2023" s="4">
        <v>273</v>
      </c>
      <c r="D2023" s="3" t="s">
        <v>771</v>
      </c>
      <c r="E2023" s="3" t="s">
        <v>13</v>
      </c>
      <c r="F2023" s="5">
        <v>0</v>
      </c>
      <c r="G2023" s="5">
        <v>10254.75</v>
      </c>
      <c r="H2023" s="5">
        <f t="shared" si="62"/>
        <v>10254.75</v>
      </c>
      <c r="I2023" s="9">
        <f t="shared" si="63"/>
        <v>0</v>
      </c>
      <c r="J2023" s="3" t="s">
        <v>4603</v>
      </c>
    </row>
    <row r="2024" spans="1:10" ht="25.5">
      <c r="A2024" s="3" t="s">
        <v>1811</v>
      </c>
      <c r="B2024" s="3" t="s">
        <v>2894</v>
      </c>
      <c r="C2024" s="4">
        <v>267</v>
      </c>
      <c r="D2024" s="3" t="s">
        <v>417</v>
      </c>
      <c r="E2024" s="3" t="s">
        <v>13</v>
      </c>
      <c r="F2024" s="5">
        <v>2879.4</v>
      </c>
      <c r="G2024" s="5">
        <v>0</v>
      </c>
      <c r="H2024" s="5">
        <f t="shared" si="62"/>
        <v>-2879.4</v>
      </c>
      <c r="I2024" s="9">
        <f t="shared" si="63"/>
        <v>-1</v>
      </c>
      <c r="J2024" s="3" t="s">
        <v>4603</v>
      </c>
    </row>
    <row r="2025" spans="1:10">
      <c r="A2025" s="3" t="s">
        <v>1811</v>
      </c>
      <c r="B2025" s="3" t="s">
        <v>2895</v>
      </c>
      <c r="C2025" s="4">
        <v>15</v>
      </c>
      <c r="D2025" s="3" t="s">
        <v>33</v>
      </c>
      <c r="E2025" s="3" t="s">
        <v>13</v>
      </c>
      <c r="F2025" s="5">
        <v>59720.28</v>
      </c>
      <c r="G2025" s="5">
        <v>50347.8</v>
      </c>
      <c r="H2025" s="5">
        <f t="shared" si="62"/>
        <v>-9372.4799999999959</v>
      </c>
      <c r="I2025" s="9">
        <f t="shared" si="63"/>
        <v>-0.15693965266070409</v>
      </c>
      <c r="J2025" s="3" t="s">
        <v>4603</v>
      </c>
    </row>
    <row r="2026" spans="1:10" ht="51">
      <c r="A2026" s="3" t="s">
        <v>1811</v>
      </c>
      <c r="B2026" s="3" t="s">
        <v>2896</v>
      </c>
      <c r="C2026" s="4">
        <v>282</v>
      </c>
      <c r="D2026" s="3" t="s">
        <v>298</v>
      </c>
      <c r="E2026" s="3" t="s">
        <v>9</v>
      </c>
      <c r="F2026" s="5">
        <v>0</v>
      </c>
      <c r="G2026" s="5">
        <v>8820.7199999999993</v>
      </c>
      <c r="H2026" s="5">
        <f t="shared" si="62"/>
        <v>8820.7199999999993</v>
      </c>
      <c r="I2026" s="9">
        <f t="shared" si="63"/>
        <v>0</v>
      </c>
      <c r="J2026" s="3" t="s">
        <v>4603</v>
      </c>
    </row>
    <row r="2027" spans="1:10" ht="25.5">
      <c r="A2027" s="3" t="s">
        <v>1811</v>
      </c>
      <c r="B2027" s="3" t="s">
        <v>2897</v>
      </c>
      <c r="C2027" s="4">
        <v>74</v>
      </c>
      <c r="D2027" s="3" t="s">
        <v>86</v>
      </c>
      <c r="E2027" s="3" t="s">
        <v>8</v>
      </c>
      <c r="F2027" s="5">
        <v>0</v>
      </c>
      <c r="G2027" s="5">
        <v>5784.3</v>
      </c>
      <c r="H2027" s="5">
        <f t="shared" si="62"/>
        <v>5784.3</v>
      </c>
      <c r="I2027" s="9">
        <f t="shared" si="63"/>
        <v>0</v>
      </c>
      <c r="J2027" s="3" t="s">
        <v>4603</v>
      </c>
    </row>
    <row r="2028" spans="1:10" ht="51">
      <c r="A2028" s="3" t="s">
        <v>1811</v>
      </c>
      <c r="B2028" s="3" t="s">
        <v>2898</v>
      </c>
      <c r="C2028" s="4">
        <v>282</v>
      </c>
      <c r="D2028" s="3" t="s">
        <v>298</v>
      </c>
      <c r="E2028" s="3" t="s">
        <v>9</v>
      </c>
      <c r="F2028" s="5">
        <v>7435.8</v>
      </c>
      <c r="G2028" s="5">
        <v>0</v>
      </c>
      <c r="H2028" s="5">
        <f t="shared" si="62"/>
        <v>-7435.8</v>
      </c>
      <c r="I2028" s="9">
        <f t="shared" si="63"/>
        <v>-1</v>
      </c>
      <c r="J2028" s="3" t="s">
        <v>4603</v>
      </c>
    </row>
    <row r="2029" spans="1:10" ht="25.5">
      <c r="A2029" s="3" t="s">
        <v>1811</v>
      </c>
      <c r="B2029" s="3" t="s">
        <v>2899</v>
      </c>
      <c r="C2029" s="4">
        <v>31</v>
      </c>
      <c r="D2029" s="3" t="s">
        <v>172</v>
      </c>
      <c r="E2029" s="3" t="s">
        <v>13</v>
      </c>
      <c r="F2029" s="5">
        <v>27827.4</v>
      </c>
      <c r="G2029" s="5">
        <v>13101</v>
      </c>
      <c r="H2029" s="5">
        <f t="shared" si="62"/>
        <v>-14726.400000000001</v>
      </c>
      <c r="I2029" s="9">
        <f t="shared" si="63"/>
        <v>-0.52920502813773473</v>
      </c>
      <c r="J2029" s="3" t="s">
        <v>4603</v>
      </c>
    </row>
    <row r="2030" spans="1:10" ht="25.5">
      <c r="A2030" s="3" t="s">
        <v>1811</v>
      </c>
      <c r="B2030" s="3" t="s">
        <v>2900</v>
      </c>
      <c r="C2030" s="4">
        <v>19</v>
      </c>
      <c r="D2030" s="3" t="s">
        <v>53</v>
      </c>
      <c r="E2030" s="3" t="s">
        <v>22</v>
      </c>
      <c r="F2030" s="5">
        <v>9736.3799999999992</v>
      </c>
      <c r="G2030" s="5">
        <v>7078.11</v>
      </c>
      <c r="H2030" s="5">
        <f t="shared" si="62"/>
        <v>-2658.2699999999995</v>
      </c>
      <c r="I2030" s="9">
        <f t="shared" si="63"/>
        <v>-0.27302447110733141</v>
      </c>
      <c r="J2030" s="3" t="s">
        <v>4603</v>
      </c>
    </row>
    <row r="2031" spans="1:10" ht="25.5">
      <c r="A2031" s="3" t="s">
        <v>1811</v>
      </c>
      <c r="B2031" s="3" t="s">
        <v>2901</v>
      </c>
      <c r="C2031" s="4">
        <v>23</v>
      </c>
      <c r="D2031" s="3" t="s">
        <v>71</v>
      </c>
      <c r="E2031" s="3" t="s">
        <v>8</v>
      </c>
      <c r="F2031" s="5">
        <v>0</v>
      </c>
      <c r="G2031" s="5">
        <v>1944.12</v>
      </c>
      <c r="H2031" s="5">
        <f t="shared" si="62"/>
        <v>1944.12</v>
      </c>
      <c r="I2031" s="9">
        <f t="shared" si="63"/>
        <v>0</v>
      </c>
      <c r="J2031" s="3" t="s">
        <v>4603</v>
      </c>
    </row>
    <row r="2032" spans="1:10" ht="38.25">
      <c r="A2032" s="3" t="s">
        <v>1811</v>
      </c>
      <c r="B2032" s="3" t="s">
        <v>2902</v>
      </c>
      <c r="C2032" s="4">
        <v>301</v>
      </c>
      <c r="D2032" s="3" t="s">
        <v>12</v>
      </c>
      <c r="E2032" s="3" t="s">
        <v>13</v>
      </c>
      <c r="F2032" s="5">
        <v>3167.28</v>
      </c>
      <c r="G2032" s="5">
        <v>3404.22</v>
      </c>
      <c r="H2032" s="5">
        <f t="shared" si="62"/>
        <v>236.9399999999996</v>
      </c>
      <c r="I2032" s="9">
        <f t="shared" si="63"/>
        <v>7.4808668636811237E-2</v>
      </c>
      <c r="J2032" s="3" t="s">
        <v>4603</v>
      </c>
    </row>
    <row r="2033" spans="1:10" ht="25.5">
      <c r="A2033" s="3" t="s">
        <v>1811</v>
      </c>
      <c r="B2033" s="3" t="s">
        <v>2903</v>
      </c>
      <c r="C2033" s="4">
        <v>194</v>
      </c>
      <c r="D2033" s="3" t="s">
        <v>179</v>
      </c>
      <c r="E2033" s="3" t="s">
        <v>13</v>
      </c>
      <c r="F2033" s="5">
        <v>0</v>
      </c>
      <c r="G2033" s="5">
        <v>5949.24</v>
      </c>
      <c r="H2033" s="5">
        <f t="shared" si="62"/>
        <v>5949.24</v>
      </c>
      <c r="I2033" s="9">
        <f t="shared" si="63"/>
        <v>0</v>
      </c>
      <c r="J2033" s="3" t="s">
        <v>4603</v>
      </c>
    </row>
    <row r="2034" spans="1:10" ht="25.5">
      <c r="A2034" s="3" t="s">
        <v>1811</v>
      </c>
      <c r="B2034" s="3" t="s">
        <v>2904</v>
      </c>
      <c r="C2034" s="4">
        <v>232</v>
      </c>
      <c r="D2034" s="3" t="s">
        <v>95</v>
      </c>
      <c r="E2034" s="3" t="s">
        <v>13</v>
      </c>
      <c r="F2034" s="5">
        <v>20527.740000000002</v>
      </c>
      <c r="G2034" s="5">
        <v>0</v>
      </c>
      <c r="H2034" s="5">
        <f t="shared" si="62"/>
        <v>-20527.740000000002</v>
      </c>
      <c r="I2034" s="9">
        <f t="shared" si="63"/>
        <v>-1</v>
      </c>
      <c r="J2034" s="3" t="s">
        <v>4604</v>
      </c>
    </row>
    <row r="2035" spans="1:10" ht="38.25">
      <c r="A2035" s="3" t="s">
        <v>1811</v>
      </c>
      <c r="B2035" s="3" t="s">
        <v>2905</v>
      </c>
      <c r="C2035" s="4">
        <v>371</v>
      </c>
      <c r="D2035" s="3" t="s">
        <v>29</v>
      </c>
      <c r="E2035" s="3" t="s">
        <v>30</v>
      </c>
      <c r="F2035" s="5">
        <v>7221.9</v>
      </c>
      <c r="G2035" s="5">
        <v>0</v>
      </c>
      <c r="H2035" s="5">
        <f t="shared" si="62"/>
        <v>-7221.9</v>
      </c>
      <c r="I2035" s="9">
        <f t="shared" si="63"/>
        <v>-1</v>
      </c>
      <c r="J2035" s="3" t="s">
        <v>4603</v>
      </c>
    </row>
    <row r="2036" spans="1:10" ht="25.5">
      <c r="A2036" s="3" t="s">
        <v>1811</v>
      </c>
      <c r="B2036" s="3" t="s">
        <v>2906</v>
      </c>
      <c r="C2036" s="4">
        <v>93</v>
      </c>
      <c r="D2036" s="3" t="s">
        <v>42</v>
      </c>
      <c r="E2036" s="3" t="s">
        <v>8</v>
      </c>
      <c r="F2036" s="5">
        <v>5182.92</v>
      </c>
      <c r="G2036" s="5">
        <v>12977.82</v>
      </c>
      <c r="H2036" s="5">
        <f t="shared" si="62"/>
        <v>7794.9</v>
      </c>
      <c r="I2036" s="9">
        <f t="shared" si="63"/>
        <v>1.5039591581579494</v>
      </c>
      <c r="J2036" s="3" t="s">
        <v>4603</v>
      </c>
    </row>
    <row r="2037" spans="1:10" ht="25.5">
      <c r="A2037" s="3" t="s">
        <v>1811</v>
      </c>
      <c r="B2037" s="3" t="s">
        <v>2907</v>
      </c>
      <c r="C2037" s="4">
        <v>197</v>
      </c>
      <c r="D2037" s="3" t="s">
        <v>23</v>
      </c>
      <c r="E2037" s="3" t="s">
        <v>22</v>
      </c>
      <c r="F2037" s="5">
        <v>5743.83</v>
      </c>
      <c r="G2037" s="5">
        <v>0</v>
      </c>
      <c r="H2037" s="5">
        <f t="shared" si="62"/>
        <v>-5743.83</v>
      </c>
      <c r="I2037" s="9">
        <f t="shared" si="63"/>
        <v>-1</v>
      </c>
      <c r="J2037" s="3" t="s">
        <v>4603</v>
      </c>
    </row>
    <row r="2038" spans="1:10" ht="38.25">
      <c r="A2038" s="3" t="s">
        <v>1811</v>
      </c>
      <c r="B2038" s="3" t="s">
        <v>2908</v>
      </c>
      <c r="C2038" s="4">
        <v>270</v>
      </c>
      <c r="D2038" s="3" t="s">
        <v>312</v>
      </c>
      <c r="E2038" s="3" t="s">
        <v>30</v>
      </c>
      <c r="F2038" s="5">
        <v>3551.52</v>
      </c>
      <c r="G2038" s="5">
        <v>2225.4</v>
      </c>
      <c r="H2038" s="5">
        <f t="shared" si="62"/>
        <v>-1326.12</v>
      </c>
      <c r="I2038" s="9">
        <f t="shared" si="63"/>
        <v>-0.37339505338559265</v>
      </c>
      <c r="J2038" s="3" t="s">
        <v>4603</v>
      </c>
    </row>
    <row r="2039" spans="1:10" ht="25.5">
      <c r="A2039" s="3" t="s">
        <v>1811</v>
      </c>
      <c r="B2039" s="3" t="s">
        <v>2909</v>
      </c>
      <c r="C2039" s="4">
        <v>167</v>
      </c>
      <c r="D2039" s="3" t="s">
        <v>335</v>
      </c>
      <c r="E2039" s="3" t="s">
        <v>30</v>
      </c>
      <c r="F2039" s="5">
        <v>0</v>
      </c>
      <c r="G2039" s="5">
        <v>5390.52</v>
      </c>
      <c r="H2039" s="5">
        <f t="shared" si="62"/>
        <v>5390.52</v>
      </c>
      <c r="I2039" s="9">
        <f t="shared" si="63"/>
        <v>0</v>
      </c>
      <c r="J2039" s="3" t="s">
        <v>4603</v>
      </c>
    </row>
    <row r="2040" spans="1:10" ht="25.5">
      <c r="A2040" s="3" t="s">
        <v>1811</v>
      </c>
      <c r="B2040" s="3" t="s">
        <v>2910</v>
      </c>
      <c r="C2040" s="4">
        <v>23</v>
      </c>
      <c r="D2040" s="3" t="s">
        <v>71</v>
      </c>
      <c r="E2040" s="3" t="s">
        <v>8</v>
      </c>
      <c r="F2040" s="5">
        <v>5303.1</v>
      </c>
      <c r="G2040" s="5">
        <v>0</v>
      </c>
      <c r="H2040" s="5">
        <f t="shared" si="62"/>
        <v>-5303.1</v>
      </c>
      <c r="I2040" s="9">
        <f t="shared" si="63"/>
        <v>-1</v>
      </c>
      <c r="J2040" s="3" t="s">
        <v>4603</v>
      </c>
    </row>
    <row r="2041" spans="1:10" ht="51">
      <c r="A2041" s="3" t="s">
        <v>1811</v>
      </c>
      <c r="B2041" s="3" t="s">
        <v>2911</v>
      </c>
      <c r="C2041" s="4">
        <v>282</v>
      </c>
      <c r="D2041" s="3" t="s">
        <v>298</v>
      </c>
      <c r="E2041" s="3" t="s">
        <v>9</v>
      </c>
      <c r="F2041" s="5">
        <v>0</v>
      </c>
      <c r="G2041" s="5">
        <v>3381.48</v>
      </c>
      <c r="H2041" s="5">
        <f t="shared" si="62"/>
        <v>3381.48</v>
      </c>
      <c r="I2041" s="9">
        <f t="shared" si="63"/>
        <v>0</v>
      </c>
      <c r="J2041" s="3" t="s">
        <v>4603</v>
      </c>
    </row>
    <row r="2042" spans="1:10" ht="25.5">
      <c r="A2042" s="3" t="s">
        <v>1811</v>
      </c>
      <c r="B2042" s="3" t="s">
        <v>2912</v>
      </c>
      <c r="C2042" s="4">
        <v>317</v>
      </c>
      <c r="D2042" s="3" t="s">
        <v>54</v>
      </c>
      <c r="E2042" s="3" t="s">
        <v>18</v>
      </c>
      <c r="F2042" s="5">
        <v>7012.62</v>
      </c>
      <c r="G2042" s="5">
        <v>0</v>
      </c>
      <c r="H2042" s="5">
        <f t="shared" si="62"/>
        <v>-7012.62</v>
      </c>
      <c r="I2042" s="9">
        <f t="shared" si="63"/>
        <v>-1</v>
      </c>
      <c r="J2042" s="3" t="s">
        <v>4603</v>
      </c>
    </row>
    <row r="2043" spans="1:10" ht="25.5">
      <c r="A2043" s="3" t="s">
        <v>1811</v>
      </c>
      <c r="B2043" s="3" t="s">
        <v>2913</v>
      </c>
      <c r="C2043" s="4">
        <v>267</v>
      </c>
      <c r="D2043" s="3" t="s">
        <v>417</v>
      </c>
      <c r="E2043" s="3" t="s">
        <v>13</v>
      </c>
      <c r="F2043" s="5">
        <v>3317.04</v>
      </c>
      <c r="G2043" s="5">
        <v>0</v>
      </c>
      <c r="H2043" s="5">
        <f t="shared" si="62"/>
        <v>-3317.04</v>
      </c>
      <c r="I2043" s="9">
        <f t="shared" si="63"/>
        <v>-1</v>
      </c>
      <c r="J2043" s="3" t="s">
        <v>4603</v>
      </c>
    </row>
    <row r="2044" spans="1:10" ht="38.25">
      <c r="A2044" s="3" t="s">
        <v>1811</v>
      </c>
      <c r="B2044" s="3" t="s">
        <v>2914</v>
      </c>
      <c r="C2044" s="4">
        <v>143</v>
      </c>
      <c r="D2044" s="3" t="s">
        <v>21</v>
      </c>
      <c r="E2044" s="3" t="s">
        <v>22</v>
      </c>
      <c r="F2044" s="5">
        <v>8410.68</v>
      </c>
      <c r="G2044" s="5">
        <v>14293.2</v>
      </c>
      <c r="H2044" s="5">
        <f t="shared" si="62"/>
        <v>5882.52</v>
      </c>
      <c r="I2044" s="9">
        <f t="shared" si="63"/>
        <v>0.69941074919031521</v>
      </c>
      <c r="J2044" s="3" t="s">
        <v>4603</v>
      </c>
    </row>
    <row r="2045" spans="1:10" ht="51">
      <c r="A2045" s="3" t="s">
        <v>1811</v>
      </c>
      <c r="B2045" s="3" t="s">
        <v>2915</v>
      </c>
      <c r="C2045" s="4">
        <v>282</v>
      </c>
      <c r="D2045" s="3" t="s">
        <v>298</v>
      </c>
      <c r="E2045" s="3" t="s">
        <v>9</v>
      </c>
      <c r="F2045" s="5">
        <v>13602.87</v>
      </c>
      <c r="G2045" s="5">
        <v>0</v>
      </c>
      <c r="H2045" s="5">
        <f t="shared" si="62"/>
        <v>-13602.87</v>
      </c>
      <c r="I2045" s="9">
        <f t="shared" si="63"/>
        <v>-1</v>
      </c>
      <c r="J2045" s="3" t="s">
        <v>4604</v>
      </c>
    </row>
    <row r="2046" spans="1:10" ht="25.5">
      <c r="A2046" s="3" t="s">
        <v>1811</v>
      </c>
      <c r="B2046" s="3" t="s">
        <v>2916</v>
      </c>
      <c r="C2046" s="4">
        <v>197</v>
      </c>
      <c r="D2046" s="3" t="s">
        <v>23</v>
      </c>
      <c r="E2046" s="3" t="s">
        <v>22</v>
      </c>
      <c r="F2046" s="5">
        <v>4272.4799999999996</v>
      </c>
      <c r="G2046" s="5">
        <v>0</v>
      </c>
      <c r="H2046" s="5">
        <f t="shared" si="62"/>
        <v>-4272.4799999999996</v>
      </c>
      <c r="I2046" s="9">
        <f t="shared" si="63"/>
        <v>-1</v>
      </c>
      <c r="J2046" s="3" t="s">
        <v>4603</v>
      </c>
    </row>
    <row r="2047" spans="1:10" ht="25.5">
      <c r="A2047" s="3" t="s">
        <v>1811</v>
      </c>
      <c r="B2047" s="3" t="s">
        <v>2917</v>
      </c>
      <c r="C2047" s="4">
        <v>321</v>
      </c>
      <c r="D2047" s="3" t="s">
        <v>125</v>
      </c>
      <c r="E2047" s="3" t="s">
        <v>22</v>
      </c>
      <c r="F2047" s="5">
        <v>6662.4</v>
      </c>
      <c r="G2047" s="5">
        <v>6926.58</v>
      </c>
      <c r="H2047" s="5">
        <f t="shared" si="62"/>
        <v>264.18000000000029</v>
      </c>
      <c r="I2047" s="9">
        <f t="shared" si="63"/>
        <v>3.9652377521613769E-2</v>
      </c>
      <c r="J2047" s="3" t="s">
        <v>4603</v>
      </c>
    </row>
    <row r="2048" spans="1:10">
      <c r="A2048" s="3" t="s">
        <v>1811</v>
      </c>
      <c r="B2048" s="3" t="s">
        <v>2918</v>
      </c>
      <c r="C2048" s="4">
        <v>217</v>
      </c>
      <c r="D2048" s="3" t="s">
        <v>253</v>
      </c>
      <c r="E2048" s="3" t="s">
        <v>13</v>
      </c>
      <c r="F2048" s="5">
        <v>14456.1</v>
      </c>
      <c r="G2048" s="5">
        <v>0</v>
      </c>
      <c r="H2048" s="5">
        <f t="shared" si="62"/>
        <v>-14456.1</v>
      </c>
      <c r="I2048" s="9">
        <f t="shared" si="63"/>
        <v>-1</v>
      </c>
      <c r="J2048" s="3" t="s">
        <v>4603</v>
      </c>
    </row>
    <row r="2049" spans="1:10" ht="25.5">
      <c r="A2049" s="3" t="s">
        <v>1811</v>
      </c>
      <c r="B2049" s="3" t="s">
        <v>2919</v>
      </c>
      <c r="C2049" s="4">
        <v>328</v>
      </c>
      <c r="D2049" s="3" t="s">
        <v>158</v>
      </c>
      <c r="E2049" s="3" t="s">
        <v>22</v>
      </c>
      <c r="F2049" s="5">
        <v>18891.060000000001</v>
      </c>
      <c r="G2049" s="5">
        <v>0</v>
      </c>
      <c r="H2049" s="5">
        <f t="shared" si="62"/>
        <v>-18891.060000000001</v>
      </c>
      <c r="I2049" s="9">
        <f t="shared" si="63"/>
        <v>-1</v>
      </c>
      <c r="J2049" s="3" t="s">
        <v>4603</v>
      </c>
    </row>
    <row r="2050" spans="1:10" ht="38.25">
      <c r="A2050" s="3" t="s">
        <v>1811</v>
      </c>
      <c r="B2050" s="3" t="s">
        <v>2920</v>
      </c>
      <c r="C2050" s="4">
        <v>38</v>
      </c>
      <c r="D2050" s="3" t="s">
        <v>229</v>
      </c>
      <c r="E2050" s="3" t="s">
        <v>30</v>
      </c>
      <c r="F2050" s="5">
        <v>6227.76</v>
      </c>
      <c r="G2050" s="5">
        <v>0</v>
      </c>
      <c r="H2050" s="5">
        <f t="shared" si="62"/>
        <v>-6227.76</v>
      </c>
      <c r="I2050" s="9">
        <f t="shared" si="63"/>
        <v>-1</v>
      </c>
      <c r="J2050" s="3" t="s">
        <v>4603</v>
      </c>
    </row>
    <row r="2051" spans="1:10" ht="25.5">
      <c r="A2051" s="3" t="s">
        <v>1811</v>
      </c>
      <c r="B2051" s="3" t="s">
        <v>2921</v>
      </c>
      <c r="C2051" s="4">
        <v>167</v>
      </c>
      <c r="D2051" s="3" t="s">
        <v>335</v>
      </c>
      <c r="E2051" s="3" t="s">
        <v>30</v>
      </c>
      <c r="F2051" s="5">
        <v>0</v>
      </c>
      <c r="G2051" s="5">
        <v>11808.42</v>
      </c>
      <c r="H2051" s="5">
        <f t="shared" ref="H2051:H2114" si="64">G2051-F2051</f>
        <v>11808.42</v>
      </c>
      <c r="I2051" s="9">
        <f t="shared" ref="I2051:I2114" si="65">IFERROR(G2051/F2051-1,0)</f>
        <v>0</v>
      </c>
      <c r="J2051" s="3" t="s">
        <v>4603</v>
      </c>
    </row>
    <row r="2052" spans="1:10" ht="25.5">
      <c r="A2052" s="3" t="s">
        <v>1811</v>
      </c>
      <c r="B2052" s="3" t="s">
        <v>2922</v>
      </c>
      <c r="C2052" s="4">
        <v>74</v>
      </c>
      <c r="D2052" s="3" t="s">
        <v>86</v>
      </c>
      <c r="E2052" s="3" t="s">
        <v>8</v>
      </c>
      <c r="F2052" s="5">
        <v>7621.74</v>
      </c>
      <c r="G2052" s="5">
        <v>5408.55</v>
      </c>
      <c r="H2052" s="5">
        <f t="shared" si="64"/>
        <v>-2213.1899999999996</v>
      </c>
      <c r="I2052" s="9">
        <f t="shared" si="65"/>
        <v>-0.29037857497106956</v>
      </c>
      <c r="J2052" s="3" t="s">
        <v>4603</v>
      </c>
    </row>
    <row r="2053" spans="1:10" ht="25.5">
      <c r="A2053" s="3" t="s">
        <v>1811</v>
      </c>
      <c r="B2053" s="3" t="s">
        <v>2923</v>
      </c>
      <c r="C2053" s="4">
        <v>167</v>
      </c>
      <c r="D2053" s="3" t="s">
        <v>335</v>
      </c>
      <c r="E2053" s="3" t="s">
        <v>30</v>
      </c>
      <c r="F2053" s="5">
        <v>9618.2000000000007</v>
      </c>
      <c r="G2053" s="5">
        <v>8808.58</v>
      </c>
      <c r="H2053" s="5">
        <f t="shared" si="64"/>
        <v>-809.6200000000008</v>
      </c>
      <c r="I2053" s="9">
        <f t="shared" si="65"/>
        <v>-8.41758333160052E-2</v>
      </c>
      <c r="J2053" s="3" t="s">
        <v>4603</v>
      </c>
    </row>
    <row r="2054" spans="1:10" ht="25.5">
      <c r="A2054" s="3" t="s">
        <v>1811</v>
      </c>
      <c r="B2054" s="3" t="s">
        <v>2924</v>
      </c>
      <c r="C2054" s="4">
        <v>194</v>
      </c>
      <c r="D2054" s="3" t="s">
        <v>179</v>
      </c>
      <c r="E2054" s="3" t="s">
        <v>13</v>
      </c>
      <c r="F2054" s="5">
        <v>7615.02</v>
      </c>
      <c r="G2054" s="5">
        <v>5339.94</v>
      </c>
      <c r="H2054" s="5">
        <f t="shared" si="64"/>
        <v>-2275.0800000000008</v>
      </c>
      <c r="I2054" s="9">
        <f t="shared" si="65"/>
        <v>-0.29876218315907255</v>
      </c>
      <c r="J2054" s="3" t="s">
        <v>4603</v>
      </c>
    </row>
    <row r="2055" spans="1:10" ht="25.5">
      <c r="A2055" s="3" t="s">
        <v>1811</v>
      </c>
      <c r="B2055" s="3" t="s">
        <v>2925</v>
      </c>
      <c r="C2055" s="4">
        <v>261</v>
      </c>
      <c r="D2055" s="3" t="s">
        <v>17</v>
      </c>
      <c r="E2055" s="3" t="s">
        <v>18</v>
      </c>
      <c r="F2055" s="5">
        <v>13188.78</v>
      </c>
      <c r="G2055" s="5">
        <v>8904.1200000000008</v>
      </c>
      <c r="H2055" s="5">
        <f t="shared" si="64"/>
        <v>-4284.66</v>
      </c>
      <c r="I2055" s="9">
        <f t="shared" si="65"/>
        <v>-0.32487159540154587</v>
      </c>
      <c r="J2055" s="3" t="s">
        <v>4603</v>
      </c>
    </row>
    <row r="2056" spans="1:10" ht="38.25">
      <c r="A2056" s="3" t="s">
        <v>1811</v>
      </c>
      <c r="B2056" s="3" t="s">
        <v>2926</v>
      </c>
      <c r="C2056" s="4">
        <v>38</v>
      </c>
      <c r="D2056" s="3" t="s">
        <v>229</v>
      </c>
      <c r="E2056" s="3" t="s">
        <v>30</v>
      </c>
      <c r="F2056" s="5">
        <v>7031.04</v>
      </c>
      <c r="G2056" s="5">
        <v>17141.240000000002</v>
      </c>
      <c r="H2056" s="5">
        <f t="shared" si="64"/>
        <v>10110.200000000001</v>
      </c>
      <c r="I2056" s="9">
        <f t="shared" si="65"/>
        <v>1.4379380575277629</v>
      </c>
      <c r="J2056" s="3" t="s">
        <v>4603</v>
      </c>
    </row>
    <row r="2057" spans="1:10" ht="25.5">
      <c r="A2057" s="3" t="s">
        <v>1811</v>
      </c>
      <c r="B2057" s="3" t="s">
        <v>2927</v>
      </c>
      <c r="C2057" s="4">
        <v>19</v>
      </c>
      <c r="D2057" s="3" t="s">
        <v>53</v>
      </c>
      <c r="E2057" s="3" t="s">
        <v>22</v>
      </c>
      <c r="F2057" s="5">
        <v>0</v>
      </c>
      <c r="G2057" s="5">
        <v>2335.3200000000002</v>
      </c>
      <c r="H2057" s="5">
        <f t="shared" si="64"/>
        <v>2335.3200000000002</v>
      </c>
      <c r="I2057" s="9">
        <f t="shared" si="65"/>
        <v>0</v>
      </c>
      <c r="J2057" s="3" t="s">
        <v>4603</v>
      </c>
    </row>
    <row r="2058" spans="1:10" ht="25.5">
      <c r="A2058" s="3" t="s">
        <v>1811</v>
      </c>
      <c r="B2058" s="3" t="s">
        <v>2928</v>
      </c>
      <c r="C2058" s="4">
        <v>334</v>
      </c>
      <c r="D2058" s="3" t="s">
        <v>585</v>
      </c>
      <c r="E2058" s="3" t="s">
        <v>8</v>
      </c>
      <c r="F2058" s="5">
        <v>4870.08</v>
      </c>
      <c r="G2058" s="5">
        <v>14083.62</v>
      </c>
      <c r="H2058" s="5">
        <f t="shared" si="64"/>
        <v>9213.5400000000009</v>
      </c>
      <c r="I2058" s="9">
        <f t="shared" si="65"/>
        <v>1.891866252710428</v>
      </c>
      <c r="J2058" s="3" t="s">
        <v>4603</v>
      </c>
    </row>
    <row r="2059" spans="1:10" ht="51">
      <c r="A2059" s="3" t="s">
        <v>1811</v>
      </c>
      <c r="B2059" s="3" t="s">
        <v>2929</v>
      </c>
      <c r="C2059" s="4">
        <v>282</v>
      </c>
      <c r="D2059" s="3" t="s">
        <v>298</v>
      </c>
      <c r="E2059" s="3" t="s">
        <v>9</v>
      </c>
      <c r="F2059" s="5">
        <v>3060.96</v>
      </c>
      <c r="G2059" s="5">
        <v>59340.993999999999</v>
      </c>
      <c r="H2059" s="5">
        <f t="shared" si="64"/>
        <v>56280.034</v>
      </c>
      <c r="I2059" s="9">
        <f t="shared" si="65"/>
        <v>18.386399691600019</v>
      </c>
      <c r="J2059" s="3" t="s">
        <v>4603</v>
      </c>
    </row>
    <row r="2060" spans="1:10" ht="38.25">
      <c r="A2060" s="3" t="s">
        <v>1811</v>
      </c>
      <c r="B2060" s="3" t="s">
        <v>2930</v>
      </c>
      <c r="C2060" s="4">
        <v>45</v>
      </c>
      <c r="D2060" s="3" t="s">
        <v>16</v>
      </c>
      <c r="E2060" s="3" t="s">
        <v>8</v>
      </c>
      <c r="F2060" s="5">
        <v>16893.36</v>
      </c>
      <c r="G2060" s="5">
        <v>18542.490000000002</v>
      </c>
      <c r="H2060" s="5">
        <f t="shared" si="64"/>
        <v>1649.130000000001</v>
      </c>
      <c r="I2060" s="9">
        <f t="shared" si="65"/>
        <v>9.7620011649547589E-2</v>
      </c>
      <c r="J2060" s="3" t="s">
        <v>4603</v>
      </c>
    </row>
    <row r="2061" spans="1:10" ht="25.5">
      <c r="A2061" s="3" t="s">
        <v>1811</v>
      </c>
      <c r="B2061" s="3" t="s">
        <v>2931</v>
      </c>
      <c r="C2061" s="4">
        <v>178</v>
      </c>
      <c r="D2061" s="3" t="s">
        <v>92</v>
      </c>
      <c r="E2061" s="3" t="s">
        <v>8</v>
      </c>
      <c r="F2061" s="5">
        <v>0</v>
      </c>
      <c r="G2061" s="5">
        <v>13295.16</v>
      </c>
      <c r="H2061" s="5">
        <f t="shared" si="64"/>
        <v>13295.16</v>
      </c>
      <c r="I2061" s="9">
        <f t="shared" si="65"/>
        <v>0</v>
      </c>
      <c r="J2061" s="3" t="s">
        <v>4603</v>
      </c>
    </row>
    <row r="2062" spans="1:10" ht="25.5">
      <c r="A2062" s="3" t="s">
        <v>1811</v>
      </c>
      <c r="B2062" s="3" t="s">
        <v>2932</v>
      </c>
      <c r="C2062" s="4">
        <v>232</v>
      </c>
      <c r="D2062" s="3" t="s">
        <v>95</v>
      </c>
      <c r="E2062" s="3" t="s">
        <v>13</v>
      </c>
      <c r="F2062" s="5">
        <v>4258.68</v>
      </c>
      <c r="G2062" s="5">
        <v>3864.9</v>
      </c>
      <c r="H2062" s="5">
        <f t="shared" si="64"/>
        <v>-393.7800000000002</v>
      </c>
      <c r="I2062" s="9">
        <f t="shared" si="65"/>
        <v>-9.2465270929020349E-2</v>
      </c>
      <c r="J2062" s="3" t="s">
        <v>4603</v>
      </c>
    </row>
    <row r="2063" spans="1:10" ht="25.5">
      <c r="A2063" s="3" t="s">
        <v>1811</v>
      </c>
      <c r="B2063" s="3" t="s">
        <v>2933</v>
      </c>
      <c r="C2063" s="4">
        <v>31</v>
      </c>
      <c r="D2063" s="3" t="s">
        <v>172</v>
      </c>
      <c r="E2063" s="3" t="s">
        <v>13</v>
      </c>
      <c r="F2063" s="5">
        <v>3774.12</v>
      </c>
      <c r="G2063" s="5">
        <v>0</v>
      </c>
      <c r="H2063" s="5">
        <f t="shared" si="64"/>
        <v>-3774.12</v>
      </c>
      <c r="I2063" s="9">
        <f t="shared" si="65"/>
        <v>-1</v>
      </c>
      <c r="J2063" s="3" t="s">
        <v>4603</v>
      </c>
    </row>
    <row r="2064" spans="1:10" ht="25.5">
      <c r="A2064" s="3" t="s">
        <v>1811</v>
      </c>
      <c r="B2064" s="3" t="s">
        <v>2934</v>
      </c>
      <c r="C2064" s="4">
        <v>19</v>
      </c>
      <c r="D2064" s="3" t="s">
        <v>53</v>
      </c>
      <c r="E2064" s="3" t="s">
        <v>22</v>
      </c>
      <c r="F2064" s="5">
        <v>13403.56</v>
      </c>
      <c r="G2064" s="5">
        <v>23831.05</v>
      </c>
      <c r="H2064" s="5">
        <f t="shared" si="64"/>
        <v>10427.49</v>
      </c>
      <c r="I2064" s="9">
        <f t="shared" si="65"/>
        <v>0.77796421249280034</v>
      </c>
      <c r="J2064" s="3" t="s">
        <v>4603</v>
      </c>
    </row>
    <row r="2065" spans="1:10" ht="25.5">
      <c r="A2065" s="3" t="s">
        <v>1811</v>
      </c>
      <c r="B2065" s="3" t="s">
        <v>2935</v>
      </c>
      <c r="C2065" s="4">
        <v>61</v>
      </c>
      <c r="D2065" s="3" t="s">
        <v>114</v>
      </c>
      <c r="E2065" s="3" t="s">
        <v>30</v>
      </c>
      <c r="F2065" s="5">
        <v>7275.84</v>
      </c>
      <c r="G2065" s="5">
        <v>5555.88</v>
      </c>
      <c r="H2065" s="5">
        <f t="shared" si="64"/>
        <v>-1719.96</v>
      </c>
      <c r="I2065" s="9">
        <f t="shared" si="65"/>
        <v>-0.23639332365747456</v>
      </c>
      <c r="J2065" s="3" t="s">
        <v>4603</v>
      </c>
    </row>
    <row r="2066" spans="1:10" ht="25.5">
      <c r="A2066" s="3" t="s">
        <v>1811</v>
      </c>
      <c r="B2066" s="3" t="s">
        <v>2936</v>
      </c>
      <c r="C2066" s="4">
        <v>316</v>
      </c>
      <c r="D2066" s="3" t="s">
        <v>167</v>
      </c>
      <c r="E2066" s="3" t="s">
        <v>18</v>
      </c>
      <c r="F2066" s="5">
        <v>6744.24</v>
      </c>
      <c r="G2066" s="5">
        <v>0</v>
      </c>
      <c r="H2066" s="5">
        <f t="shared" si="64"/>
        <v>-6744.24</v>
      </c>
      <c r="I2066" s="9">
        <f t="shared" si="65"/>
        <v>-1</v>
      </c>
      <c r="J2066" s="3" t="s">
        <v>4604</v>
      </c>
    </row>
    <row r="2067" spans="1:10">
      <c r="A2067" s="3" t="s">
        <v>1811</v>
      </c>
      <c r="B2067" s="3" t="s">
        <v>2937</v>
      </c>
      <c r="C2067" s="4">
        <v>240</v>
      </c>
      <c r="D2067" s="3" t="s">
        <v>152</v>
      </c>
      <c r="E2067" s="3" t="s">
        <v>13</v>
      </c>
      <c r="F2067" s="5">
        <v>12066.6</v>
      </c>
      <c r="G2067" s="5">
        <v>3150.24</v>
      </c>
      <c r="H2067" s="5">
        <f t="shared" si="64"/>
        <v>-8916.36</v>
      </c>
      <c r="I2067" s="9">
        <f t="shared" si="65"/>
        <v>-0.73892894435880863</v>
      </c>
      <c r="J2067" s="3" t="s">
        <v>4603</v>
      </c>
    </row>
    <row r="2068" spans="1:10" ht="38.25">
      <c r="A2068" s="3" t="s">
        <v>1811</v>
      </c>
      <c r="B2068" s="3" t="s">
        <v>2938</v>
      </c>
      <c r="C2068" s="4">
        <v>38</v>
      </c>
      <c r="D2068" s="3" t="s">
        <v>229</v>
      </c>
      <c r="E2068" s="3" t="s">
        <v>30</v>
      </c>
      <c r="F2068" s="5">
        <v>0</v>
      </c>
      <c r="G2068" s="5">
        <v>9329.0400000000009</v>
      </c>
      <c r="H2068" s="5">
        <f t="shared" si="64"/>
        <v>9329.0400000000009</v>
      </c>
      <c r="I2068" s="9">
        <f t="shared" si="65"/>
        <v>0</v>
      </c>
      <c r="J2068" s="3" t="s">
        <v>4603</v>
      </c>
    </row>
    <row r="2069" spans="1:10" ht="25.5">
      <c r="A2069" s="3" t="s">
        <v>1811</v>
      </c>
      <c r="B2069" s="3" t="s">
        <v>2939</v>
      </c>
      <c r="C2069" s="4">
        <v>74</v>
      </c>
      <c r="D2069" s="3" t="s">
        <v>86</v>
      </c>
      <c r="E2069" s="3" t="s">
        <v>8</v>
      </c>
      <c r="F2069" s="5">
        <v>19527.060000000001</v>
      </c>
      <c r="G2069" s="5">
        <v>17907.599999999999</v>
      </c>
      <c r="H2069" s="5">
        <f t="shared" si="64"/>
        <v>-1619.4600000000028</v>
      </c>
      <c r="I2069" s="9">
        <f t="shared" si="65"/>
        <v>-8.2934143695978957E-2</v>
      </c>
      <c r="J2069" s="3" t="s">
        <v>4603</v>
      </c>
    </row>
    <row r="2070" spans="1:10" ht="25.5">
      <c r="A2070" s="3" t="s">
        <v>1811</v>
      </c>
      <c r="B2070" s="3" t="s">
        <v>2940</v>
      </c>
      <c r="C2070" s="4">
        <v>93</v>
      </c>
      <c r="D2070" s="3" t="s">
        <v>42</v>
      </c>
      <c r="E2070" s="3" t="s">
        <v>8</v>
      </c>
      <c r="F2070" s="5">
        <v>10699.26</v>
      </c>
      <c r="G2070" s="5">
        <v>0</v>
      </c>
      <c r="H2070" s="5">
        <f t="shared" si="64"/>
        <v>-10699.26</v>
      </c>
      <c r="I2070" s="9">
        <f t="shared" si="65"/>
        <v>-1</v>
      </c>
      <c r="J2070" s="3" t="s">
        <v>4603</v>
      </c>
    </row>
    <row r="2071" spans="1:10" ht="25.5">
      <c r="A2071" s="3" t="s">
        <v>1811</v>
      </c>
      <c r="B2071" s="3" t="s">
        <v>2941</v>
      </c>
      <c r="C2071" s="4">
        <v>327</v>
      </c>
      <c r="D2071" s="3" t="s">
        <v>76</v>
      </c>
      <c r="E2071" s="3" t="s">
        <v>8</v>
      </c>
      <c r="F2071" s="5">
        <v>0</v>
      </c>
      <c r="G2071" s="5">
        <v>10310.4</v>
      </c>
      <c r="H2071" s="5">
        <f t="shared" si="64"/>
        <v>10310.4</v>
      </c>
      <c r="I2071" s="9">
        <f t="shared" si="65"/>
        <v>0</v>
      </c>
      <c r="J2071" s="3" t="s">
        <v>4603</v>
      </c>
    </row>
    <row r="2072" spans="1:10" ht="25.5">
      <c r="A2072" s="3" t="s">
        <v>1811</v>
      </c>
      <c r="B2072" s="3" t="s">
        <v>2942</v>
      </c>
      <c r="C2072" s="4">
        <v>31</v>
      </c>
      <c r="D2072" s="3" t="s">
        <v>172</v>
      </c>
      <c r="E2072" s="3" t="s">
        <v>13</v>
      </c>
      <c r="F2072" s="5">
        <v>0</v>
      </c>
      <c r="G2072" s="5">
        <v>3305.4</v>
      </c>
      <c r="H2072" s="5">
        <f t="shared" si="64"/>
        <v>3305.4</v>
      </c>
      <c r="I2072" s="9">
        <f t="shared" si="65"/>
        <v>0</v>
      </c>
      <c r="J2072" s="3" t="s">
        <v>4603</v>
      </c>
    </row>
    <row r="2073" spans="1:10" ht="25.5">
      <c r="A2073" s="3" t="s">
        <v>1811</v>
      </c>
      <c r="B2073" s="3" t="s">
        <v>2943</v>
      </c>
      <c r="C2073" s="4">
        <v>218</v>
      </c>
      <c r="D2073" s="3" t="s">
        <v>155</v>
      </c>
      <c r="E2073" s="3" t="s">
        <v>13</v>
      </c>
      <c r="F2073" s="5">
        <v>0</v>
      </c>
      <c r="G2073" s="5">
        <v>7989.57</v>
      </c>
      <c r="H2073" s="5">
        <f t="shared" si="64"/>
        <v>7989.57</v>
      </c>
      <c r="I2073" s="9">
        <f t="shared" si="65"/>
        <v>0</v>
      </c>
      <c r="J2073" s="3" t="s">
        <v>4603</v>
      </c>
    </row>
    <row r="2074" spans="1:10" ht="25.5">
      <c r="A2074" s="3" t="s">
        <v>1811</v>
      </c>
      <c r="B2074" s="3" t="s">
        <v>2944</v>
      </c>
      <c r="C2074" s="4">
        <v>194</v>
      </c>
      <c r="D2074" s="3" t="s">
        <v>179</v>
      </c>
      <c r="E2074" s="3" t="s">
        <v>13</v>
      </c>
      <c r="F2074" s="5">
        <v>3545.97</v>
      </c>
      <c r="G2074" s="5">
        <v>3299.79</v>
      </c>
      <c r="H2074" s="5">
        <f t="shared" si="64"/>
        <v>-246.17999999999984</v>
      </c>
      <c r="I2074" s="9">
        <f t="shared" si="65"/>
        <v>-6.9425291246118737E-2</v>
      </c>
      <c r="J2074" s="3" t="s">
        <v>4603</v>
      </c>
    </row>
    <row r="2075" spans="1:10" ht="25.5">
      <c r="A2075" s="3" t="s">
        <v>1811</v>
      </c>
      <c r="B2075" s="3" t="s">
        <v>2945</v>
      </c>
      <c r="C2075" s="4">
        <v>335</v>
      </c>
      <c r="D2075" s="3" t="s">
        <v>7</v>
      </c>
      <c r="E2075" s="3" t="s">
        <v>8</v>
      </c>
      <c r="F2075" s="5">
        <v>9160.5</v>
      </c>
      <c r="G2075" s="5">
        <v>0</v>
      </c>
      <c r="H2075" s="5">
        <f t="shared" si="64"/>
        <v>-9160.5</v>
      </c>
      <c r="I2075" s="9">
        <f t="shared" si="65"/>
        <v>-1</v>
      </c>
      <c r="J2075" s="3" t="s">
        <v>4604</v>
      </c>
    </row>
    <row r="2076" spans="1:10" ht="25.5">
      <c r="A2076" s="3" t="s">
        <v>1811</v>
      </c>
      <c r="B2076" s="3" t="s">
        <v>2946</v>
      </c>
      <c r="C2076" s="4">
        <v>23</v>
      </c>
      <c r="D2076" s="3" t="s">
        <v>71</v>
      </c>
      <c r="E2076" s="3" t="s">
        <v>8</v>
      </c>
      <c r="F2076" s="5">
        <v>4817.28</v>
      </c>
      <c r="G2076" s="5">
        <v>0</v>
      </c>
      <c r="H2076" s="5">
        <f t="shared" si="64"/>
        <v>-4817.28</v>
      </c>
      <c r="I2076" s="9">
        <f t="shared" si="65"/>
        <v>-1</v>
      </c>
      <c r="J2076" s="3" t="s">
        <v>4603</v>
      </c>
    </row>
    <row r="2077" spans="1:10" ht="38.25">
      <c r="A2077" s="3" t="s">
        <v>1811</v>
      </c>
      <c r="B2077" s="3" t="s">
        <v>2947</v>
      </c>
      <c r="C2077" s="4">
        <v>143</v>
      </c>
      <c r="D2077" s="3" t="s">
        <v>21</v>
      </c>
      <c r="E2077" s="3" t="s">
        <v>22</v>
      </c>
      <c r="F2077" s="5">
        <v>8302.7999999999993</v>
      </c>
      <c r="G2077" s="5">
        <v>5781.24</v>
      </c>
      <c r="H2077" s="5">
        <f t="shared" si="64"/>
        <v>-2521.5599999999995</v>
      </c>
      <c r="I2077" s="9">
        <f t="shared" si="65"/>
        <v>-0.30369995664113303</v>
      </c>
      <c r="J2077" s="3" t="s">
        <v>4603</v>
      </c>
    </row>
    <row r="2078" spans="1:10" ht="25.5">
      <c r="A2078" s="3" t="s">
        <v>1811</v>
      </c>
      <c r="B2078" s="3" t="s">
        <v>2948</v>
      </c>
      <c r="C2078" s="4">
        <v>187</v>
      </c>
      <c r="D2078" s="3" t="s">
        <v>460</v>
      </c>
      <c r="E2078" s="3" t="s">
        <v>8</v>
      </c>
      <c r="F2078" s="5">
        <v>0</v>
      </c>
      <c r="G2078" s="5">
        <v>16776.72</v>
      </c>
      <c r="H2078" s="5">
        <f t="shared" si="64"/>
        <v>16776.72</v>
      </c>
      <c r="I2078" s="9">
        <f t="shared" si="65"/>
        <v>0</v>
      </c>
      <c r="J2078" s="3" t="s">
        <v>4603</v>
      </c>
    </row>
    <row r="2079" spans="1:10" ht="25.5">
      <c r="A2079" s="3" t="s">
        <v>1811</v>
      </c>
      <c r="B2079" s="3" t="s">
        <v>2949</v>
      </c>
      <c r="C2079" s="4">
        <v>61</v>
      </c>
      <c r="D2079" s="3" t="s">
        <v>114</v>
      </c>
      <c r="E2079" s="3" t="s">
        <v>30</v>
      </c>
      <c r="F2079" s="5">
        <v>0</v>
      </c>
      <c r="G2079" s="5">
        <v>2962.56</v>
      </c>
      <c r="H2079" s="5">
        <f t="shared" si="64"/>
        <v>2962.56</v>
      </c>
      <c r="I2079" s="9">
        <f t="shared" si="65"/>
        <v>0</v>
      </c>
      <c r="J2079" s="3" t="s">
        <v>4603</v>
      </c>
    </row>
    <row r="2080" spans="1:10" ht="25.5">
      <c r="A2080" s="3" t="s">
        <v>1811</v>
      </c>
      <c r="B2080" s="3" t="s">
        <v>2950</v>
      </c>
      <c r="C2080" s="4">
        <v>74</v>
      </c>
      <c r="D2080" s="3" t="s">
        <v>86</v>
      </c>
      <c r="E2080" s="3" t="s">
        <v>8</v>
      </c>
      <c r="F2080" s="5">
        <v>34903.440000000002</v>
      </c>
      <c r="G2080" s="5">
        <v>30412.35</v>
      </c>
      <c r="H2080" s="5">
        <f t="shared" si="64"/>
        <v>-4491.0900000000038</v>
      </c>
      <c r="I2080" s="9">
        <f t="shared" si="65"/>
        <v>-0.12867184437980905</v>
      </c>
      <c r="J2080" s="3" t="s">
        <v>4603</v>
      </c>
    </row>
    <row r="2081" spans="1:10" ht="25.5">
      <c r="A2081" s="3" t="s">
        <v>1811</v>
      </c>
      <c r="B2081" s="3" t="s">
        <v>2951</v>
      </c>
      <c r="C2081" s="4">
        <v>335</v>
      </c>
      <c r="D2081" s="3" t="s">
        <v>7</v>
      </c>
      <c r="E2081" s="3" t="s">
        <v>8</v>
      </c>
      <c r="F2081" s="5">
        <v>0</v>
      </c>
      <c r="G2081" s="5">
        <v>1799.82</v>
      </c>
      <c r="H2081" s="5">
        <f t="shared" si="64"/>
        <v>1799.82</v>
      </c>
      <c r="I2081" s="9">
        <f t="shared" si="65"/>
        <v>0</v>
      </c>
      <c r="J2081" s="3" t="s">
        <v>4603</v>
      </c>
    </row>
    <row r="2082" spans="1:10">
      <c r="A2082" s="3" t="s">
        <v>1811</v>
      </c>
      <c r="B2082" s="3" t="s">
        <v>2952</v>
      </c>
      <c r="C2082" s="4">
        <v>315</v>
      </c>
      <c r="D2082" s="3" t="s">
        <v>79</v>
      </c>
      <c r="E2082" s="3" t="s">
        <v>8</v>
      </c>
      <c r="F2082" s="5">
        <v>3521.28</v>
      </c>
      <c r="G2082" s="5">
        <v>2597.04</v>
      </c>
      <c r="H2082" s="5">
        <f t="shared" si="64"/>
        <v>-924.24000000000024</v>
      </c>
      <c r="I2082" s="9">
        <f t="shared" si="65"/>
        <v>-0.26247273718647768</v>
      </c>
      <c r="J2082" s="3" t="s">
        <v>4603</v>
      </c>
    </row>
    <row r="2083" spans="1:10" ht="38.25">
      <c r="A2083" s="3" t="s">
        <v>1811</v>
      </c>
      <c r="B2083" s="3" t="s">
        <v>2953</v>
      </c>
      <c r="C2083" s="4">
        <v>232</v>
      </c>
      <c r="D2083" s="3" t="s">
        <v>95</v>
      </c>
      <c r="E2083" s="3" t="s">
        <v>13</v>
      </c>
      <c r="F2083" s="5">
        <v>6290.22</v>
      </c>
      <c r="G2083" s="5">
        <v>6902.2380000000003</v>
      </c>
      <c r="H2083" s="5">
        <f t="shared" si="64"/>
        <v>612.01800000000003</v>
      </c>
      <c r="I2083" s="9">
        <f t="shared" si="65"/>
        <v>9.729675591632736E-2</v>
      </c>
      <c r="J2083" s="3" t="s">
        <v>4603</v>
      </c>
    </row>
    <row r="2084" spans="1:10" ht="25.5">
      <c r="A2084" s="3" t="s">
        <v>1811</v>
      </c>
      <c r="B2084" s="3" t="s">
        <v>2954</v>
      </c>
      <c r="C2084" s="4">
        <v>327</v>
      </c>
      <c r="D2084" s="3" t="s">
        <v>76</v>
      </c>
      <c r="E2084" s="3" t="s">
        <v>8</v>
      </c>
      <c r="F2084" s="5">
        <v>0</v>
      </c>
      <c r="G2084" s="5">
        <v>19637.939999999999</v>
      </c>
      <c r="H2084" s="5">
        <f t="shared" si="64"/>
        <v>19637.939999999999</v>
      </c>
      <c r="I2084" s="9">
        <f t="shared" si="65"/>
        <v>0</v>
      </c>
      <c r="J2084" s="3" t="s">
        <v>4603</v>
      </c>
    </row>
    <row r="2085" spans="1:10" ht="38.25">
      <c r="A2085" s="3" t="s">
        <v>1811</v>
      </c>
      <c r="B2085" s="3" t="s">
        <v>2955</v>
      </c>
      <c r="C2085" s="4">
        <v>45</v>
      </c>
      <c r="D2085" s="3" t="s">
        <v>16</v>
      </c>
      <c r="E2085" s="3" t="s">
        <v>8</v>
      </c>
      <c r="F2085" s="5">
        <v>28363.23</v>
      </c>
      <c r="G2085" s="5">
        <v>0</v>
      </c>
      <c r="H2085" s="5">
        <f t="shared" si="64"/>
        <v>-28363.23</v>
      </c>
      <c r="I2085" s="9">
        <f t="shared" si="65"/>
        <v>-1</v>
      </c>
      <c r="J2085" s="3" t="s">
        <v>4603</v>
      </c>
    </row>
    <row r="2086" spans="1:10" ht="25.5">
      <c r="A2086" s="3" t="s">
        <v>1811</v>
      </c>
      <c r="B2086" s="3" t="s">
        <v>2956</v>
      </c>
      <c r="C2086" s="4">
        <v>316</v>
      </c>
      <c r="D2086" s="3" t="s">
        <v>167</v>
      </c>
      <c r="E2086" s="3" t="s">
        <v>18</v>
      </c>
      <c r="F2086" s="5">
        <v>9101.9699999999993</v>
      </c>
      <c r="G2086" s="5">
        <v>6449.49</v>
      </c>
      <c r="H2086" s="5">
        <f t="shared" si="64"/>
        <v>-2652.4799999999996</v>
      </c>
      <c r="I2086" s="9">
        <f t="shared" si="65"/>
        <v>-0.29141823143780954</v>
      </c>
      <c r="J2086" s="3" t="s">
        <v>4603</v>
      </c>
    </row>
    <row r="2087" spans="1:10" ht="25.5">
      <c r="A2087" s="3" t="s">
        <v>1811</v>
      </c>
      <c r="B2087" s="3" t="s">
        <v>2957</v>
      </c>
      <c r="C2087" s="4">
        <v>296</v>
      </c>
      <c r="D2087" s="3" t="s">
        <v>137</v>
      </c>
      <c r="E2087" s="3" t="s">
        <v>8</v>
      </c>
      <c r="F2087" s="5">
        <v>2825.28</v>
      </c>
      <c r="G2087" s="5">
        <v>0</v>
      </c>
      <c r="H2087" s="5">
        <f t="shared" si="64"/>
        <v>-2825.28</v>
      </c>
      <c r="I2087" s="9">
        <f t="shared" si="65"/>
        <v>-1</v>
      </c>
      <c r="J2087" s="3" t="s">
        <v>4603</v>
      </c>
    </row>
    <row r="2088" spans="1:10">
      <c r="A2088" s="3" t="s">
        <v>1811</v>
      </c>
      <c r="B2088" s="3" t="s">
        <v>2958</v>
      </c>
      <c r="C2088" s="4">
        <v>315</v>
      </c>
      <c r="D2088" s="3" t="s">
        <v>79</v>
      </c>
      <c r="E2088" s="3" t="s">
        <v>8</v>
      </c>
      <c r="F2088" s="5">
        <v>17213.55</v>
      </c>
      <c r="G2088" s="5">
        <v>18096.076000000001</v>
      </c>
      <c r="H2088" s="5">
        <f t="shared" si="64"/>
        <v>882.52600000000166</v>
      </c>
      <c r="I2088" s="9">
        <f t="shared" si="65"/>
        <v>5.1269261715334746E-2</v>
      </c>
      <c r="J2088" s="3" t="s">
        <v>4603</v>
      </c>
    </row>
    <row r="2089" spans="1:10" ht="25.5">
      <c r="A2089" s="3" t="s">
        <v>1811</v>
      </c>
      <c r="B2089" s="3" t="s">
        <v>2959</v>
      </c>
      <c r="C2089" s="4">
        <v>316</v>
      </c>
      <c r="D2089" s="3" t="s">
        <v>167</v>
      </c>
      <c r="E2089" s="3" t="s">
        <v>18</v>
      </c>
      <c r="F2089" s="5">
        <v>7360.02</v>
      </c>
      <c r="G2089" s="5">
        <v>0</v>
      </c>
      <c r="H2089" s="5">
        <f t="shared" si="64"/>
        <v>-7360.02</v>
      </c>
      <c r="I2089" s="9">
        <f t="shared" si="65"/>
        <v>-1</v>
      </c>
      <c r="J2089" s="3" t="s">
        <v>4604</v>
      </c>
    </row>
    <row r="2090" spans="1:10" ht="25.5">
      <c r="A2090" s="3" t="s">
        <v>1811</v>
      </c>
      <c r="B2090" s="3" t="s">
        <v>2960</v>
      </c>
      <c r="C2090" s="4">
        <v>261</v>
      </c>
      <c r="D2090" s="3" t="s">
        <v>17</v>
      </c>
      <c r="E2090" s="3" t="s">
        <v>18</v>
      </c>
      <c r="F2090" s="5">
        <v>0</v>
      </c>
      <c r="G2090" s="5">
        <v>5965.8</v>
      </c>
      <c r="H2090" s="5">
        <f t="shared" si="64"/>
        <v>5965.8</v>
      </c>
      <c r="I2090" s="9">
        <f t="shared" si="65"/>
        <v>0</v>
      </c>
      <c r="J2090" s="3" t="s">
        <v>4603</v>
      </c>
    </row>
    <row r="2091" spans="1:10" ht="25.5">
      <c r="A2091" s="3" t="s">
        <v>1811</v>
      </c>
      <c r="B2091" s="3" t="s">
        <v>2961</v>
      </c>
      <c r="C2091" s="4">
        <v>273</v>
      </c>
      <c r="D2091" s="3" t="s">
        <v>771</v>
      </c>
      <c r="E2091" s="3" t="s">
        <v>13</v>
      </c>
      <c r="F2091" s="5">
        <v>2921.91</v>
      </c>
      <c r="G2091" s="5">
        <v>0</v>
      </c>
      <c r="H2091" s="5">
        <f t="shared" si="64"/>
        <v>-2921.91</v>
      </c>
      <c r="I2091" s="9">
        <f t="shared" si="65"/>
        <v>-1</v>
      </c>
      <c r="J2091" s="3" t="s">
        <v>4604</v>
      </c>
    </row>
    <row r="2092" spans="1:10" ht="25.5">
      <c r="A2092" s="3" t="s">
        <v>1811</v>
      </c>
      <c r="B2092" s="3" t="s">
        <v>2962</v>
      </c>
      <c r="C2092" s="4">
        <v>297</v>
      </c>
      <c r="D2092" s="3" t="s">
        <v>209</v>
      </c>
      <c r="E2092" s="3" t="s">
        <v>22</v>
      </c>
      <c r="F2092" s="5">
        <v>4476.1000000000004</v>
      </c>
      <c r="G2092" s="5">
        <v>0</v>
      </c>
      <c r="H2092" s="5">
        <f t="shared" si="64"/>
        <v>-4476.1000000000004</v>
      </c>
      <c r="I2092" s="9">
        <f t="shared" si="65"/>
        <v>-1</v>
      </c>
      <c r="J2092" s="3" t="s">
        <v>4603</v>
      </c>
    </row>
    <row r="2093" spans="1:10" ht="25.5">
      <c r="A2093" s="3" t="s">
        <v>1811</v>
      </c>
      <c r="B2093" s="3" t="s">
        <v>2963</v>
      </c>
      <c r="C2093" s="4">
        <v>296</v>
      </c>
      <c r="D2093" s="3" t="s">
        <v>137</v>
      </c>
      <c r="E2093" s="3" t="s">
        <v>13</v>
      </c>
      <c r="F2093" s="5">
        <v>5463.12</v>
      </c>
      <c r="G2093" s="5">
        <v>0</v>
      </c>
      <c r="H2093" s="5">
        <f t="shared" si="64"/>
        <v>-5463.12</v>
      </c>
      <c r="I2093" s="9">
        <f t="shared" si="65"/>
        <v>-1</v>
      </c>
      <c r="J2093" s="3" t="s">
        <v>4604</v>
      </c>
    </row>
    <row r="2094" spans="1:10" ht="25.5">
      <c r="A2094" s="3" t="s">
        <v>1811</v>
      </c>
      <c r="B2094" s="3" t="s">
        <v>2964</v>
      </c>
      <c r="C2094" s="4">
        <v>93</v>
      </c>
      <c r="D2094" s="3" t="s">
        <v>42</v>
      </c>
      <c r="E2094" s="3" t="s">
        <v>8</v>
      </c>
      <c r="F2094" s="5">
        <v>9880.4699999999993</v>
      </c>
      <c r="G2094" s="5">
        <v>0</v>
      </c>
      <c r="H2094" s="5">
        <f t="shared" si="64"/>
        <v>-9880.4699999999993</v>
      </c>
      <c r="I2094" s="9">
        <f t="shared" si="65"/>
        <v>-1</v>
      </c>
      <c r="J2094" s="3" t="s">
        <v>4603</v>
      </c>
    </row>
    <row r="2095" spans="1:10">
      <c r="A2095" s="3" t="s">
        <v>1811</v>
      </c>
      <c r="B2095" s="3" t="s">
        <v>2965</v>
      </c>
      <c r="C2095" s="4">
        <v>231</v>
      </c>
      <c r="D2095" s="3" t="s">
        <v>89</v>
      </c>
      <c r="E2095" s="3" t="s">
        <v>8</v>
      </c>
      <c r="F2095" s="5">
        <v>3433.2</v>
      </c>
      <c r="G2095" s="5">
        <v>0</v>
      </c>
      <c r="H2095" s="5">
        <f t="shared" si="64"/>
        <v>-3433.2</v>
      </c>
      <c r="I2095" s="9">
        <f t="shared" si="65"/>
        <v>-1</v>
      </c>
      <c r="J2095" s="3" t="s">
        <v>4603</v>
      </c>
    </row>
    <row r="2096" spans="1:10" ht="25.5">
      <c r="A2096" s="3" t="s">
        <v>1811</v>
      </c>
      <c r="B2096" s="3" t="s">
        <v>2966</v>
      </c>
      <c r="C2096" s="4">
        <v>299</v>
      </c>
      <c r="D2096" s="3" t="s">
        <v>246</v>
      </c>
      <c r="E2096" s="3" t="s">
        <v>30</v>
      </c>
      <c r="F2096" s="5">
        <v>8223.2999999999993</v>
      </c>
      <c r="G2096" s="5">
        <v>14971.71</v>
      </c>
      <c r="H2096" s="5">
        <f t="shared" si="64"/>
        <v>6748.41</v>
      </c>
      <c r="I2096" s="9">
        <f t="shared" si="65"/>
        <v>0.82064499653423817</v>
      </c>
      <c r="J2096" s="3" t="s">
        <v>4603</v>
      </c>
    </row>
    <row r="2097" spans="1:10" ht="38.25">
      <c r="A2097" s="3" t="s">
        <v>1811</v>
      </c>
      <c r="B2097" s="3" t="s">
        <v>2967</v>
      </c>
      <c r="C2097" s="4">
        <v>299</v>
      </c>
      <c r="D2097" s="3" t="s">
        <v>246</v>
      </c>
      <c r="E2097" s="3" t="s">
        <v>30</v>
      </c>
      <c r="F2097" s="5">
        <v>2053.8000000000002</v>
      </c>
      <c r="G2097" s="5">
        <v>0</v>
      </c>
      <c r="H2097" s="5">
        <f t="shared" si="64"/>
        <v>-2053.8000000000002</v>
      </c>
      <c r="I2097" s="9">
        <f t="shared" si="65"/>
        <v>-1</v>
      </c>
      <c r="J2097" s="3" t="s">
        <v>4603</v>
      </c>
    </row>
    <row r="2098" spans="1:10" ht="25.5">
      <c r="A2098" s="3" t="s">
        <v>1811</v>
      </c>
      <c r="B2098" s="3" t="s">
        <v>2968</v>
      </c>
      <c r="C2098" s="4">
        <v>93</v>
      </c>
      <c r="D2098" s="3" t="s">
        <v>42</v>
      </c>
      <c r="E2098" s="3" t="s">
        <v>8</v>
      </c>
      <c r="F2098" s="5">
        <v>0</v>
      </c>
      <c r="G2098" s="5">
        <v>8093.1</v>
      </c>
      <c r="H2098" s="5">
        <f t="shared" si="64"/>
        <v>8093.1</v>
      </c>
      <c r="I2098" s="9">
        <f t="shared" si="65"/>
        <v>0</v>
      </c>
      <c r="J2098" s="3" t="s">
        <v>4603</v>
      </c>
    </row>
    <row r="2099" spans="1:10" ht="38.25">
      <c r="A2099" s="3" t="s">
        <v>1811</v>
      </c>
      <c r="B2099" s="3" t="s">
        <v>2969</v>
      </c>
      <c r="C2099" s="4">
        <v>38</v>
      </c>
      <c r="D2099" s="3" t="s">
        <v>229</v>
      </c>
      <c r="E2099" s="3" t="s">
        <v>30</v>
      </c>
      <c r="F2099" s="5">
        <v>0</v>
      </c>
      <c r="G2099" s="5">
        <v>21871.41</v>
      </c>
      <c r="H2099" s="5">
        <f t="shared" si="64"/>
        <v>21871.41</v>
      </c>
      <c r="I2099" s="9">
        <f t="shared" si="65"/>
        <v>0</v>
      </c>
      <c r="J2099" s="3" t="s">
        <v>4603</v>
      </c>
    </row>
    <row r="2100" spans="1:10" ht="38.25">
      <c r="A2100" s="3" t="s">
        <v>1811</v>
      </c>
      <c r="B2100" s="3" t="s">
        <v>2970</v>
      </c>
      <c r="C2100" s="4">
        <v>178</v>
      </c>
      <c r="D2100" s="3" t="s">
        <v>92</v>
      </c>
      <c r="E2100" s="3" t="s">
        <v>8</v>
      </c>
      <c r="F2100" s="5">
        <v>3143.52</v>
      </c>
      <c r="G2100" s="5">
        <v>0</v>
      </c>
      <c r="H2100" s="5">
        <f t="shared" si="64"/>
        <v>-3143.52</v>
      </c>
      <c r="I2100" s="9">
        <f t="shared" si="65"/>
        <v>-1</v>
      </c>
      <c r="J2100" s="3" t="s">
        <v>4603</v>
      </c>
    </row>
    <row r="2101" spans="1:10" ht="25.5">
      <c r="A2101" s="3" t="s">
        <v>1811</v>
      </c>
      <c r="B2101" s="3" t="s">
        <v>2971</v>
      </c>
      <c r="C2101" s="4">
        <v>261</v>
      </c>
      <c r="D2101" s="3" t="s">
        <v>17</v>
      </c>
      <c r="E2101" s="3" t="s">
        <v>18</v>
      </c>
      <c r="F2101" s="5">
        <v>5363.04</v>
      </c>
      <c r="G2101" s="5">
        <v>10635.66</v>
      </c>
      <c r="H2101" s="5">
        <f t="shared" si="64"/>
        <v>5272.62</v>
      </c>
      <c r="I2101" s="9">
        <f t="shared" si="65"/>
        <v>0.98314015931262855</v>
      </c>
      <c r="J2101" s="3" t="s">
        <v>4603</v>
      </c>
    </row>
    <row r="2102" spans="1:10" ht="25.5">
      <c r="A2102" s="3" t="s">
        <v>1811</v>
      </c>
      <c r="B2102" s="3" t="s">
        <v>2972</v>
      </c>
      <c r="C2102" s="4">
        <v>270</v>
      </c>
      <c r="D2102" s="3" t="s">
        <v>312</v>
      </c>
      <c r="E2102" s="3" t="s">
        <v>30</v>
      </c>
      <c r="F2102" s="5">
        <v>8266.56</v>
      </c>
      <c r="G2102" s="5">
        <v>0</v>
      </c>
      <c r="H2102" s="5">
        <f t="shared" si="64"/>
        <v>-8266.56</v>
      </c>
      <c r="I2102" s="9">
        <f t="shared" si="65"/>
        <v>-1</v>
      </c>
      <c r="J2102" s="3" t="s">
        <v>4603</v>
      </c>
    </row>
    <row r="2103" spans="1:10" ht="51">
      <c r="A2103" s="3" t="s">
        <v>1811</v>
      </c>
      <c r="B2103" s="3" t="s">
        <v>2973</v>
      </c>
      <c r="C2103" s="4">
        <v>282</v>
      </c>
      <c r="D2103" s="3" t="s">
        <v>298</v>
      </c>
      <c r="E2103" s="3" t="s">
        <v>9</v>
      </c>
      <c r="F2103" s="5">
        <v>6334.56</v>
      </c>
      <c r="G2103" s="5">
        <v>0</v>
      </c>
      <c r="H2103" s="5">
        <f t="shared" si="64"/>
        <v>-6334.56</v>
      </c>
      <c r="I2103" s="9">
        <f t="shared" si="65"/>
        <v>-1</v>
      </c>
      <c r="J2103" s="3" t="s">
        <v>4604</v>
      </c>
    </row>
    <row r="2104" spans="1:10" ht="25.5">
      <c r="A2104" s="3" t="s">
        <v>1811</v>
      </c>
      <c r="B2104" s="3" t="s">
        <v>2974</v>
      </c>
      <c r="C2104" s="4">
        <v>266</v>
      </c>
      <c r="D2104" s="3" t="s">
        <v>111</v>
      </c>
      <c r="E2104" s="3" t="s">
        <v>18</v>
      </c>
      <c r="F2104" s="5">
        <v>10216.56</v>
      </c>
      <c r="G2104" s="5">
        <v>3893.308</v>
      </c>
      <c r="H2104" s="5">
        <f t="shared" si="64"/>
        <v>-6323.2519999999995</v>
      </c>
      <c r="I2104" s="9">
        <f t="shared" si="65"/>
        <v>-0.61892182887390668</v>
      </c>
      <c r="J2104" s="3" t="s">
        <v>4603</v>
      </c>
    </row>
    <row r="2105" spans="1:10" ht="25.5">
      <c r="A2105" s="3" t="s">
        <v>1811</v>
      </c>
      <c r="B2105" s="3" t="s">
        <v>2975</v>
      </c>
      <c r="C2105" s="4">
        <v>335</v>
      </c>
      <c r="D2105" s="3" t="s">
        <v>7</v>
      </c>
      <c r="E2105" s="3" t="s">
        <v>8</v>
      </c>
      <c r="F2105" s="5">
        <v>6082.5</v>
      </c>
      <c r="G2105" s="5">
        <v>7990.38</v>
      </c>
      <c r="H2105" s="5">
        <f t="shared" si="64"/>
        <v>1907.88</v>
      </c>
      <c r="I2105" s="9">
        <f t="shared" si="65"/>
        <v>0.31366707768187418</v>
      </c>
      <c r="J2105" s="3" t="s">
        <v>4603</v>
      </c>
    </row>
    <row r="2106" spans="1:10" ht="38.25">
      <c r="A2106" s="3" t="s">
        <v>1811</v>
      </c>
      <c r="B2106" s="3" t="s">
        <v>2976</v>
      </c>
      <c r="C2106" s="4">
        <v>45</v>
      </c>
      <c r="D2106" s="3" t="s">
        <v>16</v>
      </c>
      <c r="E2106" s="3" t="s">
        <v>8</v>
      </c>
      <c r="F2106" s="5">
        <v>7018.98</v>
      </c>
      <c r="G2106" s="5">
        <v>6284.76</v>
      </c>
      <c r="H2106" s="5">
        <f t="shared" si="64"/>
        <v>-734.21999999999935</v>
      </c>
      <c r="I2106" s="9">
        <f t="shared" si="65"/>
        <v>-0.10460494259849717</v>
      </c>
      <c r="J2106" s="3" t="s">
        <v>4603</v>
      </c>
    </row>
    <row r="2107" spans="1:10" ht="25.5">
      <c r="A2107" s="3" t="s">
        <v>1811</v>
      </c>
      <c r="B2107" s="3" t="s">
        <v>2977</v>
      </c>
      <c r="C2107" s="4">
        <v>296</v>
      </c>
      <c r="D2107" s="3" t="s">
        <v>137</v>
      </c>
      <c r="E2107" s="3" t="s">
        <v>18</v>
      </c>
      <c r="F2107" s="5">
        <v>0</v>
      </c>
      <c r="G2107" s="5">
        <v>44467.5</v>
      </c>
      <c r="H2107" s="5">
        <f t="shared" si="64"/>
        <v>44467.5</v>
      </c>
      <c r="I2107" s="9">
        <f t="shared" si="65"/>
        <v>0</v>
      </c>
      <c r="J2107" s="3" t="s">
        <v>4603</v>
      </c>
    </row>
    <row r="2108" spans="1:10" ht="25.5">
      <c r="A2108" s="3" t="s">
        <v>1811</v>
      </c>
      <c r="B2108" s="3" t="s">
        <v>2978</v>
      </c>
      <c r="C2108" s="4">
        <v>217</v>
      </c>
      <c r="D2108" s="3" t="s">
        <v>253</v>
      </c>
      <c r="E2108" s="3" t="s">
        <v>13</v>
      </c>
      <c r="F2108" s="5">
        <v>11907.42</v>
      </c>
      <c r="G2108" s="5">
        <v>34598.85</v>
      </c>
      <c r="H2108" s="5">
        <f t="shared" si="64"/>
        <v>22691.43</v>
      </c>
      <c r="I2108" s="9">
        <f t="shared" si="65"/>
        <v>1.9056546254352327</v>
      </c>
      <c r="J2108" s="3" t="s">
        <v>4603</v>
      </c>
    </row>
    <row r="2109" spans="1:10" ht="25.5">
      <c r="A2109" s="3" t="s">
        <v>1811</v>
      </c>
      <c r="B2109" s="3" t="s">
        <v>2979</v>
      </c>
      <c r="C2109" s="4">
        <v>93</v>
      </c>
      <c r="D2109" s="3" t="s">
        <v>42</v>
      </c>
      <c r="E2109" s="3" t="s">
        <v>8</v>
      </c>
      <c r="F2109" s="5">
        <v>7672.86</v>
      </c>
      <c r="G2109" s="5">
        <v>9249</v>
      </c>
      <c r="H2109" s="5">
        <f t="shared" si="64"/>
        <v>1576.1400000000003</v>
      </c>
      <c r="I2109" s="9">
        <f t="shared" si="65"/>
        <v>0.20541753661607287</v>
      </c>
      <c r="J2109" s="3" t="s">
        <v>4603</v>
      </c>
    </row>
    <row r="2110" spans="1:10" ht="25.5">
      <c r="A2110" s="3" t="s">
        <v>1811</v>
      </c>
      <c r="B2110" s="3" t="s">
        <v>2980</v>
      </c>
      <c r="C2110" s="4">
        <v>261</v>
      </c>
      <c r="D2110" s="3" t="s">
        <v>17</v>
      </c>
      <c r="E2110" s="3" t="s">
        <v>18</v>
      </c>
      <c r="F2110" s="5">
        <v>6731.01</v>
      </c>
      <c r="G2110" s="5">
        <v>11576.55</v>
      </c>
      <c r="H2110" s="5">
        <f t="shared" si="64"/>
        <v>4845.5399999999991</v>
      </c>
      <c r="I2110" s="9">
        <f t="shared" si="65"/>
        <v>0.71988304875494147</v>
      </c>
      <c r="J2110" s="3" t="s">
        <v>4603</v>
      </c>
    </row>
    <row r="2111" spans="1:10" ht="25.5">
      <c r="A2111" s="3" t="s">
        <v>1811</v>
      </c>
      <c r="B2111" s="3" t="s">
        <v>2981</v>
      </c>
      <c r="C2111" s="4">
        <v>19</v>
      </c>
      <c r="D2111" s="3" t="s">
        <v>53</v>
      </c>
      <c r="E2111" s="3" t="s">
        <v>22</v>
      </c>
      <c r="F2111" s="5">
        <v>0</v>
      </c>
      <c r="G2111" s="5">
        <v>8031.76</v>
      </c>
      <c r="H2111" s="5">
        <f t="shared" si="64"/>
        <v>8031.76</v>
      </c>
      <c r="I2111" s="9">
        <f t="shared" si="65"/>
        <v>0</v>
      </c>
      <c r="J2111" s="3" t="s">
        <v>4603</v>
      </c>
    </row>
    <row r="2112" spans="1:10" ht="38.25">
      <c r="A2112" s="3" t="s">
        <v>1811</v>
      </c>
      <c r="B2112" s="3" t="s">
        <v>2982</v>
      </c>
      <c r="C2112" s="4">
        <v>38</v>
      </c>
      <c r="D2112" s="3" t="s">
        <v>229</v>
      </c>
      <c r="E2112" s="3" t="s">
        <v>30</v>
      </c>
      <c r="F2112" s="5">
        <v>7240.86</v>
      </c>
      <c r="G2112" s="5">
        <v>14262.12</v>
      </c>
      <c r="H2112" s="5">
        <f t="shared" si="64"/>
        <v>7021.2600000000011</v>
      </c>
      <c r="I2112" s="9">
        <f t="shared" si="65"/>
        <v>0.96967211077137261</v>
      </c>
      <c r="J2112" s="3" t="s">
        <v>4603</v>
      </c>
    </row>
    <row r="2113" spans="1:10" ht="25.5">
      <c r="A2113" s="3" t="s">
        <v>1811</v>
      </c>
      <c r="B2113" s="3" t="s">
        <v>2983</v>
      </c>
      <c r="C2113" s="4">
        <v>316</v>
      </c>
      <c r="D2113" s="3" t="s">
        <v>167</v>
      </c>
      <c r="E2113" s="3" t="s">
        <v>18</v>
      </c>
      <c r="F2113" s="5">
        <v>3233.64</v>
      </c>
      <c r="G2113" s="5">
        <v>2890.74</v>
      </c>
      <c r="H2113" s="5">
        <f t="shared" si="64"/>
        <v>-342.90000000000009</v>
      </c>
      <c r="I2113" s="9">
        <f t="shared" si="65"/>
        <v>-0.10604148884848041</v>
      </c>
      <c r="J2113" s="3" t="s">
        <v>4603</v>
      </c>
    </row>
    <row r="2114" spans="1:10" ht="25.5">
      <c r="A2114" s="3" t="s">
        <v>1811</v>
      </c>
      <c r="B2114" s="3" t="s">
        <v>2984</v>
      </c>
      <c r="C2114" s="4">
        <v>218</v>
      </c>
      <c r="D2114" s="3" t="s">
        <v>155</v>
      </c>
      <c r="E2114" s="3" t="s">
        <v>13</v>
      </c>
      <c r="F2114" s="5">
        <v>19691.82</v>
      </c>
      <c r="G2114" s="5">
        <v>0</v>
      </c>
      <c r="H2114" s="5">
        <f t="shared" si="64"/>
        <v>-19691.82</v>
      </c>
      <c r="I2114" s="9">
        <f t="shared" si="65"/>
        <v>-1</v>
      </c>
      <c r="J2114" s="3" t="s">
        <v>4603</v>
      </c>
    </row>
    <row r="2115" spans="1:10">
      <c r="A2115" s="3" t="s">
        <v>1811</v>
      </c>
      <c r="B2115" s="3" t="s">
        <v>2985</v>
      </c>
      <c r="C2115" s="4">
        <v>232</v>
      </c>
      <c r="D2115" s="3" t="s">
        <v>95</v>
      </c>
      <c r="E2115" s="3" t="s">
        <v>13</v>
      </c>
      <c r="F2115" s="5">
        <v>3230.64</v>
      </c>
      <c r="G2115" s="5">
        <v>0</v>
      </c>
      <c r="H2115" s="5">
        <f t="shared" ref="H2115:H2178" si="66">G2115-F2115</f>
        <v>-3230.64</v>
      </c>
      <c r="I2115" s="9">
        <f t="shared" ref="I2115:I2178" si="67">IFERROR(G2115/F2115-1,0)</f>
        <v>-1</v>
      </c>
      <c r="J2115" s="3" t="s">
        <v>4603</v>
      </c>
    </row>
    <row r="2116" spans="1:10">
      <c r="A2116" s="3" t="s">
        <v>1811</v>
      </c>
      <c r="B2116" s="3" t="s">
        <v>2986</v>
      </c>
      <c r="C2116" s="4">
        <v>232</v>
      </c>
      <c r="D2116" s="3" t="s">
        <v>95</v>
      </c>
      <c r="E2116" s="3" t="s">
        <v>13</v>
      </c>
      <c r="F2116" s="5">
        <v>0</v>
      </c>
      <c r="G2116" s="5">
        <v>3703.92</v>
      </c>
      <c r="H2116" s="5">
        <f t="shared" si="66"/>
        <v>3703.92</v>
      </c>
      <c r="I2116" s="9">
        <f t="shared" si="67"/>
        <v>0</v>
      </c>
      <c r="J2116" s="3" t="s">
        <v>4603</v>
      </c>
    </row>
    <row r="2117" spans="1:10" ht="25.5">
      <c r="A2117" s="3" t="s">
        <v>1811</v>
      </c>
      <c r="B2117" s="3" t="s">
        <v>2987</v>
      </c>
      <c r="C2117" s="4">
        <v>194</v>
      </c>
      <c r="D2117" s="3" t="s">
        <v>179</v>
      </c>
      <c r="E2117" s="3" t="s">
        <v>13</v>
      </c>
      <c r="F2117" s="5">
        <v>18473.580000000002</v>
      </c>
      <c r="G2117" s="5">
        <v>17555.580000000002</v>
      </c>
      <c r="H2117" s="5">
        <f t="shared" si="66"/>
        <v>-918</v>
      </c>
      <c r="I2117" s="9">
        <f t="shared" si="67"/>
        <v>-4.9692588009470851E-2</v>
      </c>
      <c r="J2117" s="3" t="s">
        <v>4604</v>
      </c>
    </row>
    <row r="2118" spans="1:10" ht="38.25">
      <c r="A2118" s="3" t="s">
        <v>1811</v>
      </c>
      <c r="B2118" s="3" t="s">
        <v>2988</v>
      </c>
      <c r="C2118" s="4">
        <v>45</v>
      </c>
      <c r="D2118" s="3" t="s">
        <v>16</v>
      </c>
      <c r="E2118" s="3" t="s">
        <v>8</v>
      </c>
      <c r="F2118" s="5">
        <v>19449.75</v>
      </c>
      <c r="G2118" s="5">
        <v>0</v>
      </c>
      <c r="H2118" s="5">
        <f t="shared" si="66"/>
        <v>-19449.75</v>
      </c>
      <c r="I2118" s="9">
        <f t="shared" si="67"/>
        <v>-1</v>
      </c>
      <c r="J2118" s="3" t="s">
        <v>4603</v>
      </c>
    </row>
    <row r="2119" spans="1:10" ht="38.25">
      <c r="A2119" s="3" t="s">
        <v>1811</v>
      </c>
      <c r="B2119" s="3" t="s">
        <v>2989</v>
      </c>
      <c r="C2119" s="4">
        <v>292</v>
      </c>
      <c r="D2119" s="3" t="s">
        <v>619</v>
      </c>
      <c r="E2119" s="3" t="s">
        <v>30</v>
      </c>
      <c r="F2119" s="5">
        <v>10405.32</v>
      </c>
      <c r="G2119" s="5">
        <v>15794.64</v>
      </c>
      <c r="H2119" s="5">
        <f t="shared" si="66"/>
        <v>5389.32</v>
      </c>
      <c r="I2119" s="9">
        <f t="shared" si="67"/>
        <v>0.51793890048552083</v>
      </c>
      <c r="J2119" s="3" t="s">
        <v>4603</v>
      </c>
    </row>
    <row r="2120" spans="1:10" ht="25.5">
      <c r="A2120" s="3" t="s">
        <v>1811</v>
      </c>
      <c r="B2120" s="3" t="s">
        <v>2990</v>
      </c>
      <c r="C2120" s="4">
        <v>273</v>
      </c>
      <c r="D2120" s="3" t="s">
        <v>771</v>
      </c>
      <c r="E2120" s="3" t="s">
        <v>13</v>
      </c>
      <c r="F2120" s="5">
        <v>7435.8</v>
      </c>
      <c r="G2120" s="5">
        <v>3884.34</v>
      </c>
      <c r="H2120" s="5">
        <f t="shared" si="66"/>
        <v>-3551.46</v>
      </c>
      <c r="I2120" s="9">
        <f t="shared" si="67"/>
        <v>-0.47761639635277975</v>
      </c>
      <c r="J2120" s="3" t="s">
        <v>4603</v>
      </c>
    </row>
    <row r="2121" spans="1:10" ht="25.5">
      <c r="A2121" s="3" t="s">
        <v>1811</v>
      </c>
      <c r="B2121" s="3" t="s">
        <v>2991</v>
      </c>
      <c r="C2121" s="4">
        <v>23</v>
      </c>
      <c r="D2121" s="3" t="s">
        <v>71</v>
      </c>
      <c r="E2121" s="3" t="s">
        <v>8</v>
      </c>
      <c r="F2121" s="5">
        <v>8812.56</v>
      </c>
      <c r="G2121" s="5">
        <v>6476.97</v>
      </c>
      <c r="H2121" s="5">
        <f t="shared" si="66"/>
        <v>-2335.5899999999992</v>
      </c>
      <c r="I2121" s="9">
        <f t="shared" si="67"/>
        <v>-0.26502968490427292</v>
      </c>
      <c r="J2121" s="3" t="s">
        <v>4603</v>
      </c>
    </row>
    <row r="2122" spans="1:10" ht="38.25">
      <c r="A2122" s="3" t="s">
        <v>1811</v>
      </c>
      <c r="B2122" s="3" t="s">
        <v>2992</v>
      </c>
      <c r="C2122" s="4">
        <v>11</v>
      </c>
      <c r="D2122" s="3" t="s">
        <v>55</v>
      </c>
      <c r="E2122" s="3" t="s">
        <v>18</v>
      </c>
      <c r="F2122" s="5">
        <v>0</v>
      </c>
      <c r="G2122" s="5">
        <v>5541.84</v>
      </c>
      <c r="H2122" s="5">
        <f t="shared" si="66"/>
        <v>5541.84</v>
      </c>
      <c r="I2122" s="9">
        <f t="shared" si="67"/>
        <v>0</v>
      </c>
      <c r="J2122" s="3" t="s">
        <v>4603</v>
      </c>
    </row>
    <row r="2123" spans="1:10" ht="25.5">
      <c r="A2123" s="3" t="s">
        <v>1811</v>
      </c>
      <c r="B2123" s="3" t="s">
        <v>2993</v>
      </c>
      <c r="C2123" s="4">
        <v>178</v>
      </c>
      <c r="D2123" s="3" t="s">
        <v>92</v>
      </c>
      <c r="E2123" s="3" t="s">
        <v>8</v>
      </c>
      <c r="F2123" s="5">
        <v>7198.92</v>
      </c>
      <c r="G2123" s="5">
        <v>19494.3</v>
      </c>
      <c r="H2123" s="5">
        <f t="shared" si="66"/>
        <v>12295.38</v>
      </c>
      <c r="I2123" s="9">
        <f t="shared" si="67"/>
        <v>1.7079478588454933</v>
      </c>
      <c r="J2123" s="3" t="s">
        <v>4603</v>
      </c>
    </row>
    <row r="2124" spans="1:10" ht="25.5">
      <c r="A2124" s="3" t="s">
        <v>1811</v>
      </c>
      <c r="B2124" s="3" t="s">
        <v>2994</v>
      </c>
      <c r="C2124" s="4">
        <v>197</v>
      </c>
      <c r="D2124" s="3" t="s">
        <v>23</v>
      </c>
      <c r="E2124" s="3" t="s">
        <v>22</v>
      </c>
      <c r="F2124" s="5">
        <v>0</v>
      </c>
      <c r="G2124" s="5">
        <v>2278.44</v>
      </c>
      <c r="H2124" s="5">
        <f t="shared" si="66"/>
        <v>2278.44</v>
      </c>
      <c r="I2124" s="9">
        <f t="shared" si="67"/>
        <v>0</v>
      </c>
      <c r="J2124" s="3" t="s">
        <v>4603</v>
      </c>
    </row>
    <row r="2125" spans="1:10" ht="25.5">
      <c r="A2125" s="3" t="s">
        <v>1811</v>
      </c>
      <c r="B2125" s="3" t="s">
        <v>2995</v>
      </c>
      <c r="C2125" s="4">
        <v>299</v>
      </c>
      <c r="D2125" s="3" t="s">
        <v>246</v>
      </c>
      <c r="E2125" s="3" t="s">
        <v>30</v>
      </c>
      <c r="F2125" s="5">
        <v>2375.52</v>
      </c>
      <c r="G2125" s="5">
        <v>0</v>
      </c>
      <c r="H2125" s="5">
        <f t="shared" si="66"/>
        <v>-2375.52</v>
      </c>
      <c r="I2125" s="9">
        <f t="shared" si="67"/>
        <v>-1</v>
      </c>
      <c r="J2125" s="3" t="s">
        <v>4603</v>
      </c>
    </row>
    <row r="2126" spans="1:10">
      <c r="A2126" s="3" t="s">
        <v>1811</v>
      </c>
      <c r="B2126" s="3" t="s">
        <v>2996</v>
      </c>
      <c r="C2126" s="4">
        <v>231</v>
      </c>
      <c r="D2126" s="3" t="s">
        <v>89</v>
      </c>
      <c r="E2126" s="3" t="s">
        <v>8</v>
      </c>
      <c r="F2126" s="5">
        <v>2059.92</v>
      </c>
      <c r="G2126" s="5">
        <v>774.96</v>
      </c>
      <c r="H2126" s="5">
        <f t="shared" si="66"/>
        <v>-1284.96</v>
      </c>
      <c r="I2126" s="9">
        <f t="shared" si="67"/>
        <v>-0.6237912151928231</v>
      </c>
      <c r="J2126" s="3" t="s">
        <v>4603</v>
      </c>
    </row>
    <row r="2127" spans="1:10" ht="25.5">
      <c r="A2127" s="3" t="s">
        <v>1811</v>
      </c>
      <c r="B2127" s="3" t="s">
        <v>2997</v>
      </c>
      <c r="C2127" s="4">
        <v>93</v>
      </c>
      <c r="D2127" s="3" t="s">
        <v>42</v>
      </c>
      <c r="E2127" s="3" t="s">
        <v>8</v>
      </c>
      <c r="F2127" s="5">
        <v>30318.36</v>
      </c>
      <c r="G2127" s="5">
        <v>558</v>
      </c>
      <c r="H2127" s="5">
        <f t="shared" si="66"/>
        <v>-29760.36</v>
      </c>
      <c r="I2127" s="9">
        <f t="shared" si="67"/>
        <v>-0.98159531056429172</v>
      </c>
      <c r="J2127" s="3" t="s">
        <v>4603</v>
      </c>
    </row>
    <row r="2128" spans="1:10" ht="25.5">
      <c r="A2128" s="3" t="s">
        <v>1811</v>
      </c>
      <c r="B2128" s="3" t="s">
        <v>2998</v>
      </c>
      <c r="C2128" s="4">
        <v>217</v>
      </c>
      <c r="D2128" s="3" t="s">
        <v>253</v>
      </c>
      <c r="E2128" s="3" t="s">
        <v>13</v>
      </c>
      <c r="F2128" s="5">
        <v>0</v>
      </c>
      <c r="G2128" s="5">
        <v>5538.6</v>
      </c>
      <c r="H2128" s="5">
        <f t="shared" si="66"/>
        <v>5538.6</v>
      </c>
      <c r="I2128" s="9">
        <f t="shared" si="67"/>
        <v>0</v>
      </c>
      <c r="J2128" s="3" t="s">
        <v>4603</v>
      </c>
    </row>
    <row r="2129" spans="1:10" ht="25.5">
      <c r="A2129" s="3" t="s">
        <v>1811</v>
      </c>
      <c r="B2129" s="3" t="s">
        <v>2999</v>
      </c>
      <c r="C2129" s="4">
        <v>194</v>
      </c>
      <c r="D2129" s="3" t="s">
        <v>179</v>
      </c>
      <c r="E2129" s="3" t="s">
        <v>13</v>
      </c>
      <c r="F2129" s="5">
        <v>9080.52</v>
      </c>
      <c r="G2129" s="5">
        <v>26040</v>
      </c>
      <c r="H2129" s="5">
        <f t="shared" si="66"/>
        <v>16959.48</v>
      </c>
      <c r="I2129" s="9">
        <f t="shared" si="67"/>
        <v>1.8676771814829984</v>
      </c>
      <c r="J2129" s="3" t="s">
        <v>4603</v>
      </c>
    </row>
    <row r="2130" spans="1:10" ht="25.5">
      <c r="A2130" s="3" t="s">
        <v>1811</v>
      </c>
      <c r="B2130" s="3" t="s">
        <v>3000</v>
      </c>
      <c r="C2130" s="4">
        <v>31</v>
      </c>
      <c r="D2130" s="3" t="s">
        <v>172</v>
      </c>
      <c r="E2130" s="3" t="s">
        <v>13</v>
      </c>
      <c r="F2130" s="5">
        <v>8795.01</v>
      </c>
      <c r="G2130" s="5">
        <v>0</v>
      </c>
      <c r="H2130" s="5">
        <f t="shared" si="66"/>
        <v>-8795.01</v>
      </c>
      <c r="I2130" s="9">
        <f t="shared" si="67"/>
        <v>-1</v>
      </c>
      <c r="J2130" s="3" t="s">
        <v>4603</v>
      </c>
    </row>
    <row r="2131" spans="1:10" ht="25.5">
      <c r="A2131" s="3" t="s">
        <v>1811</v>
      </c>
      <c r="B2131" s="3" t="s">
        <v>3001</v>
      </c>
      <c r="C2131" s="4">
        <v>187</v>
      </c>
      <c r="D2131" s="3" t="s">
        <v>460</v>
      </c>
      <c r="E2131" s="3" t="s">
        <v>8</v>
      </c>
      <c r="F2131" s="5">
        <v>7228.95</v>
      </c>
      <c r="G2131" s="5">
        <v>19946.400000000001</v>
      </c>
      <c r="H2131" s="5">
        <f t="shared" si="66"/>
        <v>12717.45</v>
      </c>
      <c r="I2131" s="9">
        <f t="shared" si="67"/>
        <v>1.7592388936152554</v>
      </c>
      <c r="J2131" s="3" t="s">
        <v>4603</v>
      </c>
    </row>
    <row r="2132" spans="1:10" ht="25.5">
      <c r="A2132" s="3" t="s">
        <v>1811</v>
      </c>
      <c r="B2132" s="3" t="s">
        <v>3002</v>
      </c>
      <c r="C2132" s="4">
        <v>299</v>
      </c>
      <c r="D2132" s="3" t="s">
        <v>246</v>
      </c>
      <c r="E2132" s="3" t="s">
        <v>30</v>
      </c>
      <c r="F2132" s="5">
        <v>4160.28</v>
      </c>
      <c r="G2132" s="5">
        <v>0</v>
      </c>
      <c r="H2132" s="5">
        <f t="shared" si="66"/>
        <v>-4160.28</v>
      </c>
      <c r="I2132" s="9">
        <f t="shared" si="67"/>
        <v>-1</v>
      </c>
      <c r="J2132" s="3" t="s">
        <v>4603</v>
      </c>
    </row>
    <row r="2133" spans="1:10" ht="25.5">
      <c r="A2133" s="3" t="s">
        <v>1811</v>
      </c>
      <c r="B2133" s="3" t="s">
        <v>3003</v>
      </c>
      <c r="C2133" s="4">
        <v>39</v>
      </c>
      <c r="D2133" s="3" t="s">
        <v>26</v>
      </c>
      <c r="E2133" s="3" t="s">
        <v>9</v>
      </c>
      <c r="F2133" s="5">
        <v>28807.119999999999</v>
      </c>
      <c r="G2133" s="5">
        <v>6852.74</v>
      </c>
      <c r="H2133" s="5">
        <f t="shared" si="66"/>
        <v>-21954.379999999997</v>
      </c>
      <c r="I2133" s="9">
        <f t="shared" si="67"/>
        <v>-0.76211644898899999</v>
      </c>
      <c r="J2133" s="3" t="s">
        <v>4603</v>
      </c>
    </row>
    <row r="2134" spans="1:10" ht="38.25">
      <c r="A2134" s="3" t="s">
        <v>1811</v>
      </c>
      <c r="B2134" s="3" t="s">
        <v>3004</v>
      </c>
      <c r="C2134" s="4">
        <v>371</v>
      </c>
      <c r="D2134" s="3" t="s">
        <v>29</v>
      </c>
      <c r="E2134" s="3" t="s">
        <v>30</v>
      </c>
      <c r="F2134" s="5">
        <v>7733.4</v>
      </c>
      <c r="G2134" s="5">
        <v>4687.68</v>
      </c>
      <c r="H2134" s="5">
        <f t="shared" si="66"/>
        <v>-3045.7199999999993</v>
      </c>
      <c r="I2134" s="9">
        <f t="shared" si="67"/>
        <v>-0.39383970827837689</v>
      </c>
      <c r="J2134" s="3" t="s">
        <v>4603</v>
      </c>
    </row>
    <row r="2135" spans="1:10" ht="25.5">
      <c r="A2135" s="3" t="s">
        <v>1811</v>
      </c>
      <c r="B2135" s="3" t="s">
        <v>3005</v>
      </c>
      <c r="C2135" s="4">
        <v>297</v>
      </c>
      <c r="D2135" s="3" t="s">
        <v>209</v>
      </c>
      <c r="E2135" s="3" t="s">
        <v>22</v>
      </c>
      <c r="F2135" s="5">
        <v>11597.1</v>
      </c>
      <c r="G2135" s="5">
        <v>4726.0039999999999</v>
      </c>
      <c r="H2135" s="5">
        <f t="shared" si="66"/>
        <v>-6871.0960000000005</v>
      </c>
      <c r="I2135" s="9">
        <f t="shared" si="67"/>
        <v>-0.59248398306473171</v>
      </c>
      <c r="J2135" s="3" t="s">
        <v>4603</v>
      </c>
    </row>
    <row r="2136" spans="1:10" ht="25.5">
      <c r="A2136" s="3" t="s">
        <v>1811</v>
      </c>
      <c r="B2136" s="3" t="s">
        <v>3006</v>
      </c>
      <c r="C2136" s="4">
        <v>240</v>
      </c>
      <c r="D2136" s="3" t="s">
        <v>152</v>
      </c>
      <c r="E2136" s="3" t="s">
        <v>13</v>
      </c>
      <c r="F2136" s="5">
        <v>2961.42</v>
      </c>
      <c r="G2136" s="5">
        <v>0</v>
      </c>
      <c r="H2136" s="5">
        <f t="shared" si="66"/>
        <v>-2961.42</v>
      </c>
      <c r="I2136" s="9">
        <f t="shared" si="67"/>
        <v>-1</v>
      </c>
      <c r="J2136" s="3" t="s">
        <v>4603</v>
      </c>
    </row>
    <row r="2137" spans="1:10" ht="25.5">
      <c r="A2137" s="3" t="s">
        <v>1811</v>
      </c>
      <c r="B2137" s="3" t="s">
        <v>3007</v>
      </c>
      <c r="C2137" s="4">
        <v>19</v>
      </c>
      <c r="D2137" s="3" t="s">
        <v>53</v>
      </c>
      <c r="E2137" s="3" t="s">
        <v>22</v>
      </c>
      <c r="F2137" s="5">
        <v>0</v>
      </c>
      <c r="G2137" s="5">
        <v>11890.2</v>
      </c>
      <c r="H2137" s="5">
        <f t="shared" si="66"/>
        <v>11890.2</v>
      </c>
      <c r="I2137" s="9">
        <f t="shared" si="67"/>
        <v>0</v>
      </c>
      <c r="J2137" s="3" t="s">
        <v>4603</v>
      </c>
    </row>
    <row r="2138" spans="1:10">
      <c r="A2138" s="3" t="s">
        <v>1811</v>
      </c>
      <c r="B2138" s="3" t="s">
        <v>3008</v>
      </c>
      <c r="C2138" s="4">
        <v>232</v>
      </c>
      <c r="D2138" s="3" t="s">
        <v>95</v>
      </c>
      <c r="E2138" s="3" t="s">
        <v>13</v>
      </c>
      <c r="F2138" s="5">
        <v>4442.13</v>
      </c>
      <c r="G2138" s="5">
        <v>0</v>
      </c>
      <c r="H2138" s="5">
        <f t="shared" si="66"/>
        <v>-4442.13</v>
      </c>
      <c r="I2138" s="9">
        <f t="shared" si="67"/>
        <v>-1</v>
      </c>
      <c r="J2138" s="3" t="s">
        <v>4603</v>
      </c>
    </row>
    <row r="2139" spans="1:10" ht="25.5">
      <c r="A2139" s="3" t="s">
        <v>1811</v>
      </c>
      <c r="B2139" s="3" t="s">
        <v>3009</v>
      </c>
      <c r="C2139" s="4">
        <v>317</v>
      </c>
      <c r="D2139" s="3" t="s">
        <v>54</v>
      </c>
      <c r="E2139" s="3" t="s">
        <v>18</v>
      </c>
      <c r="F2139" s="5">
        <v>8738.0400000000009</v>
      </c>
      <c r="G2139" s="5">
        <v>0</v>
      </c>
      <c r="H2139" s="5">
        <f t="shared" si="66"/>
        <v>-8738.0400000000009</v>
      </c>
      <c r="I2139" s="9">
        <f t="shared" si="67"/>
        <v>-1</v>
      </c>
      <c r="J2139" s="3" t="s">
        <v>4603</v>
      </c>
    </row>
    <row r="2140" spans="1:10" ht="38.25">
      <c r="A2140" s="3" t="s">
        <v>1811</v>
      </c>
      <c r="B2140" s="3" t="s">
        <v>3010</v>
      </c>
      <c r="C2140" s="4">
        <v>178</v>
      </c>
      <c r="D2140" s="3" t="s">
        <v>92</v>
      </c>
      <c r="E2140" s="3" t="s">
        <v>8</v>
      </c>
      <c r="F2140" s="5">
        <v>14964.6</v>
      </c>
      <c r="G2140" s="5">
        <v>19742.97</v>
      </c>
      <c r="H2140" s="5">
        <f t="shared" si="66"/>
        <v>4778.3700000000008</v>
      </c>
      <c r="I2140" s="9">
        <f t="shared" si="67"/>
        <v>0.31931157531775001</v>
      </c>
      <c r="J2140" s="3" t="s">
        <v>4603</v>
      </c>
    </row>
    <row r="2141" spans="1:10" ht="25.5">
      <c r="A2141" s="3" t="s">
        <v>1811</v>
      </c>
      <c r="B2141" s="3" t="s">
        <v>3011</v>
      </c>
      <c r="C2141" s="4">
        <v>187</v>
      </c>
      <c r="D2141" s="3" t="s">
        <v>460</v>
      </c>
      <c r="E2141" s="3" t="s">
        <v>8</v>
      </c>
      <c r="F2141" s="5">
        <v>0</v>
      </c>
      <c r="G2141" s="5">
        <v>51439.56</v>
      </c>
      <c r="H2141" s="5">
        <f t="shared" si="66"/>
        <v>51439.56</v>
      </c>
      <c r="I2141" s="9">
        <f t="shared" si="67"/>
        <v>0</v>
      </c>
      <c r="J2141" s="3" t="s">
        <v>4603</v>
      </c>
    </row>
    <row r="2142" spans="1:10">
      <c r="A2142" s="3" t="s">
        <v>1811</v>
      </c>
      <c r="B2142" s="3" t="s">
        <v>3012</v>
      </c>
      <c r="C2142" s="4">
        <v>167</v>
      </c>
      <c r="D2142" s="3" t="s">
        <v>335</v>
      </c>
      <c r="E2142" s="3" t="s">
        <v>30</v>
      </c>
      <c r="F2142" s="5">
        <v>4661.28</v>
      </c>
      <c r="G2142" s="5">
        <v>0</v>
      </c>
      <c r="H2142" s="5">
        <f t="shared" si="66"/>
        <v>-4661.28</v>
      </c>
      <c r="I2142" s="9">
        <f t="shared" si="67"/>
        <v>-1</v>
      </c>
      <c r="J2142" s="3" t="s">
        <v>4603</v>
      </c>
    </row>
    <row r="2143" spans="1:10">
      <c r="A2143" s="3" t="s">
        <v>1811</v>
      </c>
      <c r="B2143" s="3" t="s">
        <v>3013</v>
      </c>
      <c r="C2143" s="4">
        <v>15</v>
      </c>
      <c r="D2143" s="3" t="s">
        <v>33</v>
      </c>
      <c r="E2143" s="3" t="s">
        <v>13</v>
      </c>
      <c r="F2143" s="5">
        <v>14996.46</v>
      </c>
      <c r="G2143" s="5">
        <v>0</v>
      </c>
      <c r="H2143" s="5">
        <f t="shared" si="66"/>
        <v>-14996.46</v>
      </c>
      <c r="I2143" s="9">
        <f t="shared" si="67"/>
        <v>-1</v>
      </c>
      <c r="J2143" s="3" t="s">
        <v>4603</v>
      </c>
    </row>
    <row r="2144" spans="1:10" ht="38.25">
      <c r="A2144" s="3" t="s">
        <v>1811</v>
      </c>
      <c r="B2144" s="3" t="s">
        <v>3014</v>
      </c>
      <c r="C2144" s="4">
        <v>34</v>
      </c>
      <c r="D2144" s="3" t="s">
        <v>136</v>
      </c>
      <c r="E2144" s="3" t="s">
        <v>30</v>
      </c>
      <c r="F2144" s="5">
        <v>3371.4</v>
      </c>
      <c r="G2144" s="5">
        <v>0</v>
      </c>
      <c r="H2144" s="5">
        <f t="shared" si="66"/>
        <v>-3371.4</v>
      </c>
      <c r="I2144" s="9">
        <f t="shared" si="67"/>
        <v>-1</v>
      </c>
      <c r="J2144" s="3" t="s">
        <v>4603</v>
      </c>
    </row>
    <row r="2145" spans="1:10" ht="25.5">
      <c r="A2145" s="3" t="s">
        <v>1811</v>
      </c>
      <c r="B2145" s="3" t="s">
        <v>3015</v>
      </c>
      <c r="C2145" s="4">
        <v>232</v>
      </c>
      <c r="D2145" s="3" t="s">
        <v>95</v>
      </c>
      <c r="E2145" s="3" t="s">
        <v>13</v>
      </c>
      <c r="F2145" s="5">
        <v>0</v>
      </c>
      <c r="G2145" s="5">
        <v>3259.8</v>
      </c>
      <c r="H2145" s="5">
        <f t="shared" si="66"/>
        <v>3259.8</v>
      </c>
      <c r="I2145" s="9">
        <f t="shared" si="67"/>
        <v>0</v>
      </c>
      <c r="J2145" s="3" t="s">
        <v>4603</v>
      </c>
    </row>
    <row r="2146" spans="1:10" ht="25.5">
      <c r="A2146" s="3" t="s">
        <v>1811</v>
      </c>
      <c r="B2146" s="3" t="s">
        <v>3016</v>
      </c>
      <c r="C2146" s="4">
        <v>328</v>
      </c>
      <c r="D2146" s="3" t="s">
        <v>158</v>
      </c>
      <c r="E2146" s="3" t="s">
        <v>22</v>
      </c>
      <c r="F2146" s="5">
        <v>3479.4</v>
      </c>
      <c r="G2146" s="5">
        <v>4772.25</v>
      </c>
      <c r="H2146" s="5">
        <f t="shared" si="66"/>
        <v>1292.8499999999999</v>
      </c>
      <c r="I2146" s="9">
        <f t="shared" si="67"/>
        <v>0.37157268494568019</v>
      </c>
      <c r="J2146" s="3" t="s">
        <v>4603</v>
      </c>
    </row>
    <row r="2147" spans="1:10">
      <c r="A2147" s="3" t="s">
        <v>1811</v>
      </c>
      <c r="B2147" s="3" t="s">
        <v>3017</v>
      </c>
      <c r="C2147" s="4">
        <v>334</v>
      </c>
      <c r="D2147" s="3" t="s">
        <v>585</v>
      </c>
      <c r="E2147" s="3" t="s">
        <v>8</v>
      </c>
      <c r="F2147" s="5">
        <v>0</v>
      </c>
      <c r="G2147" s="5">
        <v>15825.18</v>
      </c>
      <c r="H2147" s="5">
        <f t="shared" si="66"/>
        <v>15825.18</v>
      </c>
      <c r="I2147" s="9">
        <f t="shared" si="67"/>
        <v>0</v>
      </c>
      <c r="J2147" s="3" t="s">
        <v>4604</v>
      </c>
    </row>
    <row r="2148" spans="1:10" ht="25.5">
      <c r="A2148" s="3" t="s">
        <v>1811</v>
      </c>
      <c r="B2148" s="3" t="s">
        <v>3018</v>
      </c>
      <c r="C2148" s="4">
        <v>194</v>
      </c>
      <c r="D2148" s="3" t="s">
        <v>179</v>
      </c>
      <c r="E2148" s="3" t="s">
        <v>13</v>
      </c>
      <c r="F2148" s="5">
        <v>0</v>
      </c>
      <c r="G2148" s="5">
        <v>10140.48</v>
      </c>
      <c r="H2148" s="5">
        <f t="shared" si="66"/>
        <v>10140.48</v>
      </c>
      <c r="I2148" s="9">
        <f t="shared" si="67"/>
        <v>0</v>
      </c>
      <c r="J2148" s="3" t="s">
        <v>4603</v>
      </c>
    </row>
    <row r="2149" spans="1:10" ht="25.5">
      <c r="A2149" s="3" t="s">
        <v>1811</v>
      </c>
      <c r="B2149" s="3" t="s">
        <v>3019</v>
      </c>
      <c r="C2149" s="4">
        <v>337</v>
      </c>
      <c r="D2149" s="3" t="s">
        <v>218</v>
      </c>
      <c r="E2149" s="3" t="s">
        <v>13</v>
      </c>
      <c r="F2149" s="5">
        <v>0</v>
      </c>
      <c r="G2149" s="5">
        <v>6445.2</v>
      </c>
      <c r="H2149" s="5">
        <f t="shared" si="66"/>
        <v>6445.2</v>
      </c>
      <c r="I2149" s="9">
        <f t="shared" si="67"/>
        <v>0</v>
      </c>
      <c r="J2149" s="3" t="s">
        <v>4603</v>
      </c>
    </row>
    <row r="2150" spans="1:10" ht="25.5">
      <c r="A2150" s="3" t="s">
        <v>1811</v>
      </c>
      <c r="B2150" s="3" t="s">
        <v>3020</v>
      </c>
      <c r="C2150" s="4">
        <v>197</v>
      </c>
      <c r="D2150" s="3" t="s">
        <v>23</v>
      </c>
      <c r="E2150" s="3" t="s">
        <v>22</v>
      </c>
      <c r="F2150" s="5">
        <v>0</v>
      </c>
      <c r="G2150" s="5">
        <v>2006.86</v>
      </c>
      <c r="H2150" s="5">
        <f t="shared" si="66"/>
        <v>2006.86</v>
      </c>
      <c r="I2150" s="9">
        <f t="shared" si="67"/>
        <v>0</v>
      </c>
      <c r="J2150" s="3" t="s">
        <v>4603</v>
      </c>
    </row>
    <row r="2151" spans="1:10" ht="25.5">
      <c r="A2151" s="3" t="s">
        <v>1811</v>
      </c>
      <c r="B2151" s="3" t="s">
        <v>3021</v>
      </c>
      <c r="C2151" s="4">
        <v>93</v>
      </c>
      <c r="D2151" s="3" t="s">
        <v>42</v>
      </c>
      <c r="E2151" s="3" t="s">
        <v>8</v>
      </c>
      <c r="F2151" s="5">
        <v>3947.34</v>
      </c>
      <c r="G2151" s="5">
        <v>0</v>
      </c>
      <c r="H2151" s="5">
        <f t="shared" si="66"/>
        <v>-3947.34</v>
      </c>
      <c r="I2151" s="9">
        <f t="shared" si="67"/>
        <v>-1</v>
      </c>
      <c r="J2151" s="3" t="s">
        <v>4603</v>
      </c>
    </row>
    <row r="2152" spans="1:10" ht="38.25">
      <c r="A2152" s="3" t="s">
        <v>1811</v>
      </c>
      <c r="B2152" s="3" t="s">
        <v>3022</v>
      </c>
      <c r="C2152" s="4">
        <v>292</v>
      </c>
      <c r="D2152" s="3" t="s">
        <v>619</v>
      </c>
      <c r="E2152" s="3" t="s">
        <v>30</v>
      </c>
      <c r="F2152" s="5">
        <v>3851.28</v>
      </c>
      <c r="G2152" s="5">
        <v>0</v>
      </c>
      <c r="H2152" s="5">
        <f t="shared" si="66"/>
        <v>-3851.28</v>
      </c>
      <c r="I2152" s="9">
        <f t="shared" si="67"/>
        <v>-1</v>
      </c>
      <c r="J2152" s="3" t="s">
        <v>4603</v>
      </c>
    </row>
    <row r="2153" spans="1:10">
      <c r="A2153" s="3" t="s">
        <v>1811</v>
      </c>
      <c r="B2153" s="3" t="s">
        <v>3023</v>
      </c>
      <c r="C2153" s="4">
        <v>231</v>
      </c>
      <c r="D2153" s="3" t="s">
        <v>89</v>
      </c>
      <c r="E2153" s="3" t="s">
        <v>8</v>
      </c>
      <c r="F2153" s="5">
        <v>5831.16</v>
      </c>
      <c r="G2153" s="5">
        <v>0</v>
      </c>
      <c r="H2153" s="5">
        <f t="shared" si="66"/>
        <v>-5831.16</v>
      </c>
      <c r="I2153" s="9">
        <f t="shared" si="67"/>
        <v>-1</v>
      </c>
      <c r="J2153" s="3" t="s">
        <v>4603</v>
      </c>
    </row>
    <row r="2154" spans="1:10" ht="25.5">
      <c r="A2154" s="3" t="s">
        <v>1811</v>
      </c>
      <c r="B2154" s="3" t="s">
        <v>3024</v>
      </c>
      <c r="C2154" s="4">
        <v>74</v>
      </c>
      <c r="D2154" s="3" t="s">
        <v>86</v>
      </c>
      <c r="E2154" s="3" t="s">
        <v>8</v>
      </c>
      <c r="F2154" s="5">
        <v>23282.67</v>
      </c>
      <c r="G2154" s="5">
        <v>0</v>
      </c>
      <c r="H2154" s="5">
        <f t="shared" si="66"/>
        <v>-23282.67</v>
      </c>
      <c r="I2154" s="9">
        <f t="shared" si="67"/>
        <v>-1</v>
      </c>
      <c r="J2154" s="3" t="s">
        <v>4603</v>
      </c>
    </row>
    <row r="2155" spans="1:10" ht="25.5">
      <c r="A2155" s="3" t="s">
        <v>1811</v>
      </c>
      <c r="B2155" s="3" t="s">
        <v>3025</v>
      </c>
      <c r="C2155" s="4">
        <v>208</v>
      </c>
      <c r="D2155" s="3" t="s">
        <v>58</v>
      </c>
      <c r="E2155" s="3" t="s">
        <v>13</v>
      </c>
      <c r="F2155" s="5">
        <v>7822.8</v>
      </c>
      <c r="G2155" s="5">
        <v>14056.56</v>
      </c>
      <c r="H2155" s="5">
        <f t="shared" si="66"/>
        <v>6233.7599999999993</v>
      </c>
      <c r="I2155" s="9">
        <f t="shared" si="67"/>
        <v>0.7968706856879888</v>
      </c>
      <c r="J2155" s="3" t="s">
        <v>4603</v>
      </c>
    </row>
    <row r="2156" spans="1:10" ht="38.25">
      <c r="A2156" s="3" t="s">
        <v>1811</v>
      </c>
      <c r="B2156" s="3" t="s">
        <v>3026</v>
      </c>
      <c r="C2156" s="4">
        <v>34</v>
      </c>
      <c r="D2156" s="3" t="s">
        <v>136</v>
      </c>
      <c r="E2156" s="3" t="s">
        <v>30</v>
      </c>
      <c r="F2156" s="5">
        <v>6238.92</v>
      </c>
      <c r="G2156" s="5">
        <v>0</v>
      </c>
      <c r="H2156" s="5">
        <f t="shared" si="66"/>
        <v>-6238.92</v>
      </c>
      <c r="I2156" s="9">
        <f t="shared" si="67"/>
        <v>-1</v>
      </c>
      <c r="J2156" s="3" t="s">
        <v>4603</v>
      </c>
    </row>
    <row r="2157" spans="1:10" ht="25.5">
      <c r="A2157" s="3" t="s">
        <v>1811</v>
      </c>
      <c r="B2157" s="3" t="s">
        <v>3027</v>
      </c>
      <c r="C2157" s="4">
        <v>299</v>
      </c>
      <c r="D2157" s="3" t="s">
        <v>246</v>
      </c>
      <c r="E2157" s="3" t="s">
        <v>30</v>
      </c>
      <c r="F2157" s="5">
        <v>2140.6799999999998</v>
      </c>
      <c r="G2157" s="5">
        <v>0</v>
      </c>
      <c r="H2157" s="5">
        <f t="shared" si="66"/>
        <v>-2140.6799999999998</v>
      </c>
      <c r="I2157" s="9">
        <f t="shared" si="67"/>
        <v>-1</v>
      </c>
      <c r="J2157" s="3" t="s">
        <v>4603</v>
      </c>
    </row>
    <row r="2158" spans="1:10" ht="25.5">
      <c r="A2158" s="3" t="s">
        <v>1811</v>
      </c>
      <c r="B2158" s="3" t="s">
        <v>3028</v>
      </c>
      <c r="C2158" s="4">
        <v>261</v>
      </c>
      <c r="D2158" s="3" t="s">
        <v>17</v>
      </c>
      <c r="E2158" s="3" t="s">
        <v>18</v>
      </c>
      <c r="F2158" s="5">
        <v>131323.85999999999</v>
      </c>
      <c r="G2158" s="5">
        <v>109607.504</v>
      </c>
      <c r="H2158" s="5">
        <f t="shared" si="66"/>
        <v>-21716.355999999985</v>
      </c>
      <c r="I2158" s="9">
        <f t="shared" si="67"/>
        <v>-0.16536489256407771</v>
      </c>
      <c r="J2158" s="3" t="s">
        <v>4603</v>
      </c>
    </row>
    <row r="2159" spans="1:10" ht="25.5">
      <c r="A2159" s="3" t="s">
        <v>1811</v>
      </c>
      <c r="B2159" s="3" t="s">
        <v>3029</v>
      </c>
      <c r="C2159" s="4">
        <v>273</v>
      </c>
      <c r="D2159" s="3" t="s">
        <v>771</v>
      </c>
      <c r="E2159" s="3" t="s">
        <v>13</v>
      </c>
      <c r="F2159" s="5">
        <v>3597.78</v>
      </c>
      <c r="G2159" s="5">
        <v>0</v>
      </c>
      <c r="H2159" s="5">
        <f t="shared" si="66"/>
        <v>-3597.78</v>
      </c>
      <c r="I2159" s="9">
        <f t="shared" si="67"/>
        <v>-1</v>
      </c>
      <c r="J2159" s="3" t="s">
        <v>4603</v>
      </c>
    </row>
    <row r="2160" spans="1:10" ht="25.5">
      <c r="A2160" s="3" t="s">
        <v>1811</v>
      </c>
      <c r="B2160" s="3" t="s">
        <v>3030</v>
      </c>
      <c r="C2160" s="4">
        <v>93</v>
      </c>
      <c r="D2160" s="3" t="s">
        <v>42</v>
      </c>
      <c r="E2160" s="3" t="s">
        <v>8</v>
      </c>
      <c r="F2160" s="5">
        <v>0</v>
      </c>
      <c r="G2160" s="5">
        <v>11885.91</v>
      </c>
      <c r="H2160" s="5">
        <f t="shared" si="66"/>
        <v>11885.91</v>
      </c>
      <c r="I2160" s="9">
        <f t="shared" si="67"/>
        <v>0</v>
      </c>
      <c r="J2160" s="3" t="s">
        <v>4603</v>
      </c>
    </row>
    <row r="2161" spans="1:10" ht="25.5">
      <c r="A2161" s="3" t="s">
        <v>1811</v>
      </c>
      <c r="B2161" s="3" t="s">
        <v>3031</v>
      </c>
      <c r="C2161" s="4">
        <v>335</v>
      </c>
      <c r="D2161" s="3" t="s">
        <v>7</v>
      </c>
      <c r="E2161" s="3" t="s">
        <v>8</v>
      </c>
      <c r="F2161" s="5">
        <v>0</v>
      </c>
      <c r="G2161" s="5">
        <v>14208.27</v>
      </c>
      <c r="H2161" s="5">
        <f t="shared" si="66"/>
        <v>14208.27</v>
      </c>
      <c r="I2161" s="9">
        <f t="shared" si="67"/>
        <v>0</v>
      </c>
      <c r="J2161" s="3" t="s">
        <v>4604</v>
      </c>
    </row>
    <row r="2162" spans="1:10" ht="25.5">
      <c r="A2162" s="3" t="s">
        <v>1811</v>
      </c>
      <c r="B2162" s="3" t="s">
        <v>3032</v>
      </c>
      <c r="C2162" s="4">
        <v>316</v>
      </c>
      <c r="D2162" s="3" t="s">
        <v>167</v>
      </c>
      <c r="E2162" s="3" t="s">
        <v>18</v>
      </c>
      <c r="F2162" s="5">
        <v>0</v>
      </c>
      <c r="G2162" s="5">
        <v>1318.5</v>
      </c>
      <c r="H2162" s="5">
        <f t="shared" si="66"/>
        <v>1318.5</v>
      </c>
      <c r="I2162" s="9">
        <f t="shared" si="67"/>
        <v>0</v>
      </c>
      <c r="J2162" s="3" t="s">
        <v>4603</v>
      </c>
    </row>
    <row r="2163" spans="1:10" ht="25.5">
      <c r="A2163" s="3" t="s">
        <v>1811</v>
      </c>
      <c r="B2163" s="3" t="s">
        <v>3033</v>
      </c>
      <c r="C2163" s="4">
        <v>93</v>
      </c>
      <c r="D2163" s="3" t="s">
        <v>42</v>
      </c>
      <c r="E2163" s="3" t="s">
        <v>8</v>
      </c>
      <c r="F2163" s="5">
        <v>10138.32</v>
      </c>
      <c r="G2163" s="5">
        <v>8241.6</v>
      </c>
      <c r="H2163" s="5">
        <f t="shared" si="66"/>
        <v>-1896.7199999999993</v>
      </c>
      <c r="I2163" s="9">
        <f t="shared" si="67"/>
        <v>-0.18708425064507728</v>
      </c>
      <c r="J2163" s="3" t="s">
        <v>4603</v>
      </c>
    </row>
    <row r="2164" spans="1:10" ht="25.5">
      <c r="A2164" s="3" t="s">
        <v>1811</v>
      </c>
      <c r="B2164" s="3" t="s">
        <v>3034</v>
      </c>
      <c r="C2164" s="4">
        <v>178</v>
      </c>
      <c r="D2164" s="3" t="s">
        <v>92</v>
      </c>
      <c r="E2164" s="3" t="s">
        <v>8</v>
      </c>
      <c r="F2164" s="5">
        <v>0</v>
      </c>
      <c r="G2164" s="5">
        <v>4179.12</v>
      </c>
      <c r="H2164" s="5">
        <f t="shared" si="66"/>
        <v>4179.12</v>
      </c>
      <c r="I2164" s="9">
        <f t="shared" si="67"/>
        <v>0</v>
      </c>
      <c r="J2164" s="3" t="s">
        <v>4603</v>
      </c>
    </row>
    <row r="2165" spans="1:10" ht="38.25">
      <c r="A2165" s="3" t="s">
        <v>1811</v>
      </c>
      <c r="B2165" s="3" t="s">
        <v>3035</v>
      </c>
      <c r="C2165" s="4">
        <v>264</v>
      </c>
      <c r="D2165" s="3" t="s">
        <v>632</v>
      </c>
      <c r="E2165" s="3" t="s">
        <v>18</v>
      </c>
      <c r="F2165" s="5">
        <v>4592.1899999999996</v>
      </c>
      <c r="G2165" s="5">
        <v>28469.119999999999</v>
      </c>
      <c r="H2165" s="5">
        <f t="shared" si="66"/>
        <v>23876.93</v>
      </c>
      <c r="I2165" s="9">
        <f t="shared" si="67"/>
        <v>5.1994647434012968</v>
      </c>
      <c r="J2165" s="3" t="s">
        <v>4603</v>
      </c>
    </row>
    <row r="2166" spans="1:10" ht="38.25">
      <c r="A2166" s="3" t="s">
        <v>1811</v>
      </c>
      <c r="B2166" s="3" t="s">
        <v>3035</v>
      </c>
      <c r="C2166" s="4">
        <v>264</v>
      </c>
      <c r="D2166" s="3" t="s">
        <v>632</v>
      </c>
      <c r="E2166" s="3" t="s">
        <v>22</v>
      </c>
      <c r="F2166" s="5">
        <v>4592.1899999999996</v>
      </c>
      <c r="G2166" s="5">
        <v>28469.119999999999</v>
      </c>
      <c r="H2166" s="5">
        <f t="shared" si="66"/>
        <v>23876.93</v>
      </c>
      <c r="I2166" s="9">
        <f t="shared" si="67"/>
        <v>5.1994647434012968</v>
      </c>
      <c r="J2166" s="3" t="s">
        <v>4603</v>
      </c>
    </row>
    <row r="2167" spans="1:10" ht="38.25">
      <c r="A2167" s="3" t="s">
        <v>1811</v>
      </c>
      <c r="B2167" s="3" t="s">
        <v>3035</v>
      </c>
      <c r="C2167" s="4">
        <v>264</v>
      </c>
      <c r="D2167" s="3" t="s">
        <v>632</v>
      </c>
      <c r="E2167" s="3" t="s">
        <v>8</v>
      </c>
      <c r="F2167" s="5">
        <v>4592.1899999999996</v>
      </c>
      <c r="G2167" s="5">
        <v>28469.119999999999</v>
      </c>
      <c r="H2167" s="5">
        <f t="shared" si="66"/>
        <v>23876.93</v>
      </c>
      <c r="I2167" s="9">
        <f t="shared" si="67"/>
        <v>5.1994647434012968</v>
      </c>
      <c r="J2167" s="3" t="s">
        <v>4603</v>
      </c>
    </row>
    <row r="2168" spans="1:10" ht="25.5">
      <c r="A2168" s="3" t="s">
        <v>1811</v>
      </c>
      <c r="B2168" s="3" t="s">
        <v>3036</v>
      </c>
      <c r="C2168" s="4">
        <v>267</v>
      </c>
      <c r="D2168" s="3" t="s">
        <v>417</v>
      </c>
      <c r="E2168" s="3" t="s">
        <v>13</v>
      </c>
      <c r="F2168" s="5">
        <v>9769.0499999999993</v>
      </c>
      <c r="G2168" s="5">
        <v>12702.96</v>
      </c>
      <c r="H2168" s="5">
        <f t="shared" si="66"/>
        <v>2933.91</v>
      </c>
      <c r="I2168" s="9">
        <f t="shared" si="67"/>
        <v>0.30032705329586817</v>
      </c>
      <c r="J2168" s="3" t="s">
        <v>4603</v>
      </c>
    </row>
    <row r="2169" spans="1:10" ht="25.5">
      <c r="A2169" s="3" t="s">
        <v>1811</v>
      </c>
      <c r="B2169" s="3" t="s">
        <v>3037</v>
      </c>
      <c r="C2169" s="4">
        <v>187</v>
      </c>
      <c r="D2169" s="3" t="s">
        <v>460</v>
      </c>
      <c r="E2169" s="3" t="s">
        <v>8</v>
      </c>
      <c r="F2169" s="5">
        <v>0</v>
      </c>
      <c r="G2169" s="5">
        <v>2669.64</v>
      </c>
      <c r="H2169" s="5">
        <f t="shared" si="66"/>
        <v>2669.64</v>
      </c>
      <c r="I2169" s="9">
        <f t="shared" si="67"/>
        <v>0</v>
      </c>
      <c r="J2169" s="3" t="s">
        <v>4603</v>
      </c>
    </row>
    <row r="2170" spans="1:10" ht="25.5">
      <c r="A2170" s="3" t="s">
        <v>1811</v>
      </c>
      <c r="B2170" s="3" t="s">
        <v>3038</v>
      </c>
      <c r="C2170" s="4">
        <v>232</v>
      </c>
      <c r="D2170" s="3" t="s">
        <v>95</v>
      </c>
      <c r="E2170" s="3" t="s">
        <v>13</v>
      </c>
      <c r="F2170" s="5">
        <v>0</v>
      </c>
      <c r="G2170" s="5">
        <v>24280.53</v>
      </c>
      <c r="H2170" s="5">
        <f t="shared" si="66"/>
        <v>24280.53</v>
      </c>
      <c r="I2170" s="9">
        <f t="shared" si="67"/>
        <v>0</v>
      </c>
      <c r="J2170" s="3" t="s">
        <v>4603</v>
      </c>
    </row>
    <row r="2171" spans="1:10" ht="25.5">
      <c r="A2171" s="3" t="s">
        <v>1811</v>
      </c>
      <c r="B2171" s="3" t="s">
        <v>3039</v>
      </c>
      <c r="C2171" s="4">
        <v>315</v>
      </c>
      <c r="D2171" s="3" t="s">
        <v>79</v>
      </c>
      <c r="E2171" s="3" t="s">
        <v>8</v>
      </c>
      <c r="F2171" s="5">
        <v>0</v>
      </c>
      <c r="G2171" s="5">
        <v>6449.55</v>
      </c>
      <c r="H2171" s="5">
        <f t="shared" si="66"/>
        <v>6449.55</v>
      </c>
      <c r="I2171" s="9">
        <f t="shared" si="67"/>
        <v>0</v>
      </c>
      <c r="J2171" s="3" t="s">
        <v>4603</v>
      </c>
    </row>
    <row r="2172" spans="1:10" ht="38.25">
      <c r="A2172" s="3" t="s">
        <v>1811</v>
      </c>
      <c r="B2172" s="3" t="s">
        <v>3040</v>
      </c>
      <c r="C2172" s="4">
        <v>218</v>
      </c>
      <c r="D2172" s="3" t="s">
        <v>155</v>
      </c>
      <c r="E2172" s="3" t="s">
        <v>13</v>
      </c>
      <c r="F2172" s="5">
        <v>5243.28</v>
      </c>
      <c r="G2172" s="5">
        <v>0</v>
      </c>
      <c r="H2172" s="5">
        <f t="shared" si="66"/>
        <v>-5243.28</v>
      </c>
      <c r="I2172" s="9">
        <f t="shared" si="67"/>
        <v>-1</v>
      </c>
      <c r="J2172" s="3" t="s">
        <v>4603</v>
      </c>
    </row>
    <row r="2173" spans="1:10" ht="25.5">
      <c r="A2173" s="3" t="s">
        <v>1811</v>
      </c>
      <c r="B2173" s="3" t="s">
        <v>3041</v>
      </c>
      <c r="C2173" s="4">
        <v>74</v>
      </c>
      <c r="D2173" s="3" t="s">
        <v>86</v>
      </c>
      <c r="E2173" s="3" t="s">
        <v>8</v>
      </c>
      <c r="F2173" s="5">
        <v>13551.78</v>
      </c>
      <c r="G2173" s="5">
        <v>14824.56</v>
      </c>
      <c r="H2173" s="5">
        <f t="shared" si="66"/>
        <v>1272.7799999999988</v>
      </c>
      <c r="I2173" s="9">
        <f t="shared" si="67"/>
        <v>9.3919765521577103E-2</v>
      </c>
      <c r="J2173" s="3" t="s">
        <v>4603</v>
      </c>
    </row>
    <row r="2174" spans="1:10" ht="25.5">
      <c r="A2174" s="3" t="s">
        <v>1811</v>
      </c>
      <c r="B2174" s="3" t="s">
        <v>3042</v>
      </c>
      <c r="C2174" s="4">
        <v>299</v>
      </c>
      <c r="D2174" s="3" t="s">
        <v>246</v>
      </c>
      <c r="E2174" s="3" t="s">
        <v>30</v>
      </c>
      <c r="F2174" s="5">
        <v>4211.22</v>
      </c>
      <c r="G2174" s="5">
        <v>9547.92</v>
      </c>
      <c r="H2174" s="5">
        <f t="shared" si="66"/>
        <v>5336.7</v>
      </c>
      <c r="I2174" s="9">
        <f t="shared" si="67"/>
        <v>1.2672574693319274</v>
      </c>
      <c r="J2174" s="3" t="s">
        <v>4603</v>
      </c>
    </row>
    <row r="2175" spans="1:10" ht="38.25">
      <c r="A2175" s="3" t="s">
        <v>1811</v>
      </c>
      <c r="B2175" s="3" t="s">
        <v>3043</v>
      </c>
      <c r="C2175" s="4">
        <v>45</v>
      </c>
      <c r="D2175" s="3" t="s">
        <v>16</v>
      </c>
      <c r="E2175" s="3" t="s">
        <v>8</v>
      </c>
      <c r="F2175" s="5">
        <v>15725.97</v>
      </c>
      <c r="G2175" s="5">
        <v>30754.53</v>
      </c>
      <c r="H2175" s="5">
        <f t="shared" si="66"/>
        <v>15028.56</v>
      </c>
      <c r="I2175" s="9">
        <f t="shared" si="67"/>
        <v>0.95565233813876027</v>
      </c>
      <c r="J2175" s="3" t="s">
        <v>4603</v>
      </c>
    </row>
    <row r="2176" spans="1:10" ht="25.5">
      <c r="A2176" s="3" t="s">
        <v>1811</v>
      </c>
      <c r="B2176" s="3" t="s">
        <v>3044</v>
      </c>
      <c r="C2176" s="4">
        <v>41</v>
      </c>
      <c r="D2176" s="3" t="s">
        <v>106</v>
      </c>
      <c r="E2176" s="3" t="s">
        <v>22</v>
      </c>
      <c r="F2176" s="5">
        <v>7136.82</v>
      </c>
      <c r="G2176" s="5">
        <v>8754</v>
      </c>
      <c r="H2176" s="5">
        <f t="shared" si="66"/>
        <v>1617.1800000000003</v>
      </c>
      <c r="I2176" s="9">
        <f t="shared" si="67"/>
        <v>0.22659671954736149</v>
      </c>
      <c r="J2176" s="3" t="s">
        <v>4603</v>
      </c>
    </row>
    <row r="2177" spans="1:10" ht="25.5">
      <c r="A2177" s="3" t="s">
        <v>1811</v>
      </c>
      <c r="B2177" s="3" t="s">
        <v>3045</v>
      </c>
      <c r="C2177" s="4">
        <v>53</v>
      </c>
      <c r="D2177" s="3" t="s">
        <v>340</v>
      </c>
      <c r="E2177" s="3" t="s">
        <v>13</v>
      </c>
      <c r="F2177" s="5">
        <v>15615.98</v>
      </c>
      <c r="G2177" s="5">
        <v>10233.24</v>
      </c>
      <c r="H2177" s="5">
        <f t="shared" si="66"/>
        <v>-5382.74</v>
      </c>
      <c r="I2177" s="9">
        <f t="shared" si="67"/>
        <v>-0.34469434515156905</v>
      </c>
      <c r="J2177" s="3" t="s">
        <v>4603</v>
      </c>
    </row>
    <row r="2178" spans="1:10" ht="38.25">
      <c r="A2178" s="3" t="s">
        <v>1811</v>
      </c>
      <c r="B2178" s="3" t="s">
        <v>3046</v>
      </c>
      <c r="C2178" s="4">
        <v>217</v>
      </c>
      <c r="D2178" s="3" t="s">
        <v>253</v>
      </c>
      <c r="E2178" s="3" t="s">
        <v>13</v>
      </c>
      <c r="F2178" s="5">
        <v>2997.45</v>
      </c>
      <c r="G2178" s="5">
        <v>10135.469999999999</v>
      </c>
      <c r="H2178" s="5">
        <f t="shared" si="66"/>
        <v>7138.0199999999995</v>
      </c>
      <c r="I2178" s="9">
        <f t="shared" si="67"/>
        <v>2.3813641595356052</v>
      </c>
      <c r="J2178" s="3" t="s">
        <v>4603</v>
      </c>
    </row>
    <row r="2179" spans="1:10" ht="25.5">
      <c r="A2179" s="3" t="s">
        <v>1811</v>
      </c>
      <c r="B2179" s="3" t="s">
        <v>3047</v>
      </c>
      <c r="C2179" s="4">
        <v>316</v>
      </c>
      <c r="D2179" s="3" t="s">
        <v>167</v>
      </c>
      <c r="E2179" s="3" t="s">
        <v>18</v>
      </c>
      <c r="F2179" s="5">
        <v>21837.360000000001</v>
      </c>
      <c r="G2179" s="5">
        <v>0</v>
      </c>
      <c r="H2179" s="5">
        <f t="shared" ref="H2179:H2242" si="68">G2179-F2179</f>
        <v>-21837.360000000001</v>
      </c>
      <c r="I2179" s="9">
        <f t="shared" ref="I2179:I2242" si="69">IFERROR(G2179/F2179-1,0)</f>
        <v>-1</v>
      </c>
      <c r="J2179" s="3" t="s">
        <v>4603</v>
      </c>
    </row>
    <row r="2180" spans="1:10" ht="25.5">
      <c r="A2180" s="3" t="s">
        <v>1811</v>
      </c>
      <c r="B2180" s="3" t="s">
        <v>3048</v>
      </c>
      <c r="C2180" s="4">
        <v>53</v>
      </c>
      <c r="D2180" s="3" t="s">
        <v>340</v>
      </c>
      <c r="E2180" s="3" t="s">
        <v>13</v>
      </c>
      <c r="F2180" s="5">
        <v>0</v>
      </c>
      <c r="G2180" s="5">
        <v>3195.6</v>
      </c>
      <c r="H2180" s="5">
        <f t="shared" si="68"/>
        <v>3195.6</v>
      </c>
      <c r="I2180" s="9">
        <f t="shared" si="69"/>
        <v>0</v>
      </c>
      <c r="J2180" s="3" t="s">
        <v>4603</v>
      </c>
    </row>
    <row r="2181" spans="1:10" ht="25.5">
      <c r="A2181" s="3" t="s">
        <v>1811</v>
      </c>
      <c r="B2181" s="3" t="s">
        <v>3049</v>
      </c>
      <c r="C2181" s="4">
        <v>273</v>
      </c>
      <c r="D2181" s="3" t="s">
        <v>771</v>
      </c>
      <c r="E2181" s="3" t="s">
        <v>13</v>
      </c>
      <c r="F2181" s="5">
        <v>0</v>
      </c>
      <c r="G2181" s="5">
        <v>4966.26</v>
      </c>
      <c r="H2181" s="5">
        <f t="shared" si="68"/>
        <v>4966.26</v>
      </c>
      <c r="I2181" s="9">
        <f t="shared" si="69"/>
        <v>0</v>
      </c>
      <c r="J2181" s="3" t="s">
        <v>4603</v>
      </c>
    </row>
    <row r="2182" spans="1:10" ht="38.25">
      <c r="A2182" s="3" t="s">
        <v>1811</v>
      </c>
      <c r="B2182" s="3" t="s">
        <v>3050</v>
      </c>
      <c r="C2182" s="4">
        <v>327</v>
      </c>
      <c r="D2182" s="3" t="s">
        <v>76</v>
      </c>
      <c r="E2182" s="3" t="s">
        <v>8</v>
      </c>
      <c r="F2182" s="5">
        <v>0</v>
      </c>
      <c r="G2182" s="5">
        <v>12530.4</v>
      </c>
      <c r="H2182" s="5">
        <f t="shared" si="68"/>
        <v>12530.4</v>
      </c>
      <c r="I2182" s="9">
        <f t="shared" si="69"/>
        <v>0</v>
      </c>
      <c r="J2182" s="3" t="s">
        <v>4603</v>
      </c>
    </row>
    <row r="2183" spans="1:10" ht="38.25">
      <c r="A2183" s="3" t="s">
        <v>1811</v>
      </c>
      <c r="B2183" s="3" t="s">
        <v>3051</v>
      </c>
      <c r="C2183" s="4">
        <v>143</v>
      </c>
      <c r="D2183" s="3" t="s">
        <v>21</v>
      </c>
      <c r="E2183" s="3" t="s">
        <v>22</v>
      </c>
      <c r="F2183" s="5">
        <v>16010.15</v>
      </c>
      <c r="G2183" s="5">
        <v>12304.01</v>
      </c>
      <c r="H2183" s="5">
        <f t="shared" si="68"/>
        <v>-3706.1399999999994</v>
      </c>
      <c r="I2183" s="9">
        <f t="shared" si="69"/>
        <v>-0.23148690049749687</v>
      </c>
      <c r="J2183" s="3" t="s">
        <v>4603</v>
      </c>
    </row>
    <row r="2184" spans="1:10" ht="25.5">
      <c r="A2184" s="3" t="s">
        <v>1811</v>
      </c>
      <c r="B2184" s="3" t="s">
        <v>3052</v>
      </c>
      <c r="C2184" s="4">
        <v>178</v>
      </c>
      <c r="D2184" s="3" t="s">
        <v>92</v>
      </c>
      <c r="E2184" s="3" t="s">
        <v>8</v>
      </c>
      <c r="F2184" s="5">
        <v>10594.32</v>
      </c>
      <c r="G2184" s="5">
        <v>13182.12</v>
      </c>
      <c r="H2184" s="5">
        <f t="shared" si="68"/>
        <v>2587.8000000000011</v>
      </c>
      <c r="I2184" s="9">
        <f t="shared" si="69"/>
        <v>0.24426296355027999</v>
      </c>
      <c r="J2184" s="3" t="s">
        <v>4603</v>
      </c>
    </row>
    <row r="2185" spans="1:10" ht="51">
      <c r="A2185" s="3" t="s">
        <v>1811</v>
      </c>
      <c r="B2185" s="3" t="s">
        <v>3053</v>
      </c>
      <c r="C2185" s="4">
        <v>282</v>
      </c>
      <c r="D2185" s="3" t="s">
        <v>298</v>
      </c>
      <c r="E2185" s="3" t="s">
        <v>9</v>
      </c>
      <c r="F2185" s="5">
        <v>9954.66</v>
      </c>
      <c r="G2185" s="5">
        <v>0</v>
      </c>
      <c r="H2185" s="5">
        <f t="shared" si="68"/>
        <v>-9954.66</v>
      </c>
      <c r="I2185" s="9">
        <f t="shared" si="69"/>
        <v>-1</v>
      </c>
      <c r="J2185" s="3" t="s">
        <v>4603</v>
      </c>
    </row>
    <row r="2186" spans="1:10" ht="25.5">
      <c r="A2186" s="3" t="s">
        <v>1811</v>
      </c>
      <c r="B2186" s="3" t="s">
        <v>3054</v>
      </c>
      <c r="C2186" s="4">
        <v>297</v>
      </c>
      <c r="D2186" s="3" t="s">
        <v>209</v>
      </c>
      <c r="E2186" s="3" t="s">
        <v>22</v>
      </c>
      <c r="F2186" s="5">
        <v>3145.48</v>
      </c>
      <c r="G2186" s="5">
        <v>0</v>
      </c>
      <c r="H2186" s="5">
        <f t="shared" si="68"/>
        <v>-3145.48</v>
      </c>
      <c r="I2186" s="9">
        <f t="shared" si="69"/>
        <v>-1</v>
      </c>
      <c r="J2186" s="3" t="s">
        <v>4603</v>
      </c>
    </row>
    <row r="2187" spans="1:10" ht="25.5">
      <c r="A2187" s="3" t="s">
        <v>1811</v>
      </c>
      <c r="B2187" s="3" t="s">
        <v>3055</v>
      </c>
      <c r="C2187" s="4">
        <v>217</v>
      </c>
      <c r="D2187" s="3" t="s">
        <v>253</v>
      </c>
      <c r="E2187" s="3" t="s">
        <v>13</v>
      </c>
      <c r="F2187" s="5">
        <v>2912.52</v>
      </c>
      <c r="G2187" s="5">
        <v>8700.56</v>
      </c>
      <c r="H2187" s="5">
        <f t="shared" si="68"/>
        <v>5788.0399999999991</v>
      </c>
      <c r="I2187" s="9">
        <f t="shared" si="69"/>
        <v>1.9872962245752817</v>
      </c>
      <c r="J2187" s="3" t="s">
        <v>4603</v>
      </c>
    </row>
    <row r="2188" spans="1:10" ht="25.5">
      <c r="A2188" s="3" t="s">
        <v>1811</v>
      </c>
      <c r="B2188" s="3" t="s">
        <v>3056</v>
      </c>
      <c r="C2188" s="4">
        <v>218</v>
      </c>
      <c r="D2188" s="3" t="s">
        <v>155</v>
      </c>
      <c r="E2188" s="3" t="s">
        <v>13</v>
      </c>
      <c r="F2188" s="5">
        <v>5159.28</v>
      </c>
      <c r="G2188" s="5">
        <v>0</v>
      </c>
      <c r="H2188" s="5">
        <f t="shared" si="68"/>
        <v>-5159.28</v>
      </c>
      <c r="I2188" s="9">
        <f t="shared" si="69"/>
        <v>-1</v>
      </c>
      <c r="J2188" s="3" t="s">
        <v>4603</v>
      </c>
    </row>
    <row r="2189" spans="1:10" ht="38.25">
      <c r="A2189" s="3" t="s">
        <v>1811</v>
      </c>
      <c r="B2189" s="3" t="s">
        <v>3057</v>
      </c>
      <c r="C2189" s="4">
        <v>331</v>
      </c>
      <c r="D2189" s="3" t="s">
        <v>1728</v>
      </c>
      <c r="E2189" s="3" t="s">
        <v>9</v>
      </c>
      <c r="F2189" s="5">
        <v>0</v>
      </c>
      <c r="G2189" s="5">
        <v>3922.2</v>
      </c>
      <c r="H2189" s="5">
        <f t="shared" si="68"/>
        <v>3922.2</v>
      </c>
      <c r="I2189" s="9">
        <f t="shared" si="69"/>
        <v>0</v>
      </c>
      <c r="J2189" s="3" t="s">
        <v>4603</v>
      </c>
    </row>
    <row r="2190" spans="1:10">
      <c r="A2190" s="3" t="s">
        <v>1811</v>
      </c>
      <c r="B2190" s="3" t="s">
        <v>3058</v>
      </c>
      <c r="C2190" s="4">
        <v>231</v>
      </c>
      <c r="D2190" s="3" t="s">
        <v>89</v>
      </c>
      <c r="E2190" s="3" t="s">
        <v>8</v>
      </c>
      <c r="F2190" s="5">
        <v>4331.28</v>
      </c>
      <c r="G2190" s="5">
        <v>0</v>
      </c>
      <c r="H2190" s="5">
        <f t="shared" si="68"/>
        <v>-4331.28</v>
      </c>
      <c r="I2190" s="9">
        <f t="shared" si="69"/>
        <v>-1</v>
      </c>
      <c r="J2190" s="3" t="s">
        <v>4603</v>
      </c>
    </row>
    <row r="2191" spans="1:10" ht="25.5">
      <c r="A2191" s="3" t="s">
        <v>1811</v>
      </c>
      <c r="B2191" s="3" t="s">
        <v>3059</v>
      </c>
      <c r="C2191" s="4">
        <v>315</v>
      </c>
      <c r="D2191" s="3" t="s">
        <v>79</v>
      </c>
      <c r="E2191" s="3" t="s">
        <v>8</v>
      </c>
      <c r="F2191" s="5">
        <v>7326.9</v>
      </c>
      <c r="G2191" s="5">
        <v>0</v>
      </c>
      <c r="H2191" s="5">
        <f t="shared" si="68"/>
        <v>-7326.9</v>
      </c>
      <c r="I2191" s="9">
        <f t="shared" si="69"/>
        <v>-1</v>
      </c>
      <c r="J2191" s="3" t="s">
        <v>4603</v>
      </c>
    </row>
    <row r="2192" spans="1:10" ht="38.25">
      <c r="A2192" s="3" t="s">
        <v>1811</v>
      </c>
      <c r="B2192" s="3" t="s">
        <v>3060</v>
      </c>
      <c r="C2192" s="4">
        <v>38</v>
      </c>
      <c r="D2192" s="3" t="s">
        <v>229</v>
      </c>
      <c r="E2192" s="3" t="s">
        <v>30</v>
      </c>
      <c r="F2192" s="5">
        <v>32666.55</v>
      </c>
      <c r="G2192" s="5">
        <v>33885.360000000001</v>
      </c>
      <c r="H2192" s="5">
        <f t="shared" si="68"/>
        <v>1218.8100000000013</v>
      </c>
      <c r="I2192" s="9">
        <f t="shared" si="69"/>
        <v>3.7310643456379688E-2</v>
      </c>
      <c r="J2192" s="3" t="s">
        <v>4603</v>
      </c>
    </row>
    <row r="2193" spans="1:10" ht="25.5">
      <c r="A2193" s="3" t="s">
        <v>1811</v>
      </c>
      <c r="B2193" s="3" t="s">
        <v>3061</v>
      </c>
      <c r="C2193" s="4">
        <v>217</v>
      </c>
      <c r="D2193" s="3" t="s">
        <v>253</v>
      </c>
      <c r="E2193" s="3" t="s">
        <v>13</v>
      </c>
      <c r="F2193" s="5">
        <v>5174.16</v>
      </c>
      <c r="G2193" s="5">
        <v>0</v>
      </c>
      <c r="H2193" s="5">
        <f t="shared" si="68"/>
        <v>-5174.16</v>
      </c>
      <c r="I2193" s="9">
        <f t="shared" si="69"/>
        <v>-1</v>
      </c>
      <c r="J2193" s="3" t="s">
        <v>4603</v>
      </c>
    </row>
    <row r="2194" spans="1:10" ht="38.25">
      <c r="A2194" s="3" t="s">
        <v>1811</v>
      </c>
      <c r="B2194" s="3" t="s">
        <v>3062</v>
      </c>
      <c r="C2194" s="4">
        <v>45</v>
      </c>
      <c r="D2194" s="3" t="s">
        <v>16</v>
      </c>
      <c r="E2194" s="3" t="s">
        <v>8</v>
      </c>
      <c r="F2194" s="5">
        <v>10416.24</v>
      </c>
      <c r="G2194" s="5">
        <v>18392.28</v>
      </c>
      <c r="H2194" s="5">
        <f t="shared" si="68"/>
        <v>7976.0399999999991</v>
      </c>
      <c r="I2194" s="9">
        <f t="shared" si="69"/>
        <v>0.76573120435013009</v>
      </c>
      <c r="J2194" s="3" t="s">
        <v>4603</v>
      </c>
    </row>
    <row r="2195" spans="1:10" ht="25.5">
      <c r="A2195" s="3" t="s">
        <v>1811</v>
      </c>
      <c r="B2195" s="3" t="s">
        <v>3063</v>
      </c>
      <c r="C2195" s="4">
        <v>232</v>
      </c>
      <c r="D2195" s="3" t="s">
        <v>95</v>
      </c>
      <c r="E2195" s="3" t="s">
        <v>13</v>
      </c>
      <c r="F2195" s="5">
        <v>0</v>
      </c>
      <c r="G2195" s="5">
        <v>8985.06</v>
      </c>
      <c r="H2195" s="5">
        <f t="shared" si="68"/>
        <v>8985.06</v>
      </c>
      <c r="I2195" s="9">
        <f t="shared" si="69"/>
        <v>0</v>
      </c>
      <c r="J2195" s="3" t="s">
        <v>4603</v>
      </c>
    </row>
    <row r="2196" spans="1:10" ht="25.5">
      <c r="A2196" s="3" t="s">
        <v>1811</v>
      </c>
      <c r="B2196" s="3" t="s">
        <v>3064</v>
      </c>
      <c r="C2196" s="4">
        <v>31</v>
      </c>
      <c r="D2196" s="3" t="s">
        <v>172</v>
      </c>
      <c r="E2196" s="3" t="s">
        <v>13</v>
      </c>
      <c r="F2196" s="5">
        <v>19958.400000000001</v>
      </c>
      <c r="G2196" s="5">
        <v>15480.96</v>
      </c>
      <c r="H2196" s="5">
        <f t="shared" si="68"/>
        <v>-4477.4400000000023</v>
      </c>
      <c r="I2196" s="9">
        <f t="shared" si="69"/>
        <v>-0.22433862433862439</v>
      </c>
      <c r="J2196" s="3" t="s">
        <v>4603</v>
      </c>
    </row>
    <row r="2197" spans="1:10" ht="25.5">
      <c r="A2197" s="3" t="s">
        <v>1811</v>
      </c>
      <c r="B2197" s="3" t="s">
        <v>3065</v>
      </c>
      <c r="C2197" s="4">
        <v>74</v>
      </c>
      <c r="D2197" s="3" t="s">
        <v>86</v>
      </c>
      <c r="E2197" s="3" t="s">
        <v>8</v>
      </c>
      <c r="F2197" s="5">
        <v>0</v>
      </c>
      <c r="G2197" s="5">
        <v>39812.879999999997</v>
      </c>
      <c r="H2197" s="5">
        <f t="shared" si="68"/>
        <v>39812.879999999997</v>
      </c>
      <c r="I2197" s="9">
        <f t="shared" si="69"/>
        <v>0</v>
      </c>
      <c r="J2197" s="3" t="s">
        <v>4603</v>
      </c>
    </row>
    <row r="2198" spans="1:10">
      <c r="A2198" s="3" t="s">
        <v>1811</v>
      </c>
      <c r="B2198" s="3" t="s">
        <v>3066</v>
      </c>
      <c r="C2198" s="4">
        <v>264</v>
      </c>
      <c r="D2198" s="3" t="s">
        <v>632</v>
      </c>
      <c r="E2198" s="3" t="s">
        <v>22</v>
      </c>
      <c r="F2198" s="5">
        <v>0</v>
      </c>
      <c r="G2198" s="5">
        <v>2283.1799999999998</v>
      </c>
      <c r="H2198" s="5">
        <f t="shared" si="68"/>
        <v>2283.1799999999998</v>
      </c>
      <c r="I2198" s="9">
        <f t="shared" si="69"/>
        <v>0</v>
      </c>
      <c r="J2198" s="3" t="s">
        <v>4603</v>
      </c>
    </row>
    <row r="2199" spans="1:10" ht="25.5">
      <c r="A2199" s="3" t="s">
        <v>1811</v>
      </c>
      <c r="B2199" s="3" t="s">
        <v>3067</v>
      </c>
      <c r="C2199" s="4">
        <v>270</v>
      </c>
      <c r="D2199" s="3" t="s">
        <v>312</v>
      </c>
      <c r="E2199" s="3" t="s">
        <v>30</v>
      </c>
      <c r="F2199" s="5">
        <v>5294.07</v>
      </c>
      <c r="G2199" s="5">
        <v>3668.1</v>
      </c>
      <c r="H2199" s="5">
        <f t="shared" si="68"/>
        <v>-1625.9699999999998</v>
      </c>
      <c r="I2199" s="9">
        <f t="shared" si="69"/>
        <v>-0.30713043084054426</v>
      </c>
      <c r="J2199" s="3" t="s">
        <v>4603</v>
      </c>
    </row>
    <row r="2200" spans="1:10" ht="25.5">
      <c r="A2200" s="3" t="s">
        <v>1811</v>
      </c>
      <c r="B2200" s="3" t="s">
        <v>3068</v>
      </c>
      <c r="C2200" s="4">
        <v>218</v>
      </c>
      <c r="D2200" s="3" t="s">
        <v>155</v>
      </c>
      <c r="E2200" s="3" t="s">
        <v>13</v>
      </c>
      <c r="F2200" s="5">
        <v>0</v>
      </c>
      <c r="G2200" s="5">
        <v>3542.22</v>
      </c>
      <c r="H2200" s="5">
        <f t="shared" si="68"/>
        <v>3542.22</v>
      </c>
      <c r="I2200" s="9">
        <f t="shared" si="69"/>
        <v>0</v>
      </c>
      <c r="J2200" s="3" t="s">
        <v>4603</v>
      </c>
    </row>
    <row r="2201" spans="1:10" ht="25.5">
      <c r="A2201" s="3" t="s">
        <v>1811</v>
      </c>
      <c r="B2201" s="3" t="s">
        <v>3069</v>
      </c>
      <c r="C2201" s="4">
        <v>74</v>
      </c>
      <c r="D2201" s="3" t="s">
        <v>86</v>
      </c>
      <c r="E2201" s="3" t="s">
        <v>8</v>
      </c>
      <c r="F2201" s="5">
        <v>35610.839999999997</v>
      </c>
      <c r="G2201" s="5">
        <v>0</v>
      </c>
      <c r="H2201" s="5">
        <f t="shared" si="68"/>
        <v>-35610.839999999997</v>
      </c>
      <c r="I2201" s="9">
        <f t="shared" si="69"/>
        <v>-1</v>
      </c>
      <c r="J2201" s="3" t="s">
        <v>4603</v>
      </c>
    </row>
    <row r="2202" spans="1:10" ht="25.5">
      <c r="A2202" s="3" t="s">
        <v>1811</v>
      </c>
      <c r="B2202" s="3" t="s">
        <v>3070</v>
      </c>
      <c r="C2202" s="4">
        <v>317</v>
      </c>
      <c r="D2202" s="3" t="s">
        <v>54</v>
      </c>
      <c r="E2202" s="3" t="s">
        <v>18</v>
      </c>
      <c r="F2202" s="5">
        <v>10282.379999999999</v>
      </c>
      <c r="G2202" s="5">
        <v>0</v>
      </c>
      <c r="H2202" s="5">
        <f t="shared" si="68"/>
        <v>-10282.379999999999</v>
      </c>
      <c r="I2202" s="9">
        <f t="shared" si="69"/>
        <v>-1</v>
      </c>
      <c r="J2202" s="3" t="s">
        <v>4603</v>
      </c>
    </row>
    <row r="2203" spans="1:10" ht="25.5">
      <c r="A2203" s="3" t="s">
        <v>1811</v>
      </c>
      <c r="B2203" s="3" t="s">
        <v>3071</v>
      </c>
      <c r="C2203" s="4">
        <v>74</v>
      </c>
      <c r="D2203" s="3" t="s">
        <v>86</v>
      </c>
      <c r="E2203" s="3" t="s">
        <v>8</v>
      </c>
      <c r="F2203" s="5">
        <v>4499.37</v>
      </c>
      <c r="G2203" s="5">
        <v>0</v>
      </c>
      <c r="H2203" s="5">
        <f t="shared" si="68"/>
        <v>-4499.37</v>
      </c>
      <c r="I2203" s="9">
        <f t="shared" si="69"/>
        <v>-1</v>
      </c>
      <c r="J2203" s="3" t="s">
        <v>4603</v>
      </c>
    </row>
    <row r="2204" spans="1:10" ht="25.5">
      <c r="A2204" s="3" t="s">
        <v>1811</v>
      </c>
      <c r="B2204" s="3" t="s">
        <v>3072</v>
      </c>
      <c r="C2204" s="4">
        <v>217</v>
      </c>
      <c r="D2204" s="3" t="s">
        <v>253</v>
      </c>
      <c r="E2204" s="3" t="s">
        <v>13</v>
      </c>
      <c r="F2204" s="5">
        <v>4809.4799999999996</v>
      </c>
      <c r="G2204" s="5">
        <v>28375.08</v>
      </c>
      <c r="H2204" s="5">
        <f t="shared" si="68"/>
        <v>23565.600000000002</v>
      </c>
      <c r="I2204" s="9">
        <f t="shared" si="69"/>
        <v>4.8998228498715051</v>
      </c>
      <c r="J2204" s="3" t="s">
        <v>4603</v>
      </c>
    </row>
    <row r="2205" spans="1:10" ht="25.5">
      <c r="A2205" s="3" t="s">
        <v>1811</v>
      </c>
      <c r="B2205" s="3" t="s">
        <v>3073</v>
      </c>
      <c r="C2205" s="4">
        <v>315</v>
      </c>
      <c r="D2205" s="3" t="s">
        <v>79</v>
      </c>
      <c r="E2205" s="3" t="s">
        <v>8</v>
      </c>
      <c r="F2205" s="5">
        <v>4841.22</v>
      </c>
      <c r="G2205" s="5">
        <v>0</v>
      </c>
      <c r="H2205" s="5">
        <f t="shared" si="68"/>
        <v>-4841.22</v>
      </c>
      <c r="I2205" s="9">
        <f t="shared" si="69"/>
        <v>-1</v>
      </c>
      <c r="J2205" s="3" t="s">
        <v>4603</v>
      </c>
    </row>
    <row r="2206" spans="1:10" ht="25.5">
      <c r="A2206" s="3" t="s">
        <v>1811</v>
      </c>
      <c r="B2206" s="3" t="s">
        <v>3074</v>
      </c>
      <c r="C2206" s="4">
        <v>61</v>
      </c>
      <c r="D2206" s="3" t="s">
        <v>114</v>
      </c>
      <c r="E2206" s="3" t="s">
        <v>30</v>
      </c>
      <c r="F2206" s="5">
        <v>4523.28</v>
      </c>
      <c r="G2206" s="5">
        <v>0</v>
      </c>
      <c r="H2206" s="5">
        <f t="shared" si="68"/>
        <v>-4523.28</v>
      </c>
      <c r="I2206" s="9">
        <f t="shared" si="69"/>
        <v>-1</v>
      </c>
      <c r="J2206" s="3" t="s">
        <v>4603</v>
      </c>
    </row>
    <row r="2207" spans="1:10" ht="38.25">
      <c r="A2207" s="3" t="s">
        <v>1811</v>
      </c>
      <c r="B2207" s="3" t="s">
        <v>3075</v>
      </c>
      <c r="C2207" s="4">
        <v>38</v>
      </c>
      <c r="D2207" s="3" t="s">
        <v>229</v>
      </c>
      <c r="E2207" s="3" t="s">
        <v>30</v>
      </c>
      <c r="F2207" s="5">
        <v>4753.32</v>
      </c>
      <c r="G2207" s="5">
        <v>2836.08</v>
      </c>
      <c r="H2207" s="5">
        <f t="shared" si="68"/>
        <v>-1917.2399999999998</v>
      </c>
      <c r="I2207" s="9">
        <f t="shared" si="69"/>
        <v>-0.40334755497210373</v>
      </c>
      <c r="J2207" s="3" t="s">
        <v>4603</v>
      </c>
    </row>
    <row r="2208" spans="1:10" ht="25.5">
      <c r="A2208" s="3" t="s">
        <v>1811</v>
      </c>
      <c r="B2208" s="3" t="s">
        <v>3076</v>
      </c>
      <c r="C2208" s="4">
        <v>19</v>
      </c>
      <c r="D2208" s="3" t="s">
        <v>53</v>
      </c>
      <c r="E2208" s="3" t="s">
        <v>22</v>
      </c>
      <c r="F2208" s="5">
        <v>17812.07</v>
      </c>
      <c r="G2208" s="5">
        <v>29820.78</v>
      </c>
      <c r="H2208" s="5">
        <f t="shared" si="68"/>
        <v>12008.71</v>
      </c>
      <c r="I2208" s="9">
        <f t="shared" si="69"/>
        <v>0.67418946815277492</v>
      </c>
      <c r="J2208" s="3" t="s">
        <v>4603</v>
      </c>
    </row>
    <row r="2209" spans="1:10" ht="25.5">
      <c r="A2209" s="3" t="s">
        <v>1811</v>
      </c>
      <c r="B2209" s="3" t="s">
        <v>3077</v>
      </c>
      <c r="C2209" s="4">
        <v>240</v>
      </c>
      <c r="D2209" s="3" t="s">
        <v>152</v>
      </c>
      <c r="E2209" s="3" t="s">
        <v>13</v>
      </c>
      <c r="F2209" s="5">
        <v>15603.6</v>
      </c>
      <c r="G2209" s="5">
        <v>13761.12</v>
      </c>
      <c r="H2209" s="5">
        <f t="shared" si="68"/>
        <v>-1842.4799999999996</v>
      </c>
      <c r="I2209" s="9">
        <f t="shared" si="69"/>
        <v>-0.11808044297469811</v>
      </c>
      <c r="J2209" s="3" t="s">
        <v>4603</v>
      </c>
    </row>
    <row r="2210" spans="1:10" ht="25.5">
      <c r="A2210" s="3" t="s">
        <v>1811</v>
      </c>
      <c r="B2210" s="3" t="s">
        <v>3078</v>
      </c>
      <c r="C2210" s="4">
        <v>261</v>
      </c>
      <c r="D2210" s="3" t="s">
        <v>17</v>
      </c>
      <c r="E2210" s="3" t="s">
        <v>18</v>
      </c>
      <c r="F2210" s="5">
        <v>0</v>
      </c>
      <c r="G2210" s="5">
        <v>9217.5</v>
      </c>
      <c r="H2210" s="5">
        <f t="shared" si="68"/>
        <v>9217.5</v>
      </c>
      <c r="I2210" s="9">
        <f t="shared" si="69"/>
        <v>0</v>
      </c>
      <c r="J2210" s="3" t="s">
        <v>4603</v>
      </c>
    </row>
    <row r="2211" spans="1:10" ht="25.5">
      <c r="A2211" s="3" t="s">
        <v>1811</v>
      </c>
      <c r="B2211" s="3" t="s">
        <v>3079</v>
      </c>
      <c r="C2211" s="4">
        <v>261</v>
      </c>
      <c r="D2211" s="3" t="s">
        <v>17</v>
      </c>
      <c r="E2211" s="3" t="s">
        <v>18</v>
      </c>
      <c r="F2211" s="5">
        <v>0</v>
      </c>
      <c r="G2211" s="5">
        <v>8208.66</v>
      </c>
      <c r="H2211" s="5">
        <f t="shared" si="68"/>
        <v>8208.66</v>
      </c>
      <c r="I2211" s="9">
        <f t="shared" si="69"/>
        <v>0</v>
      </c>
      <c r="J2211" s="3" t="s">
        <v>4603</v>
      </c>
    </row>
    <row r="2212" spans="1:10" ht="25.5">
      <c r="A2212" s="3" t="s">
        <v>1811</v>
      </c>
      <c r="B2212" s="3" t="s">
        <v>3080</v>
      </c>
      <c r="C2212" s="4">
        <v>19</v>
      </c>
      <c r="D2212" s="3" t="s">
        <v>53</v>
      </c>
      <c r="E2212" s="3" t="s">
        <v>22</v>
      </c>
      <c r="F2212" s="5">
        <v>5855.04</v>
      </c>
      <c r="G2212" s="5">
        <v>0</v>
      </c>
      <c r="H2212" s="5">
        <f t="shared" si="68"/>
        <v>-5855.04</v>
      </c>
      <c r="I2212" s="9">
        <f t="shared" si="69"/>
        <v>-1</v>
      </c>
      <c r="J2212" s="3" t="s">
        <v>4603</v>
      </c>
    </row>
    <row r="2213" spans="1:10" ht="25.5">
      <c r="A2213" s="3" t="s">
        <v>1811</v>
      </c>
      <c r="B2213" s="3" t="s">
        <v>3081</v>
      </c>
      <c r="C2213" s="4">
        <v>93</v>
      </c>
      <c r="D2213" s="3" t="s">
        <v>42</v>
      </c>
      <c r="E2213" s="3" t="s">
        <v>8</v>
      </c>
      <c r="F2213" s="5">
        <v>10705.35</v>
      </c>
      <c r="G2213" s="5">
        <v>0</v>
      </c>
      <c r="H2213" s="5">
        <f t="shared" si="68"/>
        <v>-10705.35</v>
      </c>
      <c r="I2213" s="9">
        <f t="shared" si="69"/>
        <v>-1</v>
      </c>
      <c r="J2213" s="3" t="s">
        <v>4603</v>
      </c>
    </row>
    <row r="2214" spans="1:10" ht="38.25">
      <c r="A2214" s="3" t="s">
        <v>1811</v>
      </c>
      <c r="B2214" s="3" t="s">
        <v>3082</v>
      </c>
      <c r="C2214" s="4">
        <v>143</v>
      </c>
      <c r="D2214" s="3" t="s">
        <v>21</v>
      </c>
      <c r="E2214" s="3" t="s">
        <v>22</v>
      </c>
      <c r="F2214" s="5">
        <v>14817.6</v>
      </c>
      <c r="G2214" s="5">
        <v>2396.88</v>
      </c>
      <c r="H2214" s="5">
        <f t="shared" si="68"/>
        <v>-12420.720000000001</v>
      </c>
      <c r="I2214" s="9">
        <f t="shared" si="69"/>
        <v>-0.83824101068999024</v>
      </c>
      <c r="J2214" s="3" t="s">
        <v>4603</v>
      </c>
    </row>
    <row r="2215" spans="1:10">
      <c r="A2215" s="3" t="s">
        <v>1811</v>
      </c>
      <c r="B2215" s="3" t="s">
        <v>3083</v>
      </c>
      <c r="C2215" s="4">
        <v>217</v>
      </c>
      <c r="D2215" s="3" t="s">
        <v>253</v>
      </c>
      <c r="E2215" s="3" t="s">
        <v>13</v>
      </c>
      <c r="F2215" s="5">
        <v>13656.12</v>
      </c>
      <c r="G2215" s="5">
        <v>5369.16</v>
      </c>
      <c r="H2215" s="5">
        <f t="shared" si="68"/>
        <v>-8286.9600000000009</v>
      </c>
      <c r="I2215" s="9">
        <f t="shared" si="69"/>
        <v>-0.60683122292422742</v>
      </c>
      <c r="J2215" s="3" t="s">
        <v>4603</v>
      </c>
    </row>
    <row r="2216" spans="1:10" ht="25.5">
      <c r="A2216" s="3" t="s">
        <v>1811</v>
      </c>
      <c r="B2216" s="3" t="s">
        <v>3084</v>
      </c>
      <c r="C2216" s="4">
        <v>217</v>
      </c>
      <c r="D2216" s="3" t="s">
        <v>253</v>
      </c>
      <c r="E2216" s="3" t="s">
        <v>13</v>
      </c>
      <c r="F2216" s="5">
        <v>5969.64</v>
      </c>
      <c r="G2216" s="5">
        <v>0</v>
      </c>
      <c r="H2216" s="5">
        <f t="shared" si="68"/>
        <v>-5969.64</v>
      </c>
      <c r="I2216" s="9">
        <f t="shared" si="69"/>
        <v>-1</v>
      </c>
      <c r="J2216" s="3" t="s">
        <v>4603</v>
      </c>
    </row>
    <row r="2217" spans="1:10" ht="25.5">
      <c r="A2217" s="3" t="s">
        <v>1811</v>
      </c>
      <c r="B2217" s="3" t="s">
        <v>3085</v>
      </c>
      <c r="C2217" s="4">
        <v>327</v>
      </c>
      <c r="D2217" s="3" t="s">
        <v>76</v>
      </c>
      <c r="E2217" s="3" t="s">
        <v>8</v>
      </c>
      <c r="F2217" s="5">
        <v>11676.27</v>
      </c>
      <c r="G2217" s="5">
        <v>0</v>
      </c>
      <c r="H2217" s="5">
        <f t="shared" si="68"/>
        <v>-11676.27</v>
      </c>
      <c r="I2217" s="9">
        <f t="shared" si="69"/>
        <v>-1</v>
      </c>
      <c r="J2217" s="3" t="s">
        <v>4603</v>
      </c>
    </row>
    <row r="2218" spans="1:10" ht="25.5">
      <c r="A2218" s="3" t="s">
        <v>1811</v>
      </c>
      <c r="B2218" s="3" t="s">
        <v>3086</v>
      </c>
      <c r="C2218" s="4">
        <v>31</v>
      </c>
      <c r="D2218" s="3" t="s">
        <v>172</v>
      </c>
      <c r="E2218" s="3" t="s">
        <v>13</v>
      </c>
      <c r="F2218" s="5">
        <v>14481.36</v>
      </c>
      <c r="G2218" s="5">
        <v>19470.84</v>
      </c>
      <c r="H2218" s="5">
        <f t="shared" si="68"/>
        <v>4989.4799999999996</v>
      </c>
      <c r="I2218" s="9">
        <f t="shared" si="69"/>
        <v>0.34454498748736295</v>
      </c>
      <c r="J2218" s="3" t="s">
        <v>4603</v>
      </c>
    </row>
    <row r="2219" spans="1:10" ht="25.5">
      <c r="A2219" s="3" t="s">
        <v>1811</v>
      </c>
      <c r="B2219" s="3" t="s">
        <v>3087</v>
      </c>
      <c r="C2219" s="4">
        <v>15</v>
      </c>
      <c r="D2219" s="3" t="s">
        <v>33</v>
      </c>
      <c r="E2219" s="3" t="s">
        <v>13</v>
      </c>
      <c r="F2219" s="5">
        <v>10965</v>
      </c>
      <c r="G2219" s="5">
        <v>0</v>
      </c>
      <c r="H2219" s="5">
        <f t="shared" si="68"/>
        <v>-10965</v>
      </c>
      <c r="I2219" s="9">
        <f t="shared" si="69"/>
        <v>-1</v>
      </c>
      <c r="J2219" s="3" t="s">
        <v>4603</v>
      </c>
    </row>
    <row r="2220" spans="1:10">
      <c r="A2220" s="3" t="s">
        <v>1811</v>
      </c>
      <c r="B2220" s="3" t="s">
        <v>3088</v>
      </c>
      <c r="C2220" s="4">
        <v>231</v>
      </c>
      <c r="D2220" s="3" t="s">
        <v>89</v>
      </c>
      <c r="E2220" s="3" t="s">
        <v>8</v>
      </c>
      <c r="F2220" s="5">
        <v>3980.85</v>
      </c>
      <c r="G2220" s="5">
        <v>43590.78</v>
      </c>
      <c r="H2220" s="5">
        <f t="shared" si="68"/>
        <v>39609.93</v>
      </c>
      <c r="I2220" s="9">
        <f t="shared" si="69"/>
        <v>9.9501186932439047</v>
      </c>
      <c r="J2220" s="3" t="s">
        <v>4603</v>
      </c>
    </row>
    <row r="2221" spans="1:10" ht="25.5">
      <c r="A2221" s="3" t="s">
        <v>1811</v>
      </c>
      <c r="B2221" s="3" t="s">
        <v>3089</v>
      </c>
      <c r="C2221" s="4">
        <v>31</v>
      </c>
      <c r="D2221" s="3" t="s">
        <v>172</v>
      </c>
      <c r="E2221" s="3" t="s">
        <v>13</v>
      </c>
      <c r="F2221" s="5">
        <v>16785</v>
      </c>
      <c r="G2221" s="5">
        <v>27639</v>
      </c>
      <c r="H2221" s="5">
        <f t="shared" si="68"/>
        <v>10854</v>
      </c>
      <c r="I2221" s="9">
        <f t="shared" si="69"/>
        <v>0.64664879356568372</v>
      </c>
      <c r="J2221" s="3" t="s">
        <v>4603</v>
      </c>
    </row>
    <row r="2222" spans="1:10" ht="25.5">
      <c r="A2222" s="3" t="s">
        <v>1811</v>
      </c>
      <c r="B2222" s="3" t="s">
        <v>3090</v>
      </c>
      <c r="C2222" s="4">
        <v>217</v>
      </c>
      <c r="D2222" s="3" t="s">
        <v>253</v>
      </c>
      <c r="E2222" s="3" t="s">
        <v>13</v>
      </c>
      <c r="F2222" s="5">
        <v>0</v>
      </c>
      <c r="G2222" s="5">
        <v>5502.48</v>
      </c>
      <c r="H2222" s="5">
        <f t="shared" si="68"/>
        <v>5502.48</v>
      </c>
      <c r="I2222" s="9">
        <f t="shared" si="69"/>
        <v>0</v>
      </c>
      <c r="J2222" s="3" t="s">
        <v>4603</v>
      </c>
    </row>
    <row r="2223" spans="1:10" ht="25.5">
      <c r="A2223" s="3" t="s">
        <v>1811</v>
      </c>
      <c r="B2223" s="3" t="s">
        <v>3091</v>
      </c>
      <c r="C2223" s="4">
        <v>340</v>
      </c>
      <c r="D2223" s="3" t="s">
        <v>2258</v>
      </c>
      <c r="E2223" s="3" t="s">
        <v>8</v>
      </c>
      <c r="F2223" s="5">
        <v>0</v>
      </c>
      <c r="G2223" s="5">
        <v>10651.74</v>
      </c>
      <c r="H2223" s="5">
        <f t="shared" si="68"/>
        <v>10651.74</v>
      </c>
      <c r="I2223" s="9">
        <f t="shared" si="69"/>
        <v>0</v>
      </c>
      <c r="J2223" s="3" t="s">
        <v>4603</v>
      </c>
    </row>
    <row r="2224" spans="1:10" ht="25.5">
      <c r="A2224" s="3" t="s">
        <v>1811</v>
      </c>
      <c r="B2224" s="3" t="s">
        <v>3092</v>
      </c>
      <c r="C2224" s="4">
        <v>217</v>
      </c>
      <c r="D2224" s="3" t="s">
        <v>253</v>
      </c>
      <c r="E2224" s="3" t="s">
        <v>13</v>
      </c>
      <c r="F2224" s="5">
        <v>5399.16</v>
      </c>
      <c r="G2224" s="5">
        <v>0</v>
      </c>
      <c r="H2224" s="5">
        <f t="shared" si="68"/>
        <v>-5399.16</v>
      </c>
      <c r="I2224" s="9">
        <f t="shared" si="69"/>
        <v>-1</v>
      </c>
      <c r="J2224" s="3" t="s">
        <v>4604</v>
      </c>
    </row>
    <row r="2225" spans="1:10">
      <c r="A2225" s="3" t="s">
        <v>1811</v>
      </c>
      <c r="B2225" s="3" t="s">
        <v>3093</v>
      </c>
      <c r="C2225" s="4">
        <v>315</v>
      </c>
      <c r="D2225" s="3" t="s">
        <v>79</v>
      </c>
      <c r="E2225" s="3" t="s">
        <v>8</v>
      </c>
      <c r="F2225" s="5">
        <v>4997.0200000000004</v>
      </c>
      <c r="G2225" s="5">
        <v>0</v>
      </c>
      <c r="H2225" s="5">
        <f t="shared" si="68"/>
        <v>-4997.0200000000004</v>
      </c>
      <c r="I2225" s="9">
        <f t="shared" si="69"/>
        <v>-1</v>
      </c>
      <c r="J2225" s="3" t="s">
        <v>4604</v>
      </c>
    </row>
    <row r="2226" spans="1:10" ht="25.5">
      <c r="A2226" s="3" t="s">
        <v>1811</v>
      </c>
      <c r="B2226" s="3" t="s">
        <v>3094</v>
      </c>
      <c r="C2226" s="4">
        <v>261</v>
      </c>
      <c r="D2226" s="3" t="s">
        <v>17</v>
      </c>
      <c r="E2226" s="3" t="s">
        <v>18</v>
      </c>
      <c r="F2226" s="5">
        <v>4537.4399999999996</v>
      </c>
      <c r="G2226" s="5">
        <v>0</v>
      </c>
      <c r="H2226" s="5">
        <f t="shared" si="68"/>
        <v>-4537.4399999999996</v>
      </c>
      <c r="I2226" s="9">
        <f t="shared" si="69"/>
        <v>-1</v>
      </c>
      <c r="J2226" s="3" t="s">
        <v>4603</v>
      </c>
    </row>
    <row r="2227" spans="1:10" ht="51">
      <c r="A2227" s="3" t="s">
        <v>1811</v>
      </c>
      <c r="B2227" s="3" t="s">
        <v>3095</v>
      </c>
      <c r="C2227" s="4">
        <v>282</v>
      </c>
      <c r="D2227" s="3" t="s">
        <v>298</v>
      </c>
      <c r="E2227" s="3" t="s">
        <v>9</v>
      </c>
      <c r="F2227" s="5">
        <v>1565.28</v>
      </c>
      <c r="G2227" s="5">
        <v>0</v>
      </c>
      <c r="H2227" s="5">
        <f t="shared" si="68"/>
        <v>-1565.28</v>
      </c>
      <c r="I2227" s="9">
        <f t="shared" si="69"/>
        <v>-1</v>
      </c>
      <c r="J2227" s="3" t="s">
        <v>4603</v>
      </c>
    </row>
    <row r="2228" spans="1:10" ht="25.5">
      <c r="A2228" s="3" t="s">
        <v>1811</v>
      </c>
      <c r="B2228" s="3" t="s">
        <v>3096</v>
      </c>
      <c r="C2228" s="4">
        <v>217</v>
      </c>
      <c r="D2228" s="3" t="s">
        <v>253</v>
      </c>
      <c r="E2228" s="3" t="s">
        <v>13</v>
      </c>
      <c r="F2228" s="5">
        <v>0</v>
      </c>
      <c r="G2228" s="5">
        <v>2662.08</v>
      </c>
      <c r="H2228" s="5">
        <f t="shared" si="68"/>
        <v>2662.08</v>
      </c>
      <c r="I2228" s="9">
        <f t="shared" si="69"/>
        <v>0</v>
      </c>
      <c r="J2228" s="3" t="s">
        <v>4604</v>
      </c>
    </row>
    <row r="2229" spans="1:10" ht="25.5">
      <c r="A2229" s="3" t="s">
        <v>1811</v>
      </c>
      <c r="B2229" s="3" t="s">
        <v>3097</v>
      </c>
      <c r="C2229" s="4">
        <v>267</v>
      </c>
      <c r="D2229" s="3" t="s">
        <v>417</v>
      </c>
      <c r="E2229" s="3" t="s">
        <v>13</v>
      </c>
      <c r="F2229" s="5">
        <v>0</v>
      </c>
      <c r="G2229" s="5">
        <v>4959</v>
      </c>
      <c r="H2229" s="5">
        <f t="shared" si="68"/>
        <v>4959</v>
      </c>
      <c r="I2229" s="9">
        <f t="shared" si="69"/>
        <v>0</v>
      </c>
      <c r="J2229" s="3" t="s">
        <v>4603</v>
      </c>
    </row>
    <row r="2230" spans="1:10" ht="38.25">
      <c r="A2230" s="3" t="s">
        <v>1811</v>
      </c>
      <c r="B2230" s="3" t="s">
        <v>3098</v>
      </c>
      <c r="C2230" s="4">
        <v>301</v>
      </c>
      <c r="D2230" s="3" t="s">
        <v>12</v>
      </c>
      <c r="E2230" s="3" t="s">
        <v>13</v>
      </c>
      <c r="F2230" s="5">
        <v>6892.95</v>
      </c>
      <c r="G2230" s="5">
        <v>0</v>
      </c>
      <c r="H2230" s="5">
        <f t="shared" si="68"/>
        <v>-6892.95</v>
      </c>
      <c r="I2230" s="9">
        <f t="shared" si="69"/>
        <v>-1</v>
      </c>
      <c r="J2230" s="3" t="s">
        <v>4603</v>
      </c>
    </row>
    <row r="2231" spans="1:10" ht="25.5">
      <c r="A2231" s="3" t="s">
        <v>1811</v>
      </c>
      <c r="B2231" s="3" t="s">
        <v>3099</v>
      </c>
      <c r="C2231" s="4">
        <v>15</v>
      </c>
      <c r="D2231" s="3" t="s">
        <v>33</v>
      </c>
      <c r="E2231" s="3" t="s">
        <v>13</v>
      </c>
      <c r="F2231" s="5">
        <v>38855.279999999999</v>
      </c>
      <c r="G2231" s="5">
        <v>34029.599999999999</v>
      </c>
      <c r="H2231" s="5">
        <f t="shared" si="68"/>
        <v>-4825.68</v>
      </c>
      <c r="I2231" s="9">
        <f t="shared" si="69"/>
        <v>-0.12419624823190056</v>
      </c>
      <c r="J2231" s="3" t="s">
        <v>4603</v>
      </c>
    </row>
    <row r="2232" spans="1:10" ht="25.5">
      <c r="A2232" s="3" t="s">
        <v>1811</v>
      </c>
      <c r="B2232" s="3" t="s">
        <v>3100</v>
      </c>
      <c r="C2232" s="4">
        <v>93</v>
      </c>
      <c r="D2232" s="3" t="s">
        <v>42</v>
      </c>
      <c r="E2232" s="3" t="s">
        <v>8</v>
      </c>
      <c r="F2232" s="5">
        <v>0</v>
      </c>
      <c r="G2232" s="5">
        <v>6619.8</v>
      </c>
      <c r="H2232" s="5">
        <f t="shared" si="68"/>
        <v>6619.8</v>
      </c>
      <c r="I2232" s="9">
        <f t="shared" si="69"/>
        <v>0</v>
      </c>
      <c r="J2232" s="3" t="s">
        <v>4603</v>
      </c>
    </row>
    <row r="2233" spans="1:10" ht="25.5">
      <c r="A2233" s="3" t="s">
        <v>1811</v>
      </c>
      <c r="B2233" s="3" t="s">
        <v>3101</v>
      </c>
      <c r="C2233" s="4">
        <v>208</v>
      </c>
      <c r="D2233" s="3" t="s">
        <v>58</v>
      </c>
      <c r="E2233" s="3" t="s">
        <v>13</v>
      </c>
      <c r="F2233" s="5">
        <v>19424.52</v>
      </c>
      <c r="G2233" s="5">
        <v>14379.12</v>
      </c>
      <c r="H2233" s="5">
        <f t="shared" si="68"/>
        <v>-5045.3999999999996</v>
      </c>
      <c r="I2233" s="9">
        <f t="shared" si="69"/>
        <v>-0.25974387011879829</v>
      </c>
      <c r="J2233" s="3" t="s">
        <v>4603</v>
      </c>
    </row>
    <row r="2234" spans="1:10">
      <c r="A2234" s="3" t="s">
        <v>1811</v>
      </c>
      <c r="B2234" s="3" t="s">
        <v>3102</v>
      </c>
      <c r="C2234" s="4">
        <v>232</v>
      </c>
      <c r="D2234" s="3" t="s">
        <v>95</v>
      </c>
      <c r="E2234" s="3" t="s">
        <v>13</v>
      </c>
      <c r="F2234" s="5">
        <v>0</v>
      </c>
      <c r="G2234" s="5">
        <v>8845.86</v>
      </c>
      <c r="H2234" s="5">
        <f t="shared" si="68"/>
        <v>8845.86</v>
      </c>
      <c r="I2234" s="9">
        <f t="shared" si="69"/>
        <v>0</v>
      </c>
      <c r="J2234" s="3" t="s">
        <v>4603</v>
      </c>
    </row>
    <row r="2235" spans="1:10" ht="25.5">
      <c r="A2235" s="3" t="s">
        <v>1811</v>
      </c>
      <c r="B2235" s="3" t="s">
        <v>3103</v>
      </c>
      <c r="C2235" s="4">
        <v>31</v>
      </c>
      <c r="D2235" s="3" t="s">
        <v>172</v>
      </c>
      <c r="E2235" s="3" t="s">
        <v>13</v>
      </c>
      <c r="F2235" s="5">
        <v>3695.16</v>
      </c>
      <c r="G2235" s="5">
        <v>0</v>
      </c>
      <c r="H2235" s="5">
        <f t="shared" si="68"/>
        <v>-3695.16</v>
      </c>
      <c r="I2235" s="9">
        <f t="shared" si="69"/>
        <v>-1</v>
      </c>
      <c r="J2235" s="3" t="s">
        <v>4603</v>
      </c>
    </row>
    <row r="2236" spans="1:10">
      <c r="A2236" s="3" t="s">
        <v>1811</v>
      </c>
      <c r="B2236" s="3" t="s">
        <v>3104</v>
      </c>
      <c r="C2236" s="4">
        <v>15</v>
      </c>
      <c r="D2236" s="3" t="s">
        <v>33</v>
      </c>
      <c r="E2236" s="3" t="s">
        <v>13</v>
      </c>
      <c r="F2236" s="5">
        <v>10162.32</v>
      </c>
      <c r="G2236" s="5">
        <v>24396.48</v>
      </c>
      <c r="H2236" s="5">
        <f t="shared" si="68"/>
        <v>14234.16</v>
      </c>
      <c r="I2236" s="9">
        <f t="shared" si="69"/>
        <v>1.4006801596485841</v>
      </c>
      <c r="J2236" s="3" t="s">
        <v>4603</v>
      </c>
    </row>
    <row r="2237" spans="1:10" ht="25.5">
      <c r="A2237" s="3" t="s">
        <v>1811</v>
      </c>
      <c r="B2237" s="3" t="s">
        <v>3105</v>
      </c>
      <c r="C2237" s="4">
        <v>194</v>
      </c>
      <c r="D2237" s="3" t="s">
        <v>179</v>
      </c>
      <c r="E2237" s="3" t="s">
        <v>13</v>
      </c>
      <c r="F2237" s="5">
        <v>0</v>
      </c>
      <c r="G2237" s="5">
        <v>17321.04</v>
      </c>
      <c r="H2237" s="5">
        <f t="shared" si="68"/>
        <v>17321.04</v>
      </c>
      <c r="I2237" s="9">
        <f t="shared" si="69"/>
        <v>0</v>
      </c>
      <c r="J2237" s="3" t="s">
        <v>4603</v>
      </c>
    </row>
    <row r="2238" spans="1:10" ht="25.5">
      <c r="A2238" s="3" t="s">
        <v>1811</v>
      </c>
      <c r="B2238" s="3" t="s">
        <v>3106</v>
      </c>
      <c r="C2238" s="4">
        <v>267</v>
      </c>
      <c r="D2238" s="3" t="s">
        <v>417</v>
      </c>
      <c r="E2238" s="3" t="s">
        <v>13</v>
      </c>
      <c r="F2238" s="5">
        <v>3167.28</v>
      </c>
      <c r="G2238" s="5">
        <v>5267.04</v>
      </c>
      <c r="H2238" s="5">
        <f t="shared" si="68"/>
        <v>2099.7599999999998</v>
      </c>
      <c r="I2238" s="9">
        <f t="shared" si="69"/>
        <v>0.66295370159884803</v>
      </c>
      <c r="J2238" s="3" t="s">
        <v>4603</v>
      </c>
    </row>
    <row r="2239" spans="1:10">
      <c r="A2239" s="3" t="s">
        <v>1811</v>
      </c>
      <c r="B2239" s="3" t="s">
        <v>3107</v>
      </c>
      <c r="C2239" s="4">
        <v>315</v>
      </c>
      <c r="D2239" s="3" t="s">
        <v>79</v>
      </c>
      <c r="E2239" s="3" t="s">
        <v>8</v>
      </c>
      <c r="F2239" s="5">
        <v>4895.16</v>
      </c>
      <c r="G2239" s="5">
        <v>0</v>
      </c>
      <c r="H2239" s="5">
        <f t="shared" si="68"/>
        <v>-4895.16</v>
      </c>
      <c r="I2239" s="9">
        <f t="shared" si="69"/>
        <v>-1</v>
      </c>
      <c r="J2239" s="3" t="s">
        <v>4603</v>
      </c>
    </row>
    <row r="2240" spans="1:10" ht="25.5">
      <c r="A2240" s="3" t="s">
        <v>1811</v>
      </c>
      <c r="B2240" s="3" t="s">
        <v>3108</v>
      </c>
      <c r="C2240" s="4">
        <v>266</v>
      </c>
      <c r="D2240" s="3" t="s">
        <v>111</v>
      </c>
      <c r="E2240" s="3" t="s">
        <v>18</v>
      </c>
      <c r="F2240" s="5">
        <v>0</v>
      </c>
      <c r="G2240" s="5">
        <v>20194.650000000001</v>
      </c>
      <c r="H2240" s="5">
        <f t="shared" si="68"/>
        <v>20194.650000000001</v>
      </c>
      <c r="I2240" s="9">
        <f t="shared" si="69"/>
        <v>0</v>
      </c>
      <c r="J2240" s="3" t="s">
        <v>4603</v>
      </c>
    </row>
    <row r="2241" spans="1:10" ht="38.25">
      <c r="A2241" s="3" t="s">
        <v>1811</v>
      </c>
      <c r="B2241" s="3" t="s">
        <v>3109</v>
      </c>
      <c r="C2241" s="4">
        <v>371</v>
      </c>
      <c r="D2241" s="3" t="s">
        <v>29</v>
      </c>
      <c r="E2241" s="3" t="s">
        <v>30</v>
      </c>
      <c r="F2241" s="5">
        <v>2639.4</v>
      </c>
      <c r="G2241" s="5">
        <v>0</v>
      </c>
      <c r="H2241" s="5">
        <f t="shared" si="68"/>
        <v>-2639.4</v>
      </c>
      <c r="I2241" s="9">
        <f t="shared" si="69"/>
        <v>-1</v>
      </c>
      <c r="J2241" s="3" t="s">
        <v>4603</v>
      </c>
    </row>
    <row r="2242" spans="1:10" ht="25.5">
      <c r="A2242" s="3" t="s">
        <v>1811</v>
      </c>
      <c r="B2242" s="3" t="s">
        <v>3110</v>
      </c>
      <c r="C2242" s="4">
        <v>231</v>
      </c>
      <c r="D2242" s="3" t="s">
        <v>89</v>
      </c>
      <c r="E2242" s="3" t="s">
        <v>8</v>
      </c>
      <c r="F2242" s="5">
        <v>3302.28</v>
      </c>
      <c r="G2242" s="5">
        <v>0</v>
      </c>
      <c r="H2242" s="5">
        <f t="shared" si="68"/>
        <v>-3302.28</v>
      </c>
      <c r="I2242" s="9">
        <f t="shared" si="69"/>
        <v>-1</v>
      </c>
      <c r="J2242" s="3" t="s">
        <v>4603</v>
      </c>
    </row>
    <row r="2243" spans="1:10" ht="38.25">
      <c r="A2243" s="3" t="s">
        <v>1811</v>
      </c>
      <c r="B2243" s="3" t="s">
        <v>3111</v>
      </c>
      <c r="C2243" s="4">
        <v>143</v>
      </c>
      <c r="D2243" s="3" t="s">
        <v>21</v>
      </c>
      <c r="E2243" s="3" t="s">
        <v>22</v>
      </c>
      <c r="F2243" s="5">
        <v>9310.56</v>
      </c>
      <c r="G2243" s="5">
        <v>0</v>
      </c>
      <c r="H2243" s="5">
        <f t="shared" ref="H2243:H2306" si="70">G2243-F2243</f>
        <v>-9310.56</v>
      </c>
      <c r="I2243" s="9">
        <f t="shared" ref="I2243:I2306" si="71">IFERROR(G2243/F2243-1,0)</f>
        <v>-1</v>
      </c>
      <c r="J2243" s="3" t="s">
        <v>4604</v>
      </c>
    </row>
    <row r="2244" spans="1:10">
      <c r="A2244" s="3" t="s">
        <v>1811</v>
      </c>
      <c r="B2244" s="3" t="s">
        <v>3112</v>
      </c>
      <c r="C2244" s="4">
        <v>217</v>
      </c>
      <c r="D2244" s="3" t="s">
        <v>253</v>
      </c>
      <c r="E2244" s="3" t="s">
        <v>13</v>
      </c>
      <c r="F2244" s="5">
        <v>41028.18</v>
      </c>
      <c r="G2244" s="5">
        <v>9888.2999999999993</v>
      </c>
      <c r="H2244" s="5">
        <f t="shared" si="70"/>
        <v>-31139.88</v>
      </c>
      <c r="I2244" s="9">
        <f t="shared" si="71"/>
        <v>-0.75898760315470981</v>
      </c>
      <c r="J2244" s="3" t="s">
        <v>4603</v>
      </c>
    </row>
    <row r="2245" spans="1:10" ht="25.5">
      <c r="A2245" s="3" t="s">
        <v>1811</v>
      </c>
      <c r="B2245" s="3" t="s">
        <v>3113</v>
      </c>
      <c r="C2245" s="4">
        <v>320</v>
      </c>
      <c r="D2245" s="3" t="s">
        <v>188</v>
      </c>
      <c r="E2245" s="3" t="s">
        <v>30</v>
      </c>
      <c r="F2245" s="5">
        <v>10102.200000000001</v>
      </c>
      <c r="G2245" s="5">
        <v>0</v>
      </c>
      <c r="H2245" s="5">
        <f t="shared" si="70"/>
        <v>-10102.200000000001</v>
      </c>
      <c r="I2245" s="9">
        <f t="shared" si="71"/>
        <v>-1</v>
      </c>
      <c r="J2245" s="3" t="s">
        <v>4603</v>
      </c>
    </row>
    <row r="2246" spans="1:10">
      <c r="A2246" s="3" t="s">
        <v>1811</v>
      </c>
      <c r="B2246" s="3" t="s">
        <v>3114</v>
      </c>
      <c r="C2246" s="4">
        <v>217</v>
      </c>
      <c r="D2246" s="3" t="s">
        <v>253</v>
      </c>
      <c r="E2246" s="3" t="s">
        <v>13</v>
      </c>
      <c r="F2246" s="5">
        <v>4038.48</v>
      </c>
      <c r="G2246" s="5">
        <v>0</v>
      </c>
      <c r="H2246" s="5">
        <f t="shared" si="70"/>
        <v>-4038.48</v>
      </c>
      <c r="I2246" s="9">
        <f t="shared" si="71"/>
        <v>-1</v>
      </c>
      <c r="J2246" s="3" t="s">
        <v>4603</v>
      </c>
    </row>
    <row r="2247" spans="1:10" ht="25.5">
      <c r="A2247" s="3" t="s">
        <v>1811</v>
      </c>
      <c r="B2247" s="3" t="s">
        <v>3115</v>
      </c>
      <c r="C2247" s="4">
        <v>31</v>
      </c>
      <c r="D2247" s="3" t="s">
        <v>172</v>
      </c>
      <c r="E2247" s="3" t="s">
        <v>13</v>
      </c>
      <c r="F2247" s="5">
        <v>9370.89</v>
      </c>
      <c r="G2247" s="5">
        <v>0</v>
      </c>
      <c r="H2247" s="5">
        <f t="shared" si="70"/>
        <v>-9370.89</v>
      </c>
      <c r="I2247" s="9">
        <f t="shared" si="71"/>
        <v>-1</v>
      </c>
      <c r="J2247" s="3" t="s">
        <v>4603</v>
      </c>
    </row>
    <row r="2248" spans="1:10" ht="25.5">
      <c r="A2248" s="3" t="s">
        <v>1811</v>
      </c>
      <c r="B2248" s="3" t="s">
        <v>3116</v>
      </c>
      <c r="C2248" s="4">
        <v>266</v>
      </c>
      <c r="D2248" s="3" t="s">
        <v>111</v>
      </c>
      <c r="E2248" s="3" t="s">
        <v>18</v>
      </c>
      <c r="F2248" s="5">
        <v>13911.72</v>
      </c>
      <c r="G2248" s="5">
        <v>9902.8799999999992</v>
      </c>
      <c r="H2248" s="5">
        <f t="shared" si="70"/>
        <v>-4008.84</v>
      </c>
      <c r="I2248" s="9">
        <f t="shared" si="71"/>
        <v>-0.28816278648506444</v>
      </c>
      <c r="J2248" s="3" t="s">
        <v>4603</v>
      </c>
    </row>
    <row r="2249" spans="1:10">
      <c r="A2249" s="3" t="s">
        <v>1811</v>
      </c>
      <c r="B2249" s="3" t="s">
        <v>3117</v>
      </c>
      <c r="C2249" s="4">
        <v>217</v>
      </c>
      <c r="D2249" s="3" t="s">
        <v>253</v>
      </c>
      <c r="E2249" s="3" t="s">
        <v>13</v>
      </c>
      <c r="F2249" s="5">
        <v>51720.57</v>
      </c>
      <c r="G2249" s="5">
        <v>0</v>
      </c>
      <c r="H2249" s="5">
        <f t="shared" si="70"/>
        <v>-51720.57</v>
      </c>
      <c r="I2249" s="9">
        <f t="shared" si="71"/>
        <v>-1</v>
      </c>
      <c r="J2249" s="3" t="s">
        <v>4604</v>
      </c>
    </row>
    <row r="2250" spans="1:10" ht="25.5">
      <c r="A2250" s="3" t="s">
        <v>1811</v>
      </c>
      <c r="B2250" s="3" t="s">
        <v>3118</v>
      </c>
      <c r="C2250" s="4">
        <v>232</v>
      </c>
      <c r="D2250" s="3" t="s">
        <v>95</v>
      </c>
      <c r="E2250" s="3" t="s">
        <v>13</v>
      </c>
      <c r="F2250" s="5">
        <v>0</v>
      </c>
      <c r="G2250" s="5">
        <v>23491.23</v>
      </c>
      <c r="H2250" s="5">
        <f t="shared" si="70"/>
        <v>23491.23</v>
      </c>
      <c r="I2250" s="9">
        <f t="shared" si="71"/>
        <v>0</v>
      </c>
      <c r="J2250" s="3" t="s">
        <v>4603</v>
      </c>
    </row>
    <row r="2251" spans="1:10" ht="25.5">
      <c r="A2251" s="3" t="s">
        <v>1811</v>
      </c>
      <c r="B2251" s="3" t="s">
        <v>3119</v>
      </c>
      <c r="C2251" s="4">
        <v>335</v>
      </c>
      <c r="D2251" s="3" t="s">
        <v>7</v>
      </c>
      <c r="E2251" s="3" t="s">
        <v>8</v>
      </c>
      <c r="F2251" s="5">
        <v>0</v>
      </c>
      <c r="G2251" s="5">
        <v>6723.78</v>
      </c>
      <c r="H2251" s="5">
        <f t="shared" si="70"/>
        <v>6723.78</v>
      </c>
      <c r="I2251" s="9">
        <f t="shared" si="71"/>
        <v>0</v>
      </c>
      <c r="J2251" s="3" t="s">
        <v>4603</v>
      </c>
    </row>
    <row r="2252" spans="1:10">
      <c r="A2252" s="3" t="s">
        <v>1811</v>
      </c>
      <c r="B2252" s="3" t="s">
        <v>3120</v>
      </c>
      <c r="C2252" s="4">
        <v>232</v>
      </c>
      <c r="D2252" s="3" t="s">
        <v>95</v>
      </c>
      <c r="E2252" s="3" t="s">
        <v>13</v>
      </c>
      <c r="F2252" s="5">
        <v>12580.44</v>
      </c>
      <c r="G2252" s="5">
        <v>10622.64</v>
      </c>
      <c r="H2252" s="5">
        <f t="shared" si="70"/>
        <v>-1957.8000000000011</v>
      </c>
      <c r="I2252" s="9">
        <f t="shared" si="71"/>
        <v>-0.15562253784446334</v>
      </c>
      <c r="J2252" s="3" t="s">
        <v>4603</v>
      </c>
    </row>
    <row r="2253" spans="1:10" ht="25.5">
      <c r="A2253" s="3" t="s">
        <v>1811</v>
      </c>
      <c r="B2253" s="3" t="s">
        <v>3121</v>
      </c>
      <c r="C2253" s="4">
        <v>74</v>
      </c>
      <c r="D2253" s="3" t="s">
        <v>86</v>
      </c>
      <c r="E2253" s="3" t="s">
        <v>8</v>
      </c>
      <c r="F2253" s="5">
        <v>9886.5</v>
      </c>
      <c r="G2253" s="5">
        <v>0</v>
      </c>
      <c r="H2253" s="5">
        <f t="shared" si="70"/>
        <v>-9886.5</v>
      </c>
      <c r="I2253" s="9">
        <f t="shared" si="71"/>
        <v>-1</v>
      </c>
      <c r="J2253" s="3" t="s">
        <v>4603</v>
      </c>
    </row>
    <row r="2254" spans="1:10" ht="25.5">
      <c r="A2254" s="3" t="s">
        <v>1811</v>
      </c>
      <c r="B2254" s="3" t="s">
        <v>3122</v>
      </c>
      <c r="C2254" s="4">
        <v>93</v>
      </c>
      <c r="D2254" s="3" t="s">
        <v>42</v>
      </c>
      <c r="E2254" s="3" t="s">
        <v>8</v>
      </c>
      <c r="F2254" s="5">
        <v>0</v>
      </c>
      <c r="G2254" s="5">
        <v>14554.59</v>
      </c>
      <c r="H2254" s="5">
        <f t="shared" si="70"/>
        <v>14554.59</v>
      </c>
      <c r="I2254" s="9">
        <f t="shared" si="71"/>
        <v>0</v>
      </c>
      <c r="J2254" s="3" t="s">
        <v>4603</v>
      </c>
    </row>
    <row r="2255" spans="1:10" ht="25.5">
      <c r="A2255" s="3" t="s">
        <v>1811</v>
      </c>
      <c r="B2255" s="3" t="s">
        <v>3123</v>
      </c>
      <c r="C2255" s="4">
        <v>261</v>
      </c>
      <c r="D2255" s="3" t="s">
        <v>17</v>
      </c>
      <c r="E2255" s="3" t="s">
        <v>18</v>
      </c>
      <c r="F2255" s="5">
        <v>10416.48</v>
      </c>
      <c r="G2255" s="5">
        <v>3381.54</v>
      </c>
      <c r="H2255" s="5">
        <f t="shared" si="70"/>
        <v>-7034.94</v>
      </c>
      <c r="I2255" s="9">
        <f t="shared" si="71"/>
        <v>-0.67536634256485883</v>
      </c>
      <c r="J2255" s="3" t="s">
        <v>4603</v>
      </c>
    </row>
    <row r="2256" spans="1:10" ht="25.5">
      <c r="A2256" s="3" t="s">
        <v>1811</v>
      </c>
      <c r="B2256" s="3" t="s">
        <v>3124</v>
      </c>
      <c r="C2256" s="4">
        <v>332</v>
      </c>
      <c r="D2256" s="3" t="s">
        <v>1850</v>
      </c>
      <c r="E2256" s="3" t="s">
        <v>9</v>
      </c>
      <c r="F2256" s="5">
        <v>0</v>
      </c>
      <c r="G2256" s="5">
        <v>13955.28</v>
      </c>
      <c r="H2256" s="5">
        <f t="shared" si="70"/>
        <v>13955.28</v>
      </c>
      <c r="I2256" s="9">
        <f t="shared" si="71"/>
        <v>0</v>
      </c>
      <c r="J2256" s="3" t="s">
        <v>4603</v>
      </c>
    </row>
    <row r="2257" spans="1:10" ht="25.5">
      <c r="A2257" s="3" t="s">
        <v>1811</v>
      </c>
      <c r="B2257" s="3" t="s">
        <v>3125</v>
      </c>
      <c r="C2257" s="4">
        <v>187</v>
      </c>
      <c r="D2257" s="3" t="s">
        <v>460</v>
      </c>
      <c r="E2257" s="3" t="s">
        <v>8</v>
      </c>
      <c r="F2257" s="5">
        <v>17013.48</v>
      </c>
      <c r="G2257" s="5">
        <v>3898.08</v>
      </c>
      <c r="H2257" s="5">
        <f t="shared" si="70"/>
        <v>-13115.4</v>
      </c>
      <c r="I2257" s="9">
        <f t="shared" si="71"/>
        <v>-0.77088285289076663</v>
      </c>
      <c r="J2257" s="3" t="s">
        <v>4603</v>
      </c>
    </row>
    <row r="2258" spans="1:10" ht="25.5">
      <c r="A2258" s="3" t="s">
        <v>1811</v>
      </c>
      <c r="B2258" s="3" t="s">
        <v>3126</v>
      </c>
      <c r="C2258" s="4">
        <v>240</v>
      </c>
      <c r="D2258" s="3" t="s">
        <v>152</v>
      </c>
      <c r="E2258" s="3" t="s">
        <v>13</v>
      </c>
      <c r="F2258" s="5">
        <v>0</v>
      </c>
      <c r="G2258" s="5">
        <v>7158.21</v>
      </c>
      <c r="H2258" s="5">
        <f t="shared" si="70"/>
        <v>7158.21</v>
      </c>
      <c r="I2258" s="9">
        <f t="shared" si="71"/>
        <v>0</v>
      </c>
      <c r="J2258" s="3" t="s">
        <v>4603</v>
      </c>
    </row>
    <row r="2259" spans="1:10" ht="25.5">
      <c r="A2259" s="3" t="s">
        <v>1811</v>
      </c>
      <c r="B2259" s="3" t="s">
        <v>3127</v>
      </c>
      <c r="C2259" s="4">
        <v>218</v>
      </c>
      <c r="D2259" s="3" t="s">
        <v>155</v>
      </c>
      <c r="E2259" s="3" t="s">
        <v>13</v>
      </c>
      <c r="F2259" s="5">
        <v>3479.28</v>
      </c>
      <c r="G2259" s="5">
        <v>3249.24</v>
      </c>
      <c r="H2259" s="5">
        <f t="shared" si="70"/>
        <v>-230.04000000000042</v>
      </c>
      <c r="I2259" s="9">
        <f t="shared" si="71"/>
        <v>-6.6117127681589394E-2</v>
      </c>
      <c r="J2259" s="3" t="s">
        <v>4603</v>
      </c>
    </row>
    <row r="2260" spans="1:10" ht="25.5">
      <c r="A2260" s="3" t="s">
        <v>1811</v>
      </c>
      <c r="B2260" s="3" t="s">
        <v>3128</v>
      </c>
      <c r="C2260" s="4">
        <v>218</v>
      </c>
      <c r="D2260" s="3" t="s">
        <v>155</v>
      </c>
      <c r="E2260" s="3" t="s">
        <v>13</v>
      </c>
      <c r="F2260" s="5">
        <v>21044.76</v>
      </c>
      <c r="G2260" s="5">
        <v>22744.080000000002</v>
      </c>
      <c r="H2260" s="5">
        <f t="shared" si="70"/>
        <v>1699.3200000000033</v>
      </c>
      <c r="I2260" s="9">
        <f t="shared" si="71"/>
        <v>8.0747891636683056E-2</v>
      </c>
      <c r="J2260" s="3" t="s">
        <v>4603</v>
      </c>
    </row>
    <row r="2261" spans="1:10" ht="25.5">
      <c r="A2261" s="3" t="s">
        <v>1811</v>
      </c>
      <c r="B2261" s="3" t="s">
        <v>3129</v>
      </c>
      <c r="C2261" s="4">
        <v>316</v>
      </c>
      <c r="D2261" s="3" t="s">
        <v>167</v>
      </c>
      <c r="E2261" s="3" t="s">
        <v>18</v>
      </c>
      <c r="F2261" s="5">
        <v>6266.04</v>
      </c>
      <c r="G2261" s="5">
        <v>0</v>
      </c>
      <c r="H2261" s="5">
        <f t="shared" si="70"/>
        <v>-6266.04</v>
      </c>
      <c r="I2261" s="9">
        <f t="shared" si="71"/>
        <v>-1</v>
      </c>
      <c r="J2261" s="3" t="s">
        <v>4603</v>
      </c>
    </row>
    <row r="2262" spans="1:10" ht="25.5">
      <c r="A2262" s="3" t="s">
        <v>1811</v>
      </c>
      <c r="B2262" s="3" t="s">
        <v>3130</v>
      </c>
      <c r="C2262" s="4">
        <v>261</v>
      </c>
      <c r="D2262" s="3" t="s">
        <v>17</v>
      </c>
      <c r="E2262" s="3" t="s">
        <v>18</v>
      </c>
      <c r="F2262" s="5">
        <v>3695.94</v>
      </c>
      <c r="G2262" s="5">
        <v>0</v>
      </c>
      <c r="H2262" s="5">
        <f t="shared" si="70"/>
        <v>-3695.94</v>
      </c>
      <c r="I2262" s="9">
        <f t="shared" si="71"/>
        <v>-1</v>
      </c>
      <c r="J2262" s="3" t="s">
        <v>4603</v>
      </c>
    </row>
    <row r="2263" spans="1:10" ht="25.5">
      <c r="A2263" s="3" t="s">
        <v>1811</v>
      </c>
      <c r="B2263" s="3" t="s">
        <v>3131</v>
      </c>
      <c r="C2263" s="4">
        <v>53</v>
      </c>
      <c r="D2263" s="3" t="s">
        <v>340</v>
      </c>
      <c r="E2263" s="3" t="s">
        <v>13</v>
      </c>
      <c r="F2263" s="5">
        <v>0</v>
      </c>
      <c r="G2263" s="5">
        <v>12470.85</v>
      </c>
      <c r="H2263" s="5">
        <f t="shared" si="70"/>
        <v>12470.85</v>
      </c>
      <c r="I2263" s="9">
        <f t="shared" si="71"/>
        <v>0</v>
      </c>
      <c r="J2263" s="3" t="s">
        <v>4603</v>
      </c>
    </row>
    <row r="2264" spans="1:10" ht="38.25">
      <c r="A2264" s="3" t="s">
        <v>1811</v>
      </c>
      <c r="B2264" s="3" t="s">
        <v>3132</v>
      </c>
      <c r="C2264" s="4">
        <v>11</v>
      </c>
      <c r="D2264" s="3" t="s">
        <v>55</v>
      </c>
      <c r="E2264" s="3" t="s">
        <v>18</v>
      </c>
      <c r="F2264" s="5">
        <v>32014.71</v>
      </c>
      <c r="G2264" s="5">
        <v>0</v>
      </c>
      <c r="H2264" s="5">
        <f t="shared" si="70"/>
        <v>-32014.71</v>
      </c>
      <c r="I2264" s="9">
        <f t="shared" si="71"/>
        <v>-1</v>
      </c>
      <c r="J2264" s="3" t="s">
        <v>4603</v>
      </c>
    </row>
    <row r="2265" spans="1:10" ht="25.5">
      <c r="A2265" s="3" t="s">
        <v>1811</v>
      </c>
      <c r="B2265" s="3" t="s">
        <v>3133</v>
      </c>
      <c r="C2265" s="4">
        <v>61</v>
      </c>
      <c r="D2265" s="3" t="s">
        <v>114</v>
      </c>
      <c r="E2265" s="3" t="s">
        <v>30</v>
      </c>
      <c r="F2265" s="5">
        <v>22551.93</v>
      </c>
      <c r="G2265" s="5">
        <v>21354.99</v>
      </c>
      <c r="H2265" s="5">
        <f t="shared" si="70"/>
        <v>-1196.9399999999987</v>
      </c>
      <c r="I2265" s="9">
        <f t="shared" si="71"/>
        <v>-5.3074836610436438E-2</v>
      </c>
      <c r="J2265" s="3" t="s">
        <v>4603</v>
      </c>
    </row>
    <row r="2266" spans="1:10">
      <c r="A2266" s="3" t="s">
        <v>1811</v>
      </c>
      <c r="B2266" s="3" t="s">
        <v>3134</v>
      </c>
      <c r="C2266" s="4">
        <v>232</v>
      </c>
      <c r="D2266" s="3" t="s">
        <v>95</v>
      </c>
      <c r="E2266" s="3" t="s">
        <v>13</v>
      </c>
      <c r="F2266" s="5">
        <v>4552.5600000000004</v>
      </c>
      <c r="G2266" s="5">
        <v>7877.64</v>
      </c>
      <c r="H2266" s="5">
        <f t="shared" si="70"/>
        <v>3325.08</v>
      </c>
      <c r="I2266" s="9">
        <f t="shared" si="71"/>
        <v>0.7303758764299646</v>
      </c>
      <c r="J2266" s="3" t="s">
        <v>4603</v>
      </c>
    </row>
    <row r="2267" spans="1:10" ht="38.25">
      <c r="A2267" s="3" t="s">
        <v>1811</v>
      </c>
      <c r="B2267" s="3" t="s">
        <v>3135</v>
      </c>
      <c r="C2267" s="4">
        <v>31</v>
      </c>
      <c r="D2267" s="3" t="s">
        <v>172</v>
      </c>
      <c r="E2267" s="3" t="s">
        <v>13</v>
      </c>
      <c r="F2267" s="5">
        <v>14223.24</v>
      </c>
      <c r="G2267" s="5">
        <v>2929.8</v>
      </c>
      <c r="H2267" s="5">
        <f t="shared" si="70"/>
        <v>-11293.439999999999</v>
      </c>
      <c r="I2267" s="9">
        <f t="shared" si="71"/>
        <v>-0.79401317843191843</v>
      </c>
      <c r="J2267" s="3" t="s">
        <v>4603</v>
      </c>
    </row>
    <row r="2268" spans="1:10" ht="25.5">
      <c r="A2268" s="3" t="s">
        <v>1811</v>
      </c>
      <c r="B2268" s="3" t="s">
        <v>3136</v>
      </c>
      <c r="C2268" s="4">
        <v>208</v>
      </c>
      <c r="D2268" s="3" t="s">
        <v>58</v>
      </c>
      <c r="E2268" s="3" t="s">
        <v>13</v>
      </c>
      <c r="F2268" s="5">
        <v>0</v>
      </c>
      <c r="G2268" s="5">
        <v>5965.56</v>
      </c>
      <c r="H2268" s="5">
        <f t="shared" si="70"/>
        <v>5965.56</v>
      </c>
      <c r="I2268" s="9">
        <f t="shared" si="71"/>
        <v>0</v>
      </c>
      <c r="J2268" s="3" t="s">
        <v>4603</v>
      </c>
    </row>
    <row r="2269" spans="1:10" ht="25.5">
      <c r="A2269" s="3" t="s">
        <v>1811</v>
      </c>
      <c r="B2269" s="3" t="s">
        <v>3137</v>
      </c>
      <c r="C2269" s="4">
        <v>93</v>
      </c>
      <c r="D2269" s="3" t="s">
        <v>42</v>
      </c>
      <c r="E2269" s="3" t="s">
        <v>8</v>
      </c>
      <c r="F2269" s="5">
        <v>5051.28</v>
      </c>
      <c r="G2269" s="5">
        <v>11683.92</v>
      </c>
      <c r="H2269" s="5">
        <f t="shared" si="70"/>
        <v>6632.64</v>
      </c>
      <c r="I2269" s="9">
        <f t="shared" si="71"/>
        <v>1.3130612438827387</v>
      </c>
      <c r="J2269" s="3" t="s">
        <v>4603</v>
      </c>
    </row>
    <row r="2270" spans="1:10">
      <c r="A2270" s="3" t="s">
        <v>1811</v>
      </c>
      <c r="B2270" s="3" t="s">
        <v>3138</v>
      </c>
      <c r="C2270" s="4">
        <v>15</v>
      </c>
      <c r="D2270" s="3" t="s">
        <v>33</v>
      </c>
      <c r="E2270" s="3" t="s">
        <v>13</v>
      </c>
      <c r="F2270" s="5">
        <v>5136.84</v>
      </c>
      <c r="G2270" s="5">
        <v>19427.88</v>
      </c>
      <c r="H2270" s="5">
        <f t="shared" si="70"/>
        <v>14291.04</v>
      </c>
      <c r="I2270" s="9">
        <f t="shared" si="71"/>
        <v>2.7820683533067023</v>
      </c>
      <c r="J2270" s="3" t="s">
        <v>4603</v>
      </c>
    </row>
    <row r="2271" spans="1:10" ht="25.5">
      <c r="A2271" s="3" t="s">
        <v>1811</v>
      </c>
      <c r="B2271" s="3" t="s">
        <v>3139</v>
      </c>
      <c r="C2271" s="4">
        <v>266</v>
      </c>
      <c r="D2271" s="3" t="s">
        <v>111</v>
      </c>
      <c r="E2271" s="3" t="s">
        <v>18</v>
      </c>
      <c r="F2271" s="5">
        <v>0</v>
      </c>
      <c r="G2271" s="5">
        <v>6115.11</v>
      </c>
      <c r="H2271" s="5">
        <f t="shared" si="70"/>
        <v>6115.11</v>
      </c>
      <c r="I2271" s="9">
        <f t="shared" si="71"/>
        <v>0</v>
      </c>
      <c r="J2271" s="3" t="s">
        <v>4603</v>
      </c>
    </row>
    <row r="2272" spans="1:10" ht="38.25">
      <c r="A2272" s="3" t="s">
        <v>1811</v>
      </c>
      <c r="B2272" s="3" t="s">
        <v>3140</v>
      </c>
      <c r="C2272" s="4">
        <v>301</v>
      </c>
      <c r="D2272" s="3" t="s">
        <v>12</v>
      </c>
      <c r="E2272" s="3" t="s">
        <v>13</v>
      </c>
      <c r="F2272" s="5">
        <v>3167.28</v>
      </c>
      <c r="G2272" s="5">
        <v>3131.4</v>
      </c>
      <c r="H2272" s="5">
        <f t="shared" si="70"/>
        <v>-35.880000000000109</v>
      </c>
      <c r="I2272" s="9">
        <f t="shared" si="71"/>
        <v>-1.1328332196711366E-2</v>
      </c>
      <c r="J2272" s="3" t="s">
        <v>4603</v>
      </c>
    </row>
    <row r="2273" spans="1:10" ht="25.5">
      <c r="A2273" s="3" t="s">
        <v>1811</v>
      </c>
      <c r="B2273" s="3" t="s">
        <v>3141</v>
      </c>
      <c r="C2273" s="4">
        <v>197</v>
      </c>
      <c r="D2273" s="3" t="s">
        <v>23</v>
      </c>
      <c r="E2273" s="3" t="s">
        <v>22</v>
      </c>
      <c r="F2273" s="5">
        <v>8749.65</v>
      </c>
      <c r="G2273" s="5">
        <v>0</v>
      </c>
      <c r="H2273" s="5">
        <f t="shared" si="70"/>
        <v>-8749.65</v>
      </c>
      <c r="I2273" s="9">
        <f t="shared" si="71"/>
        <v>-1</v>
      </c>
      <c r="J2273" s="3" t="s">
        <v>4603</v>
      </c>
    </row>
    <row r="2274" spans="1:10" ht="25.5">
      <c r="A2274" s="3" t="s">
        <v>1811</v>
      </c>
      <c r="B2274" s="3" t="s">
        <v>3142</v>
      </c>
      <c r="C2274" s="4">
        <v>178</v>
      </c>
      <c r="D2274" s="3" t="s">
        <v>92</v>
      </c>
      <c r="E2274" s="3" t="s">
        <v>8</v>
      </c>
      <c r="F2274" s="5">
        <v>0</v>
      </c>
      <c r="G2274" s="5">
        <v>6572.64</v>
      </c>
      <c r="H2274" s="5">
        <f t="shared" si="70"/>
        <v>6572.64</v>
      </c>
      <c r="I2274" s="9">
        <f t="shared" si="71"/>
        <v>0</v>
      </c>
      <c r="J2274" s="3" t="s">
        <v>4603</v>
      </c>
    </row>
    <row r="2275" spans="1:10" ht="25.5">
      <c r="A2275" s="3" t="s">
        <v>1811</v>
      </c>
      <c r="B2275" s="3" t="s">
        <v>3143</v>
      </c>
      <c r="C2275" s="4">
        <v>93</v>
      </c>
      <c r="D2275" s="3" t="s">
        <v>42</v>
      </c>
      <c r="E2275" s="3" t="s">
        <v>8</v>
      </c>
      <c r="F2275" s="5">
        <v>0</v>
      </c>
      <c r="G2275" s="5">
        <v>4672.08</v>
      </c>
      <c r="H2275" s="5">
        <f t="shared" si="70"/>
        <v>4672.08</v>
      </c>
      <c r="I2275" s="9">
        <f t="shared" si="71"/>
        <v>0</v>
      </c>
      <c r="J2275" s="3" t="s">
        <v>4603</v>
      </c>
    </row>
    <row r="2276" spans="1:10" ht="25.5">
      <c r="A2276" s="3" t="s">
        <v>1811</v>
      </c>
      <c r="B2276" s="3" t="s">
        <v>3144</v>
      </c>
      <c r="C2276" s="4">
        <v>337</v>
      </c>
      <c r="D2276" s="3" t="s">
        <v>218</v>
      </c>
      <c r="E2276" s="3" t="s">
        <v>13</v>
      </c>
      <c r="F2276" s="5">
        <v>3858.48</v>
      </c>
      <c r="G2276" s="5">
        <v>0</v>
      </c>
      <c r="H2276" s="5">
        <f t="shared" si="70"/>
        <v>-3858.48</v>
      </c>
      <c r="I2276" s="9">
        <f t="shared" si="71"/>
        <v>-1</v>
      </c>
      <c r="J2276" s="3" t="s">
        <v>4603</v>
      </c>
    </row>
    <row r="2277" spans="1:10">
      <c r="A2277" s="3" t="s">
        <v>1811</v>
      </c>
      <c r="B2277" s="3" t="s">
        <v>3145</v>
      </c>
      <c r="C2277" s="4">
        <v>232</v>
      </c>
      <c r="D2277" s="3" t="s">
        <v>95</v>
      </c>
      <c r="E2277" s="3" t="s">
        <v>13</v>
      </c>
      <c r="F2277" s="5">
        <v>5384.76</v>
      </c>
      <c r="G2277" s="5">
        <v>0</v>
      </c>
      <c r="H2277" s="5">
        <f t="shared" si="70"/>
        <v>-5384.76</v>
      </c>
      <c r="I2277" s="9">
        <f t="shared" si="71"/>
        <v>-1</v>
      </c>
      <c r="J2277" s="3" t="s">
        <v>4603</v>
      </c>
    </row>
    <row r="2278" spans="1:10" ht="25.5">
      <c r="A2278" s="3" t="s">
        <v>1811</v>
      </c>
      <c r="B2278" s="3" t="s">
        <v>3146</v>
      </c>
      <c r="C2278" s="4">
        <v>317</v>
      </c>
      <c r="D2278" s="3" t="s">
        <v>54</v>
      </c>
      <c r="E2278" s="3" t="s">
        <v>18</v>
      </c>
      <c r="F2278" s="5">
        <v>5339.28</v>
      </c>
      <c r="G2278" s="5">
        <v>0</v>
      </c>
      <c r="H2278" s="5">
        <f t="shared" si="70"/>
        <v>-5339.28</v>
      </c>
      <c r="I2278" s="9">
        <f t="shared" si="71"/>
        <v>-1</v>
      </c>
      <c r="J2278" s="3" t="s">
        <v>4603</v>
      </c>
    </row>
    <row r="2279" spans="1:10" ht="38.25">
      <c r="A2279" s="3" t="s">
        <v>1811</v>
      </c>
      <c r="B2279" s="3" t="s">
        <v>3147</v>
      </c>
      <c r="C2279" s="4">
        <v>371</v>
      </c>
      <c r="D2279" s="3" t="s">
        <v>29</v>
      </c>
      <c r="E2279" s="3" t="s">
        <v>30</v>
      </c>
      <c r="F2279" s="5">
        <v>5194.8900000000003</v>
      </c>
      <c r="G2279" s="5">
        <v>0</v>
      </c>
      <c r="H2279" s="5">
        <f t="shared" si="70"/>
        <v>-5194.8900000000003</v>
      </c>
      <c r="I2279" s="9">
        <f t="shared" si="71"/>
        <v>-1</v>
      </c>
      <c r="J2279" s="3" t="s">
        <v>4603</v>
      </c>
    </row>
    <row r="2280" spans="1:10" ht="38.25">
      <c r="A2280" s="3" t="s">
        <v>1811</v>
      </c>
      <c r="B2280" s="3" t="s">
        <v>3148</v>
      </c>
      <c r="C2280" s="4">
        <v>45</v>
      </c>
      <c r="D2280" s="3" t="s">
        <v>16</v>
      </c>
      <c r="E2280" s="3" t="s">
        <v>8</v>
      </c>
      <c r="F2280" s="5">
        <v>4184.3999999999996</v>
      </c>
      <c r="G2280" s="5">
        <v>0</v>
      </c>
      <c r="H2280" s="5">
        <f t="shared" si="70"/>
        <v>-4184.3999999999996</v>
      </c>
      <c r="I2280" s="9">
        <f t="shared" si="71"/>
        <v>-1</v>
      </c>
      <c r="J2280" s="3" t="s">
        <v>4603</v>
      </c>
    </row>
    <row r="2281" spans="1:10" ht="25.5">
      <c r="A2281" s="3" t="s">
        <v>1811</v>
      </c>
      <c r="B2281" s="3" t="s">
        <v>3149</v>
      </c>
      <c r="C2281" s="4">
        <v>194</v>
      </c>
      <c r="D2281" s="3" t="s">
        <v>179</v>
      </c>
      <c r="E2281" s="3" t="s">
        <v>13</v>
      </c>
      <c r="F2281" s="5">
        <v>0</v>
      </c>
      <c r="G2281" s="5">
        <v>13642.32</v>
      </c>
      <c r="H2281" s="5">
        <f t="shared" si="70"/>
        <v>13642.32</v>
      </c>
      <c r="I2281" s="9">
        <f t="shared" si="71"/>
        <v>0</v>
      </c>
      <c r="J2281" s="3" t="s">
        <v>4603</v>
      </c>
    </row>
    <row r="2282" spans="1:10" ht="25.5">
      <c r="A2282" s="3" t="s">
        <v>1811</v>
      </c>
      <c r="B2282" s="3" t="s">
        <v>3150</v>
      </c>
      <c r="C2282" s="4">
        <v>273</v>
      </c>
      <c r="D2282" s="3" t="s">
        <v>771</v>
      </c>
      <c r="E2282" s="3" t="s">
        <v>13</v>
      </c>
      <c r="F2282" s="5">
        <v>0</v>
      </c>
      <c r="G2282" s="5">
        <v>3170.7</v>
      </c>
      <c r="H2282" s="5">
        <f t="shared" si="70"/>
        <v>3170.7</v>
      </c>
      <c r="I2282" s="9">
        <f t="shared" si="71"/>
        <v>0</v>
      </c>
      <c r="J2282" s="3" t="s">
        <v>4603</v>
      </c>
    </row>
    <row r="2283" spans="1:10" ht="25.5">
      <c r="A2283" s="3" t="s">
        <v>1811</v>
      </c>
      <c r="B2283" s="3" t="s">
        <v>3151</v>
      </c>
      <c r="C2283" s="4">
        <v>261</v>
      </c>
      <c r="D2283" s="3" t="s">
        <v>17</v>
      </c>
      <c r="E2283" s="3" t="s">
        <v>18</v>
      </c>
      <c r="F2283" s="5">
        <v>4559.28</v>
      </c>
      <c r="G2283" s="5">
        <v>0</v>
      </c>
      <c r="H2283" s="5">
        <f t="shared" si="70"/>
        <v>-4559.28</v>
      </c>
      <c r="I2283" s="9">
        <f t="shared" si="71"/>
        <v>-1</v>
      </c>
      <c r="J2283" s="3" t="s">
        <v>4603</v>
      </c>
    </row>
    <row r="2284" spans="1:10" ht="25.5">
      <c r="A2284" s="3" t="s">
        <v>1811</v>
      </c>
      <c r="B2284" s="3" t="s">
        <v>3152</v>
      </c>
      <c r="C2284" s="4">
        <v>61</v>
      </c>
      <c r="D2284" s="3" t="s">
        <v>114</v>
      </c>
      <c r="E2284" s="3" t="s">
        <v>30</v>
      </c>
      <c r="F2284" s="5">
        <v>3743.4</v>
      </c>
      <c r="G2284" s="5">
        <v>0</v>
      </c>
      <c r="H2284" s="5">
        <f t="shared" si="70"/>
        <v>-3743.4</v>
      </c>
      <c r="I2284" s="9">
        <f t="shared" si="71"/>
        <v>-1</v>
      </c>
      <c r="J2284" s="3" t="s">
        <v>4603</v>
      </c>
    </row>
    <row r="2285" spans="1:10" ht="25.5">
      <c r="A2285" s="3" t="s">
        <v>1811</v>
      </c>
      <c r="B2285" s="3" t="s">
        <v>3153</v>
      </c>
      <c r="C2285" s="4">
        <v>178</v>
      </c>
      <c r="D2285" s="3" t="s">
        <v>92</v>
      </c>
      <c r="E2285" s="3" t="s">
        <v>8</v>
      </c>
      <c r="F2285" s="5">
        <v>0</v>
      </c>
      <c r="G2285" s="5">
        <v>7117.68</v>
      </c>
      <c r="H2285" s="5">
        <f t="shared" si="70"/>
        <v>7117.68</v>
      </c>
      <c r="I2285" s="9">
        <f t="shared" si="71"/>
        <v>0</v>
      </c>
      <c r="J2285" s="3" t="s">
        <v>4603</v>
      </c>
    </row>
    <row r="2286" spans="1:10" ht="25.5">
      <c r="A2286" s="3" t="s">
        <v>1811</v>
      </c>
      <c r="B2286" s="3" t="s">
        <v>3154</v>
      </c>
      <c r="C2286" s="4">
        <v>231</v>
      </c>
      <c r="D2286" s="3" t="s">
        <v>89</v>
      </c>
      <c r="E2286" s="3" t="s">
        <v>8</v>
      </c>
      <c r="F2286" s="5">
        <v>0</v>
      </c>
      <c r="G2286" s="5">
        <v>2316.96</v>
      </c>
      <c r="H2286" s="5">
        <f t="shared" si="70"/>
        <v>2316.96</v>
      </c>
      <c r="I2286" s="9">
        <f t="shared" si="71"/>
        <v>0</v>
      </c>
      <c r="J2286" s="3" t="s">
        <v>4603</v>
      </c>
    </row>
    <row r="2287" spans="1:10">
      <c r="A2287" s="3" t="s">
        <v>1811</v>
      </c>
      <c r="B2287" s="3" t="s">
        <v>3155</v>
      </c>
      <c r="C2287" s="4">
        <v>240</v>
      </c>
      <c r="D2287" s="3" t="s">
        <v>152</v>
      </c>
      <c r="E2287" s="3" t="s">
        <v>13</v>
      </c>
      <c r="F2287" s="5">
        <v>0</v>
      </c>
      <c r="G2287" s="5">
        <v>5379.48</v>
      </c>
      <c r="H2287" s="5">
        <f t="shared" si="70"/>
        <v>5379.48</v>
      </c>
      <c r="I2287" s="9">
        <f t="shared" si="71"/>
        <v>0</v>
      </c>
      <c r="J2287" s="3" t="s">
        <v>4604</v>
      </c>
    </row>
    <row r="2288" spans="1:10" ht="25.5">
      <c r="A2288" s="3" t="s">
        <v>1811</v>
      </c>
      <c r="B2288" s="3" t="s">
        <v>3156</v>
      </c>
      <c r="C2288" s="4">
        <v>231</v>
      </c>
      <c r="D2288" s="3" t="s">
        <v>89</v>
      </c>
      <c r="E2288" s="3" t="s">
        <v>8</v>
      </c>
      <c r="F2288" s="5">
        <v>10936.26</v>
      </c>
      <c r="G2288" s="5">
        <v>24092.73</v>
      </c>
      <c r="H2288" s="5">
        <f t="shared" si="70"/>
        <v>13156.47</v>
      </c>
      <c r="I2288" s="9">
        <f t="shared" si="71"/>
        <v>1.203013644518327</v>
      </c>
      <c r="J2288" s="3" t="s">
        <v>4603</v>
      </c>
    </row>
    <row r="2289" spans="1:10" ht="25.5">
      <c r="A2289" s="3" t="s">
        <v>1811</v>
      </c>
      <c r="B2289" s="3" t="s">
        <v>3157</v>
      </c>
      <c r="C2289" s="4">
        <v>187</v>
      </c>
      <c r="D2289" s="3" t="s">
        <v>460</v>
      </c>
      <c r="E2289" s="3" t="s">
        <v>8</v>
      </c>
      <c r="F2289" s="5">
        <v>6008.1</v>
      </c>
      <c r="G2289" s="5">
        <v>4787.91</v>
      </c>
      <c r="H2289" s="5">
        <f t="shared" si="70"/>
        <v>-1220.1900000000005</v>
      </c>
      <c r="I2289" s="9">
        <f t="shared" si="71"/>
        <v>-0.20309082738303297</v>
      </c>
      <c r="J2289" s="3" t="s">
        <v>4603</v>
      </c>
    </row>
    <row r="2290" spans="1:10" ht="25.5">
      <c r="A2290" s="3" t="s">
        <v>1811</v>
      </c>
      <c r="B2290" s="3" t="s">
        <v>3158</v>
      </c>
      <c r="C2290" s="4">
        <v>208</v>
      </c>
      <c r="D2290" s="3" t="s">
        <v>58</v>
      </c>
      <c r="E2290" s="3" t="s">
        <v>13</v>
      </c>
      <c r="F2290" s="5">
        <v>4307.28</v>
      </c>
      <c r="G2290" s="5">
        <v>19795.439999999999</v>
      </c>
      <c r="H2290" s="5">
        <f t="shared" si="70"/>
        <v>15488.16</v>
      </c>
      <c r="I2290" s="9">
        <f t="shared" si="71"/>
        <v>3.5958098846603885</v>
      </c>
      <c r="J2290" s="3" t="s">
        <v>4603</v>
      </c>
    </row>
    <row r="2291" spans="1:10" ht="38.25">
      <c r="A2291" s="3" t="s">
        <v>1811</v>
      </c>
      <c r="B2291" s="3" t="s">
        <v>3159</v>
      </c>
      <c r="C2291" s="4">
        <v>292</v>
      </c>
      <c r="D2291" s="3" t="s">
        <v>619</v>
      </c>
      <c r="E2291" s="3" t="s">
        <v>30</v>
      </c>
      <c r="F2291" s="5">
        <v>4026.36</v>
      </c>
      <c r="G2291" s="5">
        <v>0</v>
      </c>
      <c r="H2291" s="5">
        <f t="shared" si="70"/>
        <v>-4026.36</v>
      </c>
      <c r="I2291" s="9">
        <f t="shared" si="71"/>
        <v>-1</v>
      </c>
      <c r="J2291" s="3" t="s">
        <v>4603</v>
      </c>
    </row>
    <row r="2292" spans="1:10" ht="38.25">
      <c r="A2292" s="3" t="s">
        <v>1811</v>
      </c>
      <c r="B2292" s="3" t="s">
        <v>3160</v>
      </c>
      <c r="C2292" s="4">
        <v>301</v>
      </c>
      <c r="D2292" s="3" t="s">
        <v>12</v>
      </c>
      <c r="E2292" s="3" t="s">
        <v>13</v>
      </c>
      <c r="F2292" s="5">
        <v>0</v>
      </c>
      <c r="G2292" s="5">
        <v>10445.040000000001</v>
      </c>
      <c r="H2292" s="5">
        <f t="shared" si="70"/>
        <v>10445.040000000001</v>
      </c>
      <c r="I2292" s="9">
        <f t="shared" si="71"/>
        <v>0</v>
      </c>
      <c r="J2292" s="3" t="s">
        <v>4603</v>
      </c>
    </row>
    <row r="2293" spans="1:10" ht="25.5">
      <c r="A2293" s="3" t="s">
        <v>1811</v>
      </c>
      <c r="B2293" s="3" t="s">
        <v>3161</v>
      </c>
      <c r="C2293" s="4">
        <v>197</v>
      </c>
      <c r="D2293" s="3" t="s">
        <v>23</v>
      </c>
      <c r="E2293" s="3" t="s">
        <v>22</v>
      </c>
      <c r="F2293" s="5">
        <v>0</v>
      </c>
      <c r="G2293" s="5">
        <v>6340.62</v>
      </c>
      <c r="H2293" s="5">
        <f t="shared" si="70"/>
        <v>6340.62</v>
      </c>
      <c r="I2293" s="9">
        <f t="shared" si="71"/>
        <v>0</v>
      </c>
      <c r="J2293" s="3" t="s">
        <v>4603</v>
      </c>
    </row>
    <row r="2294" spans="1:10" ht="25.5">
      <c r="A2294" s="3" t="s">
        <v>1811</v>
      </c>
      <c r="B2294" s="3" t="s">
        <v>3162</v>
      </c>
      <c r="C2294" s="4">
        <v>337</v>
      </c>
      <c r="D2294" s="3" t="s">
        <v>218</v>
      </c>
      <c r="E2294" s="3" t="s">
        <v>13</v>
      </c>
      <c r="F2294" s="5">
        <v>0</v>
      </c>
      <c r="G2294" s="5">
        <v>21076.080000000002</v>
      </c>
      <c r="H2294" s="5">
        <f t="shared" si="70"/>
        <v>21076.080000000002</v>
      </c>
      <c r="I2294" s="9">
        <f t="shared" si="71"/>
        <v>0</v>
      </c>
      <c r="J2294" s="3" t="s">
        <v>4603</v>
      </c>
    </row>
    <row r="2295" spans="1:10" ht="25.5">
      <c r="A2295" s="3" t="s">
        <v>1811</v>
      </c>
      <c r="B2295" s="3" t="s">
        <v>3163</v>
      </c>
      <c r="C2295" s="4">
        <v>315</v>
      </c>
      <c r="D2295" s="3" t="s">
        <v>79</v>
      </c>
      <c r="E2295" s="3" t="s">
        <v>8</v>
      </c>
      <c r="F2295" s="5">
        <v>3966.42</v>
      </c>
      <c r="G2295" s="5">
        <v>2356.1280000000002</v>
      </c>
      <c r="H2295" s="5">
        <f t="shared" si="70"/>
        <v>-1610.2919999999999</v>
      </c>
      <c r="I2295" s="9">
        <f t="shared" si="71"/>
        <v>-0.40598121227706596</v>
      </c>
      <c r="J2295" s="3" t="s">
        <v>4603</v>
      </c>
    </row>
    <row r="2296" spans="1:10">
      <c r="A2296" s="3" t="s">
        <v>1811</v>
      </c>
      <c r="B2296" s="3" t="s">
        <v>3164</v>
      </c>
      <c r="C2296" s="4">
        <v>315</v>
      </c>
      <c r="D2296" s="3" t="s">
        <v>79</v>
      </c>
      <c r="E2296" s="3" t="s">
        <v>8</v>
      </c>
      <c r="F2296" s="5">
        <v>0</v>
      </c>
      <c r="G2296" s="5">
        <v>3588.3</v>
      </c>
      <c r="H2296" s="5">
        <f t="shared" si="70"/>
        <v>3588.3</v>
      </c>
      <c r="I2296" s="9">
        <f t="shared" si="71"/>
        <v>0</v>
      </c>
      <c r="J2296" s="3" t="s">
        <v>4603</v>
      </c>
    </row>
    <row r="2297" spans="1:10" ht="25.5">
      <c r="A2297" s="3" t="s">
        <v>1811</v>
      </c>
      <c r="B2297" s="3" t="s">
        <v>3165</v>
      </c>
      <c r="C2297" s="4">
        <v>335</v>
      </c>
      <c r="D2297" s="3" t="s">
        <v>7</v>
      </c>
      <c r="E2297" s="3" t="s">
        <v>8</v>
      </c>
      <c r="F2297" s="5">
        <v>0</v>
      </c>
      <c r="G2297" s="5">
        <v>3622.17</v>
      </c>
      <c r="H2297" s="5">
        <f t="shared" si="70"/>
        <v>3622.17</v>
      </c>
      <c r="I2297" s="9">
        <f t="shared" si="71"/>
        <v>0</v>
      </c>
      <c r="J2297" s="3" t="s">
        <v>4603</v>
      </c>
    </row>
    <row r="2298" spans="1:10" ht="25.5">
      <c r="A2298" s="3" t="s">
        <v>1811</v>
      </c>
      <c r="B2298" s="3" t="s">
        <v>3166</v>
      </c>
      <c r="C2298" s="4">
        <v>74</v>
      </c>
      <c r="D2298" s="3" t="s">
        <v>86</v>
      </c>
      <c r="E2298" s="3" t="s">
        <v>8</v>
      </c>
      <c r="F2298" s="5">
        <v>9121.6200000000008</v>
      </c>
      <c r="G2298" s="5">
        <v>16553.07</v>
      </c>
      <c r="H2298" s="5">
        <f t="shared" si="70"/>
        <v>7431.4499999999989</v>
      </c>
      <c r="I2298" s="9">
        <f t="shared" si="71"/>
        <v>0.81470725594795645</v>
      </c>
      <c r="J2298" s="3" t="s">
        <v>4603</v>
      </c>
    </row>
    <row r="2299" spans="1:10" ht="25.5">
      <c r="A2299" s="3" t="s">
        <v>1811</v>
      </c>
      <c r="B2299" s="3" t="s">
        <v>3167</v>
      </c>
      <c r="C2299" s="4">
        <v>267</v>
      </c>
      <c r="D2299" s="3" t="s">
        <v>417</v>
      </c>
      <c r="E2299" s="3" t="s">
        <v>13</v>
      </c>
      <c r="F2299" s="5">
        <v>4864.1400000000003</v>
      </c>
      <c r="G2299" s="5">
        <v>7160.13</v>
      </c>
      <c r="H2299" s="5">
        <f t="shared" si="70"/>
        <v>2295.9899999999998</v>
      </c>
      <c r="I2299" s="9">
        <f t="shared" si="71"/>
        <v>0.47202383155090111</v>
      </c>
      <c r="J2299" s="3" t="s">
        <v>4603</v>
      </c>
    </row>
    <row r="2300" spans="1:10" ht="38.25">
      <c r="A2300" s="3" t="s">
        <v>1811</v>
      </c>
      <c r="B2300" s="3" t="s">
        <v>3168</v>
      </c>
      <c r="C2300" s="4">
        <v>371</v>
      </c>
      <c r="D2300" s="3" t="s">
        <v>29</v>
      </c>
      <c r="E2300" s="3" t="s">
        <v>30</v>
      </c>
      <c r="F2300" s="5">
        <v>4415.04</v>
      </c>
      <c r="G2300" s="5">
        <v>0</v>
      </c>
      <c r="H2300" s="5">
        <f t="shared" si="70"/>
        <v>-4415.04</v>
      </c>
      <c r="I2300" s="9">
        <f t="shared" si="71"/>
        <v>-1</v>
      </c>
      <c r="J2300" s="3" t="s">
        <v>4603</v>
      </c>
    </row>
    <row r="2301" spans="1:10" ht="25.5">
      <c r="A2301" s="3" t="s">
        <v>1811</v>
      </c>
      <c r="B2301" s="3" t="s">
        <v>3169</v>
      </c>
      <c r="C2301" s="4">
        <v>261</v>
      </c>
      <c r="D2301" s="3" t="s">
        <v>17</v>
      </c>
      <c r="E2301" s="3" t="s">
        <v>18</v>
      </c>
      <c r="F2301" s="5">
        <v>15660.81</v>
      </c>
      <c r="G2301" s="5">
        <v>0</v>
      </c>
      <c r="H2301" s="5">
        <f t="shared" si="70"/>
        <v>-15660.81</v>
      </c>
      <c r="I2301" s="9">
        <f t="shared" si="71"/>
        <v>-1</v>
      </c>
      <c r="J2301" s="3" t="s">
        <v>4604</v>
      </c>
    </row>
    <row r="2302" spans="1:10" ht="38.25">
      <c r="A2302" s="3" t="s">
        <v>1811</v>
      </c>
      <c r="B2302" s="3" t="s">
        <v>3170</v>
      </c>
      <c r="C2302" s="4">
        <v>45</v>
      </c>
      <c r="D2302" s="3" t="s">
        <v>16</v>
      </c>
      <c r="E2302" s="3" t="s">
        <v>8</v>
      </c>
      <c r="F2302" s="5">
        <v>6761.07</v>
      </c>
      <c r="G2302" s="5">
        <v>0</v>
      </c>
      <c r="H2302" s="5">
        <f t="shared" si="70"/>
        <v>-6761.07</v>
      </c>
      <c r="I2302" s="9">
        <f t="shared" si="71"/>
        <v>-1</v>
      </c>
      <c r="J2302" s="3" t="s">
        <v>4604</v>
      </c>
    </row>
    <row r="2303" spans="1:10" ht="25.5">
      <c r="A2303" s="3" t="s">
        <v>1811</v>
      </c>
      <c r="B2303" s="3" t="s">
        <v>3171</v>
      </c>
      <c r="C2303" s="4">
        <v>178</v>
      </c>
      <c r="D2303" s="3" t="s">
        <v>92</v>
      </c>
      <c r="E2303" s="3" t="s">
        <v>8</v>
      </c>
      <c r="F2303" s="5">
        <v>4511.28</v>
      </c>
      <c r="G2303" s="5">
        <v>2236.3200000000002</v>
      </c>
      <c r="H2303" s="5">
        <f t="shared" si="70"/>
        <v>-2274.9599999999996</v>
      </c>
      <c r="I2303" s="9">
        <f t="shared" si="71"/>
        <v>-0.50428259828696065</v>
      </c>
      <c r="J2303" s="3" t="s">
        <v>4603</v>
      </c>
    </row>
    <row r="2304" spans="1:10" ht="25.5">
      <c r="A2304" s="3" t="s">
        <v>1811</v>
      </c>
      <c r="B2304" s="3" t="s">
        <v>3172</v>
      </c>
      <c r="C2304" s="4">
        <v>317</v>
      </c>
      <c r="D2304" s="3" t="s">
        <v>54</v>
      </c>
      <c r="E2304" s="3" t="s">
        <v>18</v>
      </c>
      <c r="F2304" s="5">
        <v>0</v>
      </c>
      <c r="G2304" s="5">
        <v>10009.41</v>
      </c>
      <c r="H2304" s="5">
        <f t="shared" si="70"/>
        <v>10009.41</v>
      </c>
      <c r="I2304" s="9">
        <f t="shared" si="71"/>
        <v>0</v>
      </c>
      <c r="J2304" s="3" t="s">
        <v>4603</v>
      </c>
    </row>
    <row r="2305" spans="1:10" ht="25.5">
      <c r="A2305" s="3" t="s">
        <v>1811</v>
      </c>
      <c r="B2305" s="3" t="s">
        <v>3173</v>
      </c>
      <c r="C2305" s="4">
        <v>178</v>
      </c>
      <c r="D2305" s="3" t="s">
        <v>92</v>
      </c>
      <c r="E2305" s="3" t="s">
        <v>8</v>
      </c>
      <c r="F2305" s="5">
        <v>3599.46</v>
      </c>
      <c r="G2305" s="5">
        <v>0</v>
      </c>
      <c r="H2305" s="5">
        <f t="shared" si="70"/>
        <v>-3599.46</v>
      </c>
      <c r="I2305" s="9">
        <f t="shared" si="71"/>
        <v>-1</v>
      </c>
      <c r="J2305" s="3" t="s">
        <v>4603</v>
      </c>
    </row>
    <row r="2306" spans="1:10">
      <c r="A2306" s="3" t="s">
        <v>1811</v>
      </c>
      <c r="B2306" s="3" t="s">
        <v>3174</v>
      </c>
      <c r="C2306" s="4">
        <v>232</v>
      </c>
      <c r="D2306" s="3" t="s">
        <v>95</v>
      </c>
      <c r="E2306" s="3" t="s">
        <v>13</v>
      </c>
      <c r="F2306" s="5">
        <v>0</v>
      </c>
      <c r="G2306" s="5">
        <v>13949.76</v>
      </c>
      <c r="H2306" s="5">
        <f t="shared" si="70"/>
        <v>13949.76</v>
      </c>
      <c r="I2306" s="9">
        <f t="shared" si="71"/>
        <v>0</v>
      </c>
      <c r="J2306" s="3" t="s">
        <v>4603</v>
      </c>
    </row>
    <row r="2307" spans="1:10" ht="25.5">
      <c r="A2307" s="3" t="s">
        <v>1811</v>
      </c>
      <c r="B2307" s="3" t="s">
        <v>3175</v>
      </c>
      <c r="C2307" s="4">
        <v>93</v>
      </c>
      <c r="D2307" s="3" t="s">
        <v>42</v>
      </c>
      <c r="E2307" s="3" t="s">
        <v>8</v>
      </c>
      <c r="F2307" s="5">
        <v>0</v>
      </c>
      <c r="G2307" s="5">
        <v>2671.2</v>
      </c>
      <c r="H2307" s="5">
        <f t="shared" ref="H2307:H2370" si="72">G2307-F2307</f>
        <v>2671.2</v>
      </c>
      <c r="I2307" s="9">
        <f t="shared" ref="I2307:I2370" si="73">IFERROR(G2307/F2307-1,0)</f>
        <v>0</v>
      </c>
      <c r="J2307" s="3" t="s">
        <v>4603</v>
      </c>
    </row>
    <row r="2308" spans="1:10" ht="25.5">
      <c r="A2308" s="3" t="s">
        <v>1811</v>
      </c>
      <c r="B2308" s="3" t="s">
        <v>3176</v>
      </c>
      <c r="C2308" s="4">
        <v>19</v>
      </c>
      <c r="D2308" s="3" t="s">
        <v>53</v>
      </c>
      <c r="E2308" s="3" t="s">
        <v>22</v>
      </c>
      <c r="F2308" s="5">
        <v>0</v>
      </c>
      <c r="G2308" s="5">
        <v>35069.760000000002</v>
      </c>
      <c r="H2308" s="5">
        <f t="shared" si="72"/>
        <v>35069.760000000002</v>
      </c>
      <c r="I2308" s="9">
        <f t="shared" si="73"/>
        <v>0</v>
      </c>
      <c r="J2308" s="3" t="s">
        <v>4603</v>
      </c>
    </row>
    <row r="2309" spans="1:10" ht="25.5">
      <c r="A2309" s="3" t="s">
        <v>1811</v>
      </c>
      <c r="B2309" s="3" t="s">
        <v>3177</v>
      </c>
      <c r="C2309" s="4">
        <v>232</v>
      </c>
      <c r="D2309" s="3" t="s">
        <v>95</v>
      </c>
      <c r="E2309" s="3" t="s">
        <v>13</v>
      </c>
      <c r="F2309" s="5">
        <v>19017.599999999999</v>
      </c>
      <c r="G2309" s="5">
        <v>0</v>
      </c>
      <c r="H2309" s="5">
        <f t="shared" si="72"/>
        <v>-19017.599999999999</v>
      </c>
      <c r="I2309" s="9">
        <f t="shared" si="73"/>
        <v>-1</v>
      </c>
      <c r="J2309" s="3" t="s">
        <v>4603</v>
      </c>
    </row>
    <row r="2310" spans="1:10" ht="25.5">
      <c r="A2310" s="3" t="s">
        <v>1811</v>
      </c>
      <c r="B2310" s="3" t="s">
        <v>3178</v>
      </c>
      <c r="C2310" s="4">
        <v>267</v>
      </c>
      <c r="D2310" s="3" t="s">
        <v>417</v>
      </c>
      <c r="E2310" s="3" t="s">
        <v>13</v>
      </c>
      <c r="F2310" s="5">
        <v>8639.64</v>
      </c>
      <c r="G2310" s="5">
        <v>19002.099999999999</v>
      </c>
      <c r="H2310" s="5">
        <f t="shared" si="72"/>
        <v>10362.459999999999</v>
      </c>
      <c r="I2310" s="9">
        <f t="shared" si="73"/>
        <v>1.1994087716617821</v>
      </c>
      <c r="J2310" s="3" t="s">
        <v>4603</v>
      </c>
    </row>
    <row r="2311" spans="1:10" ht="25.5">
      <c r="A2311" s="3" t="s">
        <v>1811</v>
      </c>
      <c r="B2311" s="3" t="s">
        <v>3179</v>
      </c>
      <c r="C2311" s="4">
        <v>178</v>
      </c>
      <c r="D2311" s="3" t="s">
        <v>92</v>
      </c>
      <c r="E2311" s="3" t="s">
        <v>8</v>
      </c>
      <c r="F2311" s="5">
        <v>0</v>
      </c>
      <c r="G2311" s="5">
        <v>10622.76</v>
      </c>
      <c r="H2311" s="5">
        <f t="shared" si="72"/>
        <v>10622.76</v>
      </c>
      <c r="I2311" s="9">
        <f t="shared" si="73"/>
        <v>0</v>
      </c>
      <c r="J2311" s="3" t="s">
        <v>4603</v>
      </c>
    </row>
    <row r="2312" spans="1:10" ht="25.5">
      <c r="A2312" s="3" t="s">
        <v>1811</v>
      </c>
      <c r="B2312" s="3" t="s">
        <v>3180</v>
      </c>
      <c r="C2312" s="4">
        <v>31</v>
      </c>
      <c r="D2312" s="3" t="s">
        <v>172</v>
      </c>
      <c r="E2312" s="3" t="s">
        <v>13</v>
      </c>
      <c r="F2312" s="5">
        <v>3323.28</v>
      </c>
      <c r="G2312" s="5">
        <v>2823</v>
      </c>
      <c r="H2312" s="5">
        <f t="shared" si="72"/>
        <v>-500.2800000000002</v>
      </c>
      <c r="I2312" s="9">
        <f t="shared" si="73"/>
        <v>-0.15053802267639205</v>
      </c>
      <c r="J2312" s="3" t="s">
        <v>4603</v>
      </c>
    </row>
    <row r="2313" spans="1:10">
      <c r="A2313" s="3" t="s">
        <v>1811</v>
      </c>
      <c r="B2313" s="3" t="s">
        <v>3181</v>
      </c>
      <c r="C2313" s="4">
        <v>232</v>
      </c>
      <c r="D2313" s="3" t="s">
        <v>95</v>
      </c>
      <c r="E2313" s="3" t="s">
        <v>13</v>
      </c>
      <c r="F2313" s="5">
        <v>0</v>
      </c>
      <c r="G2313" s="5">
        <v>2824.8</v>
      </c>
      <c r="H2313" s="5">
        <f t="shared" si="72"/>
        <v>2824.8</v>
      </c>
      <c r="I2313" s="9">
        <f t="shared" si="73"/>
        <v>0</v>
      </c>
      <c r="J2313" s="3" t="s">
        <v>4603</v>
      </c>
    </row>
    <row r="2314" spans="1:10" ht="25.5">
      <c r="A2314" s="3" t="s">
        <v>1811</v>
      </c>
      <c r="B2314" s="3" t="s">
        <v>3182</v>
      </c>
      <c r="C2314" s="4">
        <v>217</v>
      </c>
      <c r="D2314" s="3" t="s">
        <v>253</v>
      </c>
      <c r="E2314" s="3" t="s">
        <v>13</v>
      </c>
      <c r="F2314" s="5">
        <v>13472.16</v>
      </c>
      <c r="G2314" s="5">
        <v>0</v>
      </c>
      <c r="H2314" s="5">
        <f t="shared" si="72"/>
        <v>-13472.16</v>
      </c>
      <c r="I2314" s="9">
        <f t="shared" si="73"/>
        <v>-1</v>
      </c>
      <c r="J2314" s="3" t="s">
        <v>4603</v>
      </c>
    </row>
    <row r="2315" spans="1:10" ht="25.5">
      <c r="A2315" s="3" t="s">
        <v>1811</v>
      </c>
      <c r="B2315" s="3" t="s">
        <v>3183</v>
      </c>
      <c r="C2315" s="4">
        <v>327</v>
      </c>
      <c r="D2315" s="3" t="s">
        <v>76</v>
      </c>
      <c r="E2315" s="3" t="s">
        <v>8</v>
      </c>
      <c r="F2315" s="5">
        <v>0</v>
      </c>
      <c r="G2315" s="5">
        <v>4339.74</v>
      </c>
      <c r="H2315" s="5">
        <f t="shared" si="72"/>
        <v>4339.74</v>
      </c>
      <c r="I2315" s="9">
        <f t="shared" si="73"/>
        <v>0</v>
      </c>
      <c r="J2315" s="3" t="s">
        <v>4603</v>
      </c>
    </row>
    <row r="2316" spans="1:10" ht="38.25">
      <c r="A2316" s="3" t="s">
        <v>1811</v>
      </c>
      <c r="B2316" s="3" t="s">
        <v>3184</v>
      </c>
      <c r="C2316" s="4">
        <v>38</v>
      </c>
      <c r="D2316" s="3" t="s">
        <v>229</v>
      </c>
      <c r="E2316" s="3" t="s">
        <v>30</v>
      </c>
      <c r="F2316" s="5">
        <v>4520.25</v>
      </c>
      <c r="G2316" s="5">
        <v>6663.99</v>
      </c>
      <c r="H2316" s="5">
        <f t="shared" si="72"/>
        <v>2143.7399999999998</v>
      </c>
      <c r="I2316" s="9">
        <f t="shared" si="73"/>
        <v>0.47425253028040482</v>
      </c>
      <c r="J2316" s="3" t="s">
        <v>4603</v>
      </c>
    </row>
    <row r="2317" spans="1:10" ht="25.5">
      <c r="A2317" s="3" t="s">
        <v>1811</v>
      </c>
      <c r="B2317" s="3" t="s">
        <v>3185</v>
      </c>
      <c r="C2317" s="4">
        <v>270</v>
      </c>
      <c r="D2317" s="3" t="s">
        <v>312</v>
      </c>
      <c r="E2317" s="3" t="s">
        <v>30</v>
      </c>
      <c r="F2317" s="5">
        <v>8566.68</v>
      </c>
      <c r="G2317" s="5">
        <v>3599.76</v>
      </c>
      <c r="H2317" s="5">
        <f t="shared" si="72"/>
        <v>-4966.92</v>
      </c>
      <c r="I2317" s="9">
        <f t="shared" si="73"/>
        <v>-0.57979520654442562</v>
      </c>
      <c r="J2317" s="3" t="s">
        <v>4603</v>
      </c>
    </row>
    <row r="2318" spans="1:10" ht="25.5">
      <c r="A2318" s="3" t="s">
        <v>1811</v>
      </c>
      <c r="B2318" s="3" t="s">
        <v>3186</v>
      </c>
      <c r="C2318" s="4">
        <v>197</v>
      </c>
      <c r="D2318" s="3" t="s">
        <v>23</v>
      </c>
      <c r="E2318" s="3" t="s">
        <v>22</v>
      </c>
      <c r="F2318" s="5">
        <v>7282.56</v>
      </c>
      <c r="G2318" s="5">
        <v>0</v>
      </c>
      <c r="H2318" s="5">
        <f t="shared" si="72"/>
        <v>-7282.56</v>
      </c>
      <c r="I2318" s="9">
        <f t="shared" si="73"/>
        <v>-1</v>
      </c>
      <c r="J2318" s="3" t="s">
        <v>4604</v>
      </c>
    </row>
    <row r="2319" spans="1:10">
      <c r="A2319" s="3" t="s">
        <v>1811</v>
      </c>
      <c r="B2319" s="3" t="s">
        <v>3187</v>
      </c>
      <c r="C2319" s="4">
        <v>232</v>
      </c>
      <c r="D2319" s="3" t="s">
        <v>95</v>
      </c>
      <c r="E2319" s="3" t="s">
        <v>13</v>
      </c>
      <c r="F2319" s="5">
        <v>0</v>
      </c>
      <c r="G2319" s="5">
        <v>5677.38</v>
      </c>
      <c r="H2319" s="5">
        <f t="shared" si="72"/>
        <v>5677.38</v>
      </c>
      <c r="I2319" s="9">
        <f t="shared" si="73"/>
        <v>0</v>
      </c>
      <c r="J2319" s="3" t="s">
        <v>4603</v>
      </c>
    </row>
    <row r="2320" spans="1:10" ht="25.5">
      <c r="A2320" s="3" t="s">
        <v>1811</v>
      </c>
      <c r="B2320" s="3" t="s">
        <v>3188</v>
      </c>
      <c r="C2320" s="4">
        <v>296</v>
      </c>
      <c r="D2320" s="3" t="s">
        <v>137</v>
      </c>
      <c r="E2320" s="3" t="s">
        <v>18</v>
      </c>
      <c r="F2320" s="5">
        <v>5630.16</v>
      </c>
      <c r="G2320" s="5">
        <v>0</v>
      </c>
      <c r="H2320" s="5">
        <f t="shared" si="72"/>
        <v>-5630.16</v>
      </c>
      <c r="I2320" s="9">
        <f t="shared" si="73"/>
        <v>-1</v>
      </c>
      <c r="J2320" s="3" t="s">
        <v>4603</v>
      </c>
    </row>
    <row r="2321" spans="1:10" ht="25.5">
      <c r="A2321" s="3" t="s">
        <v>1811</v>
      </c>
      <c r="B2321" s="3" t="s">
        <v>3188</v>
      </c>
      <c r="C2321" s="4">
        <v>296</v>
      </c>
      <c r="D2321" s="3" t="s">
        <v>137</v>
      </c>
      <c r="E2321" s="3" t="s">
        <v>13</v>
      </c>
      <c r="F2321" s="5">
        <v>5630.16</v>
      </c>
      <c r="G2321" s="5">
        <v>0</v>
      </c>
      <c r="H2321" s="5">
        <f t="shared" si="72"/>
        <v>-5630.16</v>
      </c>
      <c r="I2321" s="9">
        <f t="shared" si="73"/>
        <v>-1</v>
      </c>
      <c r="J2321" s="3" t="s">
        <v>4603</v>
      </c>
    </row>
    <row r="2322" spans="1:10" ht="25.5">
      <c r="A2322" s="3" t="s">
        <v>1811</v>
      </c>
      <c r="B2322" s="3" t="s">
        <v>3189</v>
      </c>
      <c r="C2322" s="4">
        <v>194</v>
      </c>
      <c r="D2322" s="3" t="s">
        <v>179</v>
      </c>
      <c r="E2322" s="3" t="s">
        <v>13</v>
      </c>
      <c r="F2322" s="5">
        <v>0</v>
      </c>
      <c r="G2322" s="5">
        <v>7843.56</v>
      </c>
      <c r="H2322" s="5">
        <f t="shared" si="72"/>
        <v>7843.56</v>
      </c>
      <c r="I2322" s="9">
        <f t="shared" si="73"/>
        <v>0</v>
      </c>
      <c r="J2322" s="3" t="s">
        <v>4603</v>
      </c>
    </row>
    <row r="2323" spans="1:10" ht="38.25">
      <c r="A2323" s="3" t="s">
        <v>1811</v>
      </c>
      <c r="B2323" s="3" t="s">
        <v>3190</v>
      </c>
      <c r="C2323" s="4">
        <v>45</v>
      </c>
      <c r="D2323" s="3" t="s">
        <v>16</v>
      </c>
      <c r="E2323" s="3" t="s">
        <v>8</v>
      </c>
      <c r="F2323" s="5">
        <v>0</v>
      </c>
      <c r="G2323" s="5">
        <v>10788.63</v>
      </c>
      <c r="H2323" s="5">
        <f t="shared" si="72"/>
        <v>10788.63</v>
      </c>
      <c r="I2323" s="9">
        <f t="shared" si="73"/>
        <v>0</v>
      </c>
      <c r="J2323" s="3" t="s">
        <v>4603</v>
      </c>
    </row>
    <row r="2324" spans="1:10" ht="25.5">
      <c r="A2324" s="3" t="s">
        <v>1811</v>
      </c>
      <c r="B2324" s="3" t="s">
        <v>3191</v>
      </c>
      <c r="C2324" s="4">
        <v>315</v>
      </c>
      <c r="D2324" s="3" t="s">
        <v>79</v>
      </c>
      <c r="E2324" s="3" t="s">
        <v>8</v>
      </c>
      <c r="F2324" s="5">
        <v>3150</v>
      </c>
      <c r="G2324" s="5">
        <v>0</v>
      </c>
      <c r="H2324" s="5">
        <f t="shared" si="72"/>
        <v>-3150</v>
      </c>
      <c r="I2324" s="9">
        <f t="shared" si="73"/>
        <v>-1</v>
      </c>
      <c r="J2324" s="3" t="s">
        <v>4604</v>
      </c>
    </row>
    <row r="2325" spans="1:10" ht="25.5">
      <c r="A2325" s="3" t="s">
        <v>1811</v>
      </c>
      <c r="B2325" s="3" t="s">
        <v>3192</v>
      </c>
      <c r="C2325" s="4">
        <v>267</v>
      </c>
      <c r="D2325" s="3" t="s">
        <v>417</v>
      </c>
      <c r="E2325" s="3" t="s">
        <v>13</v>
      </c>
      <c r="F2325" s="5">
        <v>10878.84</v>
      </c>
      <c r="G2325" s="5">
        <v>0</v>
      </c>
      <c r="H2325" s="5">
        <f t="shared" si="72"/>
        <v>-10878.84</v>
      </c>
      <c r="I2325" s="9">
        <f t="shared" si="73"/>
        <v>-1</v>
      </c>
      <c r="J2325" s="3" t="s">
        <v>4603</v>
      </c>
    </row>
    <row r="2326" spans="1:10" ht="25.5">
      <c r="A2326" s="3" t="s">
        <v>1811</v>
      </c>
      <c r="B2326" s="3" t="s">
        <v>3193</v>
      </c>
      <c r="C2326" s="4">
        <v>218</v>
      </c>
      <c r="D2326" s="3" t="s">
        <v>155</v>
      </c>
      <c r="E2326" s="3" t="s">
        <v>13</v>
      </c>
      <c r="F2326" s="5">
        <v>21919.919999999998</v>
      </c>
      <c r="G2326" s="5">
        <v>0</v>
      </c>
      <c r="H2326" s="5">
        <f t="shared" si="72"/>
        <v>-21919.919999999998</v>
      </c>
      <c r="I2326" s="9">
        <f t="shared" si="73"/>
        <v>-1</v>
      </c>
      <c r="J2326" s="3" t="s">
        <v>4603</v>
      </c>
    </row>
    <row r="2327" spans="1:10" ht="51">
      <c r="A2327" s="3" t="s">
        <v>1811</v>
      </c>
      <c r="B2327" s="3" t="s">
        <v>3194</v>
      </c>
      <c r="C2327" s="4">
        <v>282</v>
      </c>
      <c r="D2327" s="3" t="s">
        <v>298</v>
      </c>
      <c r="E2327" s="3" t="s">
        <v>9</v>
      </c>
      <c r="F2327" s="5">
        <v>2195.64</v>
      </c>
      <c r="G2327" s="5">
        <v>3454.7820000000002</v>
      </c>
      <c r="H2327" s="5">
        <f t="shared" si="72"/>
        <v>1259.1420000000003</v>
      </c>
      <c r="I2327" s="9">
        <f t="shared" si="73"/>
        <v>0.57347379351806316</v>
      </c>
      <c r="J2327" s="3" t="s">
        <v>4603</v>
      </c>
    </row>
    <row r="2328" spans="1:10" ht="25.5">
      <c r="A2328" s="3" t="s">
        <v>1811</v>
      </c>
      <c r="B2328" s="3" t="s">
        <v>3195</v>
      </c>
      <c r="C2328" s="4">
        <v>266</v>
      </c>
      <c r="D2328" s="3" t="s">
        <v>111</v>
      </c>
      <c r="E2328" s="3" t="s">
        <v>18</v>
      </c>
      <c r="F2328" s="5">
        <v>0</v>
      </c>
      <c r="G2328" s="5">
        <v>13769.13</v>
      </c>
      <c r="H2328" s="5">
        <f t="shared" si="72"/>
        <v>13769.13</v>
      </c>
      <c r="I2328" s="9">
        <f t="shared" si="73"/>
        <v>0</v>
      </c>
      <c r="J2328" s="3" t="s">
        <v>4603</v>
      </c>
    </row>
    <row r="2329" spans="1:10" ht="25.5">
      <c r="A2329" s="3" t="s">
        <v>1811</v>
      </c>
      <c r="B2329" s="3" t="s">
        <v>3196</v>
      </c>
      <c r="C2329" s="4">
        <v>270</v>
      </c>
      <c r="D2329" s="3" t="s">
        <v>312</v>
      </c>
      <c r="E2329" s="3" t="s">
        <v>30</v>
      </c>
      <c r="F2329" s="5">
        <v>9118.44</v>
      </c>
      <c r="G2329" s="5">
        <v>15203.7</v>
      </c>
      <c r="H2329" s="5">
        <f t="shared" si="72"/>
        <v>6085.26</v>
      </c>
      <c r="I2329" s="9">
        <f t="shared" si="73"/>
        <v>0.66735757432192355</v>
      </c>
      <c r="J2329" s="3" t="s">
        <v>4603</v>
      </c>
    </row>
    <row r="2330" spans="1:10" ht="38.25">
      <c r="A2330" s="3" t="s">
        <v>1811</v>
      </c>
      <c r="B2330" s="3" t="s">
        <v>3197</v>
      </c>
      <c r="C2330" s="4">
        <v>292</v>
      </c>
      <c r="D2330" s="3" t="s">
        <v>619</v>
      </c>
      <c r="E2330" s="3" t="s">
        <v>30</v>
      </c>
      <c r="F2330" s="5">
        <v>0</v>
      </c>
      <c r="G2330" s="5">
        <v>2865.18</v>
      </c>
      <c r="H2330" s="5">
        <f t="shared" si="72"/>
        <v>2865.18</v>
      </c>
      <c r="I2330" s="9">
        <f t="shared" si="73"/>
        <v>0</v>
      </c>
      <c r="J2330" s="3" t="s">
        <v>4603</v>
      </c>
    </row>
    <row r="2331" spans="1:10" ht="25.5">
      <c r="A2331" s="3" t="s">
        <v>1811</v>
      </c>
      <c r="B2331" s="3" t="s">
        <v>3198</v>
      </c>
      <c r="C2331" s="4">
        <v>197</v>
      </c>
      <c r="D2331" s="3" t="s">
        <v>23</v>
      </c>
      <c r="E2331" s="3" t="s">
        <v>22</v>
      </c>
      <c r="F2331" s="5">
        <v>4367.28</v>
      </c>
      <c r="G2331" s="5">
        <v>0</v>
      </c>
      <c r="H2331" s="5">
        <f t="shared" si="72"/>
        <v>-4367.28</v>
      </c>
      <c r="I2331" s="9">
        <f t="shared" si="73"/>
        <v>-1</v>
      </c>
      <c r="J2331" s="3" t="s">
        <v>4603</v>
      </c>
    </row>
    <row r="2332" spans="1:10" ht="25.5">
      <c r="A2332" s="3" t="s">
        <v>1811</v>
      </c>
      <c r="B2332" s="3" t="s">
        <v>3199</v>
      </c>
      <c r="C2332" s="4">
        <v>208</v>
      </c>
      <c r="D2332" s="3" t="s">
        <v>58</v>
      </c>
      <c r="E2332" s="3" t="s">
        <v>13</v>
      </c>
      <c r="F2332" s="5">
        <v>9262.2000000000007</v>
      </c>
      <c r="G2332" s="5">
        <v>33188.28</v>
      </c>
      <c r="H2332" s="5">
        <f t="shared" si="72"/>
        <v>23926.079999999998</v>
      </c>
      <c r="I2332" s="9">
        <f t="shared" si="73"/>
        <v>2.5831962168815181</v>
      </c>
      <c r="J2332" s="3" t="s">
        <v>4603</v>
      </c>
    </row>
    <row r="2333" spans="1:10" ht="25.5">
      <c r="A2333" s="3" t="s">
        <v>1811</v>
      </c>
      <c r="B2333" s="3" t="s">
        <v>3200</v>
      </c>
      <c r="C2333" s="4">
        <v>217</v>
      </c>
      <c r="D2333" s="3" t="s">
        <v>253</v>
      </c>
      <c r="E2333" s="3" t="s">
        <v>13</v>
      </c>
      <c r="F2333" s="5">
        <v>9190.44</v>
      </c>
      <c r="G2333" s="5">
        <v>0</v>
      </c>
      <c r="H2333" s="5">
        <f t="shared" si="72"/>
        <v>-9190.44</v>
      </c>
      <c r="I2333" s="9">
        <f t="shared" si="73"/>
        <v>-1</v>
      </c>
      <c r="J2333" s="3" t="s">
        <v>4603</v>
      </c>
    </row>
    <row r="2334" spans="1:10" ht="25.5">
      <c r="A2334" s="3" t="s">
        <v>1811</v>
      </c>
      <c r="B2334" s="3" t="s">
        <v>3201</v>
      </c>
      <c r="C2334" s="4">
        <v>299</v>
      </c>
      <c r="D2334" s="3" t="s">
        <v>246</v>
      </c>
      <c r="E2334" s="3" t="s">
        <v>30</v>
      </c>
      <c r="F2334" s="5">
        <v>4433.16</v>
      </c>
      <c r="G2334" s="5">
        <v>0</v>
      </c>
      <c r="H2334" s="5">
        <f t="shared" si="72"/>
        <v>-4433.16</v>
      </c>
      <c r="I2334" s="9">
        <f t="shared" si="73"/>
        <v>-1</v>
      </c>
      <c r="J2334" s="3" t="s">
        <v>4603</v>
      </c>
    </row>
    <row r="2335" spans="1:10" ht="25.5">
      <c r="A2335" s="3" t="s">
        <v>1811</v>
      </c>
      <c r="B2335" s="3" t="s">
        <v>3202</v>
      </c>
      <c r="C2335" s="4">
        <v>23</v>
      </c>
      <c r="D2335" s="3" t="s">
        <v>71</v>
      </c>
      <c r="E2335" s="3" t="s">
        <v>8</v>
      </c>
      <c r="F2335" s="5">
        <v>6838.86</v>
      </c>
      <c r="G2335" s="5">
        <v>0</v>
      </c>
      <c r="H2335" s="5">
        <f t="shared" si="72"/>
        <v>-6838.86</v>
      </c>
      <c r="I2335" s="9">
        <f t="shared" si="73"/>
        <v>-1</v>
      </c>
      <c r="J2335" s="3" t="s">
        <v>4603</v>
      </c>
    </row>
    <row r="2336" spans="1:10" ht="25.5">
      <c r="A2336" s="3" t="s">
        <v>1811</v>
      </c>
      <c r="B2336" s="3" t="s">
        <v>3203</v>
      </c>
      <c r="C2336" s="4">
        <v>266</v>
      </c>
      <c r="D2336" s="3" t="s">
        <v>111</v>
      </c>
      <c r="E2336" s="3" t="s">
        <v>18</v>
      </c>
      <c r="F2336" s="5">
        <v>0</v>
      </c>
      <c r="G2336" s="5">
        <v>30841.23</v>
      </c>
      <c r="H2336" s="5">
        <f t="shared" si="72"/>
        <v>30841.23</v>
      </c>
      <c r="I2336" s="9">
        <f t="shared" si="73"/>
        <v>0</v>
      </c>
      <c r="J2336" s="3" t="s">
        <v>4603</v>
      </c>
    </row>
    <row r="2337" spans="1:10" ht="25.5">
      <c r="A2337" s="3" t="s">
        <v>1811</v>
      </c>
      <c r="B2337" s="3" t="s">
        <v>3204</v>
      </c>
      <c r="C2337" s="4">
        <v>74</v>
      </c>
      <c r="D2337" s="3" t="s">
        <v>86</v>
      </c>
      <c r="E2337" s="3" t="s">
        <v>8</v>
      </c>
      <c r="F2337" s="5">
        <v>54858.720000000001</v>
      </c>
      <c r="G2337" s="5">
        <v>55112.85</v>
      </c>
      <c r="H2337" s="5">
        <f t="shared" si="72"/>
        <v>254.12999999999738</v>
      </c>
      <c r="I2337" s="9">
        <f t="shared" si="73"/>
        <v>4.6324449422079361E-3</v>
      </c>
      <c r="J2337" s="3" t="s">
        <v>4603</v>
      </c>
    </row>
    <row r="2338" spans="1:10" ht="25.5">
      <c r="A2338" s="3" t="s">
        <v>1811</v>
      </c>
      <c r="B2338" s="3" t="s">
        <v>3205</v>
      </c>
      <c r="C2338" s="4">
        <v>167</v>
      </c>
      <c r="D2338" s="3" t="s">
        <v>335</v>
      </c>
      <c r="E2338" s="3" t="s">
        <v>30</v>
      </c>
      <c r="F2338" s="5">
        <v>2303.52</v>
      </c>
      <c r="G2338" s="5">
        <v>0</v>
      </c>
      <c r="H2338" s="5">
        <f t="shared" si="72"/>
        <v>-2303.52</v>
      </c>
      <c r="I2338" s="9">
        <f t="shared" si="73"/>
        <v>-1</v>
      </c>
      <c r="J2338" s="3" t="s">
        <v>4603</v>
      </c>
    </row>
    <row r="2339" spans="1:10" ht="38.25">
      <c r="A2339" s="3" t="s">
        <v>1811</v>
      </c>
      <c r="B2339" s="3" t="s">
        <v>3206</v>
      </c>
      <c r="C2339" s="4">
        <v>45</v>
      </c>
      <c r="D2339" s="3" t="s">
        <v>16</v>
      </c>
      <c r="E2339" s="3" t="s">
        <v>8</v>
      </c>
      <c r="F2339" s="5">
        <v>32134.560000000001</v>
      </c>
      <c r="G2339" s="5">
        <v>35233.14</v>
      </c>
      <c r="H2339" s="5">
        <f t="shared" si="72"/>
        <v>3098.5799999999981</v>
      </c>
      <c r="I2339" s="9">
        <f t="shared" si="73"/>
        <v>9.6425157213915424E-2</v>
      </c>
      <c r="J2339" s="3" t="s">
        <v>4603</v>
      </c>
    </row>
    <row r="2340" spans="1:10" ht="25.5">
      <c r="A2340" s="3" t="s">
        <v>1811</v>
      </c>
      <c r="B2340" s="3" t="s">
        <v>3207</v>
      </c>
      <c r="C2340" s="4">
        <v>261</v>
      </c>
      <c r="D2340" s="3" t="s">
        <v>17</v>
      </c>
      <c r="E2340" s="3" t="s">
        <v>18</v>
      </c>
      <c r="F2340" s="5">
        <v>4353.24</v>
      </c>
      <c r="G2340" s="5">
        <v>2617.92</v>
      </c>
      <c r="H2340" s="5">
        <f t="shared" si="72"/>
        <v>-1735.3199999999997</v>
      </c>
      <c r="I2340" s="9">
        <f t="shared" si="73"/>
        <v>-0.39862722937398343</v>
      </c>
      <c r="J2340" s="3" t="s">
        <v>4603</v>
      </c>
    </row>
    <row r="2341" spans="1:10" ht="25.5">
      <c r="A2341" s="3" t="s">
        <v>1811</v>
      </c>
      <c r="B2341" s="3" t="s">
        <v>3208</v>
      </c>
      <c r="C2341" s="4">
        <v>296</v>
      </c>
      <c r="D2341" s="3" t="s">
        <v>137</v>
      </c>
      <c r="E2341" s="3" t="s">
        <v>18</v>
      </c>
      <c r="F2341" s="5">
        <v>3402.69</v>
      </c>
      <c r="G2341" s="5">
        <v>0</v>
      </c>
      <c r="H2341" s="5">
        <f t="shared" si="72"/>
        <v>-3402.69</v>
      </c>
      <c r="I2341" s="9">
        <f t="shared" si="73"/>
        <v>-1</v>
      </c>
      <c r="J2341" s="3" t="s">
        <v>4604</v>
      </c>
    </row>
    <row r="2342" spans="1:10">
      <c r="A2342" s="3" t="s">
        <v>1811</v>
      </c>
      <c r="B2342" s="3" t="s">
        <v>3209</v>
      </c>
      <c r="C2342" s="4">
        <v>240</v>
      </c>
      <c r="D2342" s="3" t="s">
        <v>152</v>
      </c>
      <c r="E2342" s="3" t="s">
        <v>13</v>
      </c>
      <c r="F2342" s="5">
        <v>3230.7</v>
      </c>
      <c r="G2342" s="5">
        <v>0</v>
      </c>
      <c r="H2342" s="5">
        <f t="shared" si="72"/>
        <v>-3230.7</v>
      </c>
      <c r="I2342" s="9">
        <f t="shared" si="73"/>
        <v>-1</v>
      </c>
      <c r="J2342" s="3" t="s">
        <v>4603</v>
      </c>
    </row>
    <row r="2343" spans="1:10" ht="38.25">
      <c r="A2343" s="3" t="s">
        <v>1811</v>
      </c>
      <c r="B2343" s="3" t="s">
        <v>3210</v>
      </c>
      <c r="C2343" s="4">
        <v>34</v>
      </c>
      <c r="D2343" s="3" t="s">
        <v>136</v>
      </c>
      <c r="E2343" s="3" t="s">
        <v>30</v>
      </c>
      <c r="F2343" s="5">
        <v>0</v>
      </c>
      <c r="G2343" s="5">
        <v>6130.08</v>
      </c>
      <c r="H2343" s="5">
        <f t="shared" si="72"/>
        <v>6130.08</v>
      </c>
      <c r="I2343" s="9">
        <f t="shared" si="73"/>
        <v>0</v>
      </c>
      <c r="J2343" s="3" t="s">
        <v>4604</v>
      </c>
    </row>
    <row r="2344" spans="1:10" ht="38.25">
      <c r="A2344" s="3" t="s">
        <v>1811</v>
      </c>
      <c r="B2344" s="3" t="s">
        <v>3211</v>
      </c>
      <c r="C2344" s="4">
        <v>178</v>
      </c>
      <c r="D2344" s="3" t="s">
        <v>92</v>
      </c>
      <c r="E2344" s="3" t="s">
        <v>8</v>
      </c>
      <c r="F2344" s="5">
        <v>0</v>
      </c>
      <c r="G2344" s="5">
        <v>30393.63</v>
      </c>
      <c r="H2344" s="5">
        <f t="shared" si="72"/>
        <v>30393.63</v>
      </c>
      <c r="I2344" s="9">
        <f t="shared" si="73"/>
        <v>0</v>
      </c>
      <c r="J2344" s="3" t="s">
        <v>4603</v>
      </c>
    </row>
    <row r="2345" spans="1:10">
      <c r="A2345" s="3" t="s">
        <v>1811</v>
      </c>
      <c r="B2345" s="3" t="s">
        <v>3212</v>
      </c>
      <c r="C2345" s="4">
        <v>167</v>
      </c>
      <c r="D2345" s="3" t="s">
        <v>335</v>
      </c>
      <c r="E2345" s="3" t="s">
        <v>30</v>
      </c>
      <c r="F2345" s="5">
        <v>0</v>
      </c>
      <c r="G2345" s="5">
        <v>12981</v>
      </c>
      <c r="H2345" s="5">
        <f t="shared" si="72"/>
        <v>12981</v>
      </c>
      <c r="I2345" s="9">
        <f t="shared" si="73"/>
        <v>0</v>
      </c>
      <c r="J2345" s="3" t="s">
        <v>4603</v>
      </c>
    </row>
    <row r="2346" spans="1:10" ht="38.25">
      <c r="A2346" s="3" t="s">
        <v>1811</v>
      </c>
      <c r="B2346" s="3" t="s">
        <v>3213</v>
      </c>
      <c r="C2346" s="4">
        <v>143</v>
      </c>
      <c r="D2346" s="3" t="s">
        <v>21</v>
      </c>
      <c r="E2346" s="3" t="s">
        <v>22</v>
      </c>
      <c r="F2346" s="5">
        <v>0</v>
      </c>
      <c r="G2346" s="5">
        <v>5901.12</v>
      </c>
      <c r="H2346" s="5">
        <f t="shared" si="72"/>
        <v>5901.12</v>
      </c>
      <c r="I2346" s="9">
        <f t="shared" si="73"/>
        <v>0</v>
      </c>
      <c r="J2346" s="3" t="s">
        <v>4603</v>
      </c>
    </row>
    <row r="2347" spans="1:10">
      <c r="A2347" s="3" t="s">
        <v>1811</v>
      </c>
      <c r="B2347" s="3" t="s">
        <v>3214</v>
      </c>
      <c r="C2347" s="4">
        <v>232</v>
      </c>
      <c r="D2347" s="3" t="s">
        <v>95</v>
      </c>
      <c r="E2347" s="3" t="s">
        <v>13</v>
      </c>
      <c r="F2347" s="5">
        <v>23559.54</v>
      </c>
      <c r="G2347" s="5">
        <v>0</v>
      </c>
      <c r="H2347" s="5">
        <f t="shared" si="72"/>
        <v>-23559.54</v>
      </c>
      <c r="I2347" s="9">
        <f t="shared" si="73"/>
        <v>-1</v>
      </c>
      <c r="J2347" s="3" t="s">
        <v>4603</v>
      </c>
    </row>
    <row r="2348" spans="1:10" ht="25.5">
      <c r="A2348" s="3" t="s">
        <v>1811</v>
      </c>
      <c r="B2348" s="3" t="s">
        <v>3215</v>
      </c>
      <c r="C2348" s="4">
        <v>194</v>
      </c>
      <c r="D2348" s="3" t="s">
        <v>179</v>
      </c>
      <c r="E2348" s="3" t="s">
        <v>13</v>
      </c>
      <c r="F2348" s="5">
        <v>0</v>
      </c>
      <c r="G2348" s="5">
        <v>5273.4</v>
      </c>
      <c r="H2348" s="5">
        <f t="shared" si="72"/>
        <v>5273.4</v>
      </c>
      <c r="I2348" s="9">
        <f t="shared" si="73"/>
        <v>0</v>
      </c>
      <c r="J2348" s="3" t="s">
        <v>4603</v>
      </c>
    </row>
    <row r="2349" spans="1:10" ht="38.25">
      <c r="A2349" s="3" t="s">
        <v>1811</v>
      </c>
      <c r="B2349" s="3" t="s">
        <v>3216</v>
      </c>
      <c r="C2349" s="4">
        <v>45</v>
      </c>
      <c r="D2349" s="3" t="s">
        <v>16</v>
      </c>
      <c r="E2349" s="3" t="s">
        <v>8</v>
      </c>
      <c r="F2349" s="5">
        <v>0</v>
      </c>
      <c r="G2349" s="5">
        <v>19341.240000000002</v>
      </c>
      <c r="H2349" s="5">
        <f t="shared" si="72"/>
        <v>19341.240000000002</v>
      </c>
      <c r="I2349" s="9">
        <f t="shared" si="73"/>
        <v>0</v>
      </c>
      <c r="J2349" s="3" t="s">
        <v>4603</v>
      </c>
    </row>
    <row r="2350" spans="1:10" ht="25.5">
      <c r="A2350" s="3" t="s">
        <v>1811</v>
      </c>
      <c r="B2350" s="3" t="s">
        <v>3217</v>
      </c>
      <c r="C2350" s="4">
        <v>320</v>
      </c>
      <c r="D2350" s="3" t="s">
        <v>188</v>
      </c>
      <c r="E2350" s="3" t="s">
        <v>30</v>
      </c>
      <c r="F2350" s="5">
        <v>2255.64</v>
      </c>
      <c r="G2350" s="5">
        <v>3536.28</v>
      </c>
      <c r="H2350" s="5">
        <f t="shared" si="72"/>
        <v>1280.6400000000003</v>
      </c>
      <c r="I2350" s="9">
        <f t="shared" si="73"/>
        <v>0.56775017289993102</v>
      </c>
      <c r="J2350" s="3" t="s">
        <v>4603</v>
      </c>
    </row>
    <row r="2351" spans="1:10" ht="51">
      <c r="A2351" s="3" t="s">
        <v>1811</v>
      </c>
      <c r="B2351" s="3" t="s">
        <v>3218</v>
      </c>
      <c r="C2351" s="4">
        <v>282</v>
      </c>
      <c r="D2351" s="3" t="s">
        <v>298</v>
      </c>
      <c r="E2351" s="3" t="s">
        <v>9</v>
      </c>
      <c r="F2351" s="5">
        <v>2531.52</v>
      </c>
      <c r="G2351" s="5">
        <v>0</v>
      </c>
      <c r="H2351" s="5">
        <f t="shared" si="72"/>
        <v>-2531.52</v>
      </c>
      <c r="I2351" s="9">
        <f t="shared" si="73"/>
        <v>-1</v>
      </c>
      <c r="J2351" s="3" t="s">
        <v>4603</v>
      </c>
    </row>
    <row r="2352" spans="1:10" ht="38.25">
      <c r="A2352" s="3" t="s">
        <v>1811</v>
      </c>
      <c r="B2352" s="3" t="s">
        <v>3219</v>
      </c>
      <c r="C2352" s="4">
        <v>11</v>
      </c>
      <c r="D2352" s="3" t="s">
        <v>55</v>
      </c>
      <c r="E2352" s="3" t="s">
        <v>18</v>
      </c>
      <c r="F2352" s="5">
        <v>4943.28</v>
      </c>
      <c r="G2352" s="5">
        <v>6886.56</v>
      </c>
      <c r="H2352" s="5">
        <f t="shared" si="72"/>
        <v>1943.2800000000007</v>
      </c>
      <c r="I2352" s="9">
        <f t="shared" si="73"/>
        <v>0.39311550225761049</v>
      </c>
      <c r="J2352" s="3" t="s">
        <v>4603</v>
      </c>
    </row>
    <row r="2353" spans="1:10" ht="25.5">
      <c r="A2353" s="3" t="s">
        <v>1811</v>
      </c>
      <c r="B2353" s="3" t="s">
        <v>3220</v>
      </c>
      <c r="C2353" s="4">
        <v>232</v>
      </c>
      <c r="D2353" s="3" t="s">
        <v>95</v>
      </c>
      <c r="E2353" s="3" t="s">
        <v>13</v>
      </c>
      <c r="F2353" s="5">
        <v>0</v>
      </c>
      <c r="G2353" s="5">
        <v>4182.96</v>
      </c>
      <c r="H2353" s="5">
        <f t="shared" si="72"/>
        <v>4182.96</v>
      </c>
      <c r="I2353" s="9">
        <f t="shared" si="73"/>
        <v>0</v>
      </c>
      <c r="J2353" s="3" t="s">
        <v>4603</v>
      </c>
    </row>
    <row r="2354" spans="1:10" ht="25.5">
      <c r="A2354" s="3" t="s">
        <v>1811</v>
      </c>
      <c r="B2354" s="3" t="s">
        <v>3221</v>
      </c>
      <c r="C2354" s="4">
        <v>31</v>
      </c>
      <c r="D2354" s="3" t="s">
        <v>172</v>
      </c>
      <c r="E2354" s="3" t="s">
        <v>13</v>
      </c>
      <c r="F2354" s="5">
        <v>4727.16</v>
      </c>
      <c r="G2354" s="5">
        <v>0</v>
      </c>
      <c r="H2354" s="5">
        <f t="shared" si="72"/>
        <v>-4727.16</v>
      </c>
      <c r="I2354" s="9">
        <f t="shared" si="73"/>
        <v>-1</v>
      </c>
      <c r="J2354" s="3" t="s">
        <v>4603</v>
      </c>
    </row>
    <row r="2355" spans="1:10" ht="38.25">
      <c r="A2355" s="3" t="s">
        <v>1811</v>
      </c>
      <c r="B2355" s="3" t="s">
        <v>3222</v>
      </c>
      <c r="C2355" s="4">
        <v>301</v>
      </c>
      <c r="D2355" s="3" t="s">
        <v>12</v>
      </c>
      <c r="E2355" s="3" t="s">
        <v>13</v>
      </c>
      <c r="F2355" s="5">
        <v>0</v>
      </c>
      <c r="G2355" s="5">
        <v>4455.12</v>
      </c>
      <c r="H2355" s="5">
        <f t="shared" si="72"/>
        <v>4455.12</v>
      </c>
      <c r="I2355" s="9">
        <f t="shared" si="73"/>
        <v>0</v>
      </c>
      <c r="J2355" s="3" t="s">
        <v>4603</v>
      </c>
    </row>
    <row r="2356" spans="1:10" ht="25.5">
      <c r="A2356" s="3" t="s">
        <v>1811</v>
      </c>
      <c r="B2356" s="3" t="s">
        <v>3223</v>
      </c>
      <c r="C2356" s="4">
        <v>53</v>
      </c>
      <c r="D2356" s="3" t="s">
        <v>340</v>
      </c>
      <c r="E2356" s="3" t="s">
        <v>13</v>
      </c>
      <c r="F2356" s="5">
        <v>12046.08</v>
      </c>
      <c r="G2356" s="5">
        <v>0</v>
      </c>
      <c r="H2356" s="5">
        <f t="shared" si="72"/>
        <v>-12046.08</v>
      </c>
      <c r="I2356" s="9">
        <f t="shared" si="73"/>
        <v>-1</v>
      </c>
      <c r="J2356" s="3" t="s">
        <v>4603</v>
      </c>
    </row>
    <row r="2357" spans="1:10" ht="25.5">
      <c r="A2357" s="3" t="s">
        <v>1811</v>
      </c>
      <c r="B2357" s="3" t="s">
        <v>3224</v>
      </c>
      <c r="C2357" s="4">
        <v>31</v>
      </c>
      <c r="D2357" s="3" t="s">
        <v>172</v>
      </c>
      <c r="E2357" s="3" t="s">
        <v>13</v>
      </c>
      <c r="F2357" s="5">
        <v>0</v>
      </c>
      <c r="G2357" s="5">
        <v>5317.26</v>
      </c>
      <c r="H2357" s="5">
        <f t="shared" si="72"/>
        <v>5317.26</v>
      </c>
      <c r="I2357" s="9">
        <f t="shared" si="73"/>
        <v>0</v>
      </c>
      <c r="J2357" s="3" t="s">
        <v>4603</v>
      </c>
    </row>
    <row r="2358" spans="1:10" ht="38.25">
      <c r="A2358" s="3" t="s">
        <v>1811</v>
      </c>
      <c r="B2358" s="3" t="s">
        <v>3225</v>
      </c>
      <c r="C2358" s="4">
        <v>11</v>
      </c>
      <c r="D2358" s="3" t="s">
        <v>55</v>
      </c>
      <c r="E2358" s="3" t="s">
        <v>18</v>
      </c>
      <c r="F2358" s="5">
        <v>0</v>
      </c>
      <c r="G2358" s="5">
        <v>11975.64</v>
      </c>
      <c r="H2358" s="5">
        <f t="shared" si="72"/>
        <v>11975.64</v>
      </c>
      <c r="I2358" s="9">
        <f t="shared" si="73"/>
        <v>0</v>
      </c>
      <c r="J2358" s="3" t="s">
        <v>4603</v>
      </c>
    </row>
    <row r="2359" spans="1:10">
      <c r="A2359" s="3" t="s">
        <v>1811</v>
      </c>
      <c r="B2359" s="3" t="s">
        <v>3226</v>
      </c>
      <c r="C2359" s="4">
        <v>240</v>
      </c>
      <c r="D2359" s="3" t="s">
        <v>152</v>
      </c>
      <c r="E2359" s="3" t="s">
        <v>13</v>
      </c>
      <c r="F2359" s="5">
        <v>0</v>
      </c>
      <c r="G2359" s="5">
        <v>3531.72</v>
      </c>
      <c r="H2359" s="5">
        <f t="shared" si="72"/>
        <v>3531.72</v>
      </c>
      <c r="I2359" s="9">
        <f t="shared" si="73"/>
        <v>0</v>
      </c>
      <c r="J2359" s="3" t="s">
        <v>4603</v>
      </c>
    </row>
    <row r="2360" spans="1:10" ht="25.5">
      <c r="A2360" s="3" t="s">
        <v>1811</v>
      </c>
      <c r="B2360" s="3" t="s">
        <v>3227</v>
      </c>
      <c r="C2360" s="4">
        <v>297</v>
      </c>
      <c r="D2360" s="3" t="s">
        <v>209</v>
      </c>
      <c r="E2360" s="3" t="s">
        <v>22</v>
      </c>
      <c r="F2360" s="5">
        <v>23536.240000000002</v>
      </c>
      <c r="G2360" s="5">
        <v>3893.78</v>
      </c>
      <c r="H2360" s="5">
        <f t="shared" si="72"/>
        <v>-19642.460000000003</v>
      </c>
      <c r="I2360" s="9">
        <f t="shared" si="73"/>
        <v>-0.83456236000312711</v>
      </c>
      <c r="J2360" s="3" t="s">
        <v>4603</v>
      </c>
    </row>
    <row r="2361" spans="1:10" ht="25.5">
      <c r="A2361" s="3" t="s">
        <v>1811</v>
      </c>
      <c r="B2361" s="3" t="s">
        <v>3228</v>
      </c>
      <c r="C2361" s="4">
        <v>231</v>
      </c>
      <c r="D2361" s="3" t="s">
        <v>89</v>
      </c>
      <c r="E2361" s="3" t="s">
        <v>8</v>
      </c>
      <c r="F2361" s="5">
        <v>9859.32</v>
      </c>
      <c r="G2361" s="5">
        <v>0</v>
      </c>
      <c r="H2361" s="5">
        <f t="shared" si="72"/>
        <v>-9859.32</v>
      </c>
      <c r="I2361" s="9">
        <f t="shared" si="73"/>
        <v>-1</v>
      </c>
      <c r="J2361" s="3" t="s">
        <v>4603</v>
      </c>
    </row>
    <row r="2362" spans="1:10" ht="25.5">
      <c r="A2362" s="3" t="s">
        <v>1811</v>
      </c>
      <c r="B2362" s="3" t="s">
        <v>3229</v>
      </c>
      <c r="C2362" s="4">
        <v>31</v>
      </c>
      <c r="D2362" s="3" t="s">
        <v>172</v>
      </c>
      <c r="E2362" s="3" t="s">
        <v>13</v>
      </c>
      <c r="F2362" s="5">
        <v>0</v>
      </c>
      <c r="G2362" s="5">
        <v>7629.96</v>
      </c>
      <c r="H2362" s="5">
        <f t="shared" si="72"/>
        <v>7629.96</v>
      </c>
      <c r="I2362" s="9">
        <f t="shared" si="73"/>
        <v>0</v>
      </c>
      <c r="J2362" s="3" t="s">
        <v>4603</v>
      </c>
    </row>
    <row r="2363" spans="1:10" ht="25.5">
      <c r="A2363" s="3" t="s">
        <v>1811</v>
      </c>
      <c r="B2363" s="3" t="s">
        <v>3230</v>
      </c>
      <c r="C2363" s="4">
        <v>261</v>
      </c>
      <c r="D2363" s="3" t="s">
        <v>17</v>
      </c>
      <c r="E2363" s="3" t="s">
        <v>18</v>
      </c>
      <c r="F2363" s="5">
        <v>8391.24</v>
      </c>
      <c r="G2363" s="5">
        <v>6997.26</v>
      </c>
      <c r="H2363" s="5">
        <f t="shared" si="72"/>
        <v>-1393.9799999999996</v>
      </c>
      <c r="I2363" s="9">
        <f t="shared" si="73"/>
        <v>-0.16612324281035928</v>
      </c>
      <c r="J2363" s="3" t="s">
        <v>4603</v>
      </c>
    </row>
    <row r="2364" spans="1:10" ht="25.5">
      <c r="A2364" s="3" t="s">
        <v>1811</v>
      </c>
      <c r="B2364" s="3" t="s">
        <v>3231</v>
      </c>
      <c r="C2364" s="4">
        <v>299</v>
      </c>
      <c r="D2364" s="3" t="s">
        <v>246</v>
      </c>
      <c r="E2364" s="3" t="s">
        <v>30</v>
      </c>
      <c r="F2364" s="5">
        <v>8950.6200000000008</v>
      </c>
      <c r="G2364" s="5">
        <v>7135.4690000000001</v>
      </c>
      <c r="H2364" s="5">
        <f t="shared" si="72"/>
        <v>-1815.1510000000007</v>
      </c>
      <c r="I2364" s="9">
        <f t="shared" si="73"/>
        <v>-0.20279611915152251</v>
      </c>
      <c r="J2364" s="3" t="s">
        <v>4603</v>
      </c>
    </row>
    <row r="2365" spans="1:10" ht="25.5">
      <c r="A2365" s="3" t="s">
        <v>1811</v>
      </c>
      <c r="B2365" s="3" t="s">
        <v>3232</v>
      </c>
      <c r="C2365" s="4">
        <v>197</v>
      </c>
      <c r="D2365" s="3" t="s">
        <v>23</v>
      </c>
      <c r="E2365" s="3" t="s">
        <v>22</v>
      </c>
      <c r="F2365" s="5">
        <v>1780.65</v>
      </c>
      <c r="G2365" s="5">
        <v>2915.4</v>
      </c>
      <c r="H2365" s="5">
        <f t="shared" si="72"/>
        <v>1134.75</v>
      </c>
      <c r="I2365" s="9">
        <f t="shared" si="73"/>
        <v>0.63726729003453797</v>
      </c>
      <c r="J2365" s="3" t="s">
        <v>4603</v>
      </c>
    </row>
    <row r="2366" spans="1:10" ht="25.5">
      <c r="A2366" s="3" t="s">
        <v>1811</v>
      </c>
      <c r="B2366" s="3" t="s">
        <v>3233</v>
      </c>
      <c r="C2366" s="4">
        <v>61</v>
      </c>
      <c r="D2366" s="3" t="s">
        <v>114</v>
      </c>
      <c r="E2366" s="3" t="s">
        <v>30</v>
      </c>
      <c r="F2366" s="5">
        <v>8411.43</v>
      </c>
      <c r="G2366" s="5">
        <v>0</v>
      </c>
      <c r="H2366" s="5">
        <f t="shared" si="72"/>
        <v>-8411.43</v>
      </c>
      <c r="I2366" s="9">
        <f t="shared" si="73"/>
        <v>-1</v>
      </c>
      <c r="J2366" s="3" t="s">
        <v>4603</v>
      </c>
    </row>
    <row r="2367" spans="1:10" ht="25.5">
      <c r="A2367" s="3" t="s">
        <v>1811</v>
      </c>
      <c r="B2367" s="3" t="s">
        <v>3234</v>
      </c>
      <c r="C2367" s="4">
        <v>267</v>
      </c>
      <c r="D2367" s="3" t="s">
        <v>417</v>
      </c>
      <c r="E2367" s="3" t="s">
        <v>13</v>
      </c>
      <c r="F2367" s="5">
        <v>7414.69</v>
      </c>
      <c r="G2367" s="5">
        <v>5539.44</v>
      </c>
      <c r="H2367" s="5">
        <f t="shared" si="72"/>
        <v>-1875.25</v>
      </c>
      <c r="I2367" s="9">
        <f t="shared" si="73"/>
        <v>-0.25291010143377535</v>
      </c>
      <c r="J2367" s="3" t="s">
        <v>4603</v>
      </c>
    </row>
    <row r="2368" spans="1:10">
      <c r="A2368" s="3" t="s">
        <v>1811</v>
      </c>
      <c r="B2368" s="3" t="s">
        <v>3235</v>
      </c>
      <c r="C2368" s="4">
        <v>15</v>
      </c>
      <c r="D2368" s="3" t="s">
        <v>33</v>
      </c>
      <c r="E2368" s="3" t="s">
        <v>13</v>
      </c>
      <c r="F2368" s="5">
        <v>0</v>
      </c>
      <c r="G2368" s="5">
        <v>33898.199999999997</v>
      </c>
      <c r="H2368" s="5">
        <f t="shared" si="72"/>
        <v>33898.199999999997</v>
      </c>
      <c r="I2368" s="9">
        <f t="shared" si="73"/>
        <v>0</v>
      </c>
      <c r="J2368" s="3" t="s">
        <v>4603</v>
      </c>
    </row>
    <row r="2369" spans="1:10" ht="25.5">
      <c r="A2369" s="3" t="s">
        <v>1811</v>
      </c>
      <c r="B2369" s="3" t="s">
        <v>3236</v>
      </c>
      <c r="C2369" s="4">
        <v>31</v>
      </c>
      <c r="D2369" s="3" t="s">
        <v>172</v>
      </c>
      <c r="E2369" s="3" t="s">
        <v>13</v>
      </c>
      <c r="F2369" s="5">
        <v>0</v>
      </c>
      <c r="G2369" s="5">
        <v>11829.99</v>
      </c>
      <c r="H2369" s="5">
        <f t="shared" si="72"/>
        <v>11829.99</v>
      </c>
      <c r="I2369" s="9">
        <f t="shared" si="73"/>
        <v>0</v>
      </c>
      <c r="J2369" s="3" t="s">
        <v>4603</v>
      </c>
    </row>
    <row r="2370" spans="1:10" ht="25.5">
      <c r="A2370" s="3" t="s">
        <v>1811</v>
      </c>
      <c r="B2370" s="3" t="s">
        <v>3237</v>
      </c>
      <c r="C2370" s="4">
        <v>31</v>
      </c>
      <c r="D2370" s="3" t="s">
        <v>172</v>
      </c>
      <c r="E2370" s="3" t="s">
        <v>13</v>
      </c>
      <c r="F2370" s="5">
        <v>0</v>
      </c>
      <c r="G2370" s="5">
        <v>27865.53</v>
      </c>
      <c r="H2370" s="5">
        <f t="shared" si="72"/>
        <v>27865.53</v>
      </c>
      <c r="I2370" s="9">
        <f t="shared" si="73"/>
        <v>0</v>
      </c>
      <c r="J2370" s="3" t="s">
        <v>4603</v>
      </c>
    </row>
    <row r="2371" spans="1:10" ht="25.5">
      <c r="A2371" s="3" t="s">
        <v>1811</v>
      </c>
      <c r="B2371" s="3" t="s">
        <v>3238</v>
      </c>
      <c r="C2371" s="4">
        <v>240</v>
      </c>
      <c r="D2371" s="3" t="s">
        <v>152</v>
      </c>
      <c r="E2371" s="3" t="s">
        <v>13</v>
      </c>
      <c r="F2371" s="5">
        <v>9835.2000000000007</v>
      </c>
      <c r="G2371" s="5">
        <v>0</v>
      </c>
      <c r="H2371" s="5">
        <f t="shared" ref="H2371:H2434" si="74">G2371-F2371</f>
        <v>-9835.2000000000007</v>
      </c>
      <c r="I2371" s="9">
        <f t="shared" ref="I2371:I2434" si="75">IFERROR(G2371/F2371-1,0)</f>
        <v>-1</v>
      </c>
      <c r="J2371" s="3" t="s">
        <v>4604</v>
      </c>
    </row>
    <row r="2372" spans="1:10" ht="25.5">
      <c r="A2372" s="3" t="s">
        <v>1811</v>
      </c>
      <c r="B2372" s="3" t="s">
        <v>3239</v>
      </c>
      <c r="C2372" s="4">
        <v>218</v>
      </c>
      <c r="D2372" s="3" t="s">
        <v>155</v>
      </c>
      <c r="E2372" s="3" t="s">
        <v>13</v>
      </c>
      <c r="F2372" s="5">
        <v>0</v>
      </c>
      <c r="G2372" s="5">
        <v>10508.7</v>
      </c>
      <c r="H2372" s="5">
        <f t="shared" si="74"/>
        <v>10508.7</v>
      </c>
      <c r="I2372" s="9">
        <f t="shared" si="75"/>
        <v>0</v>
      </c>
      <c r="J2372" s="3" t="s">
        <v>4603</v>
      </c>
    </row>
    <row r="2373" spans="1:10" ht="25.5">
      <c r="A2373" s="3" t="s">
        <v>1811</v>
      </c>
      <c r="B2373" s="3" t="s">
        <v>3240</v>
      </c>
      <c r="C2373" s="4">
        <v>297</v>
      </c>
      <c r="D2373" s="3" t="s">
        <v>209</v>
      </c>
      <c r="E2373" s="3" t="s">
        <v>22</v>
      </c>
      <c r="F2373" s="5">
        <v>12692.07</v>
      </c>
      <c r="G2373" s="5">
        <v>22217.08</v>
      </c>
      <c r="H2373" s="5">
        <f t="shared" si="74"/>
        <v>9525.010000000002</v>
      </c>
      <c r="I2373" s="9">
        <f t="shared" si="75"/>
        <v>0.75046938757822823</v>
      </c>
      <c r="J2373" s="3" t="s">
        <v>4603</v>
      </c>
    </row>
    <row r="2374" spans="1:10" ht="25.5">
      <c r="A2374" s="3" t="s">
        <v>1811</v>
      </c>
      <c r="B2374" s="3" t="s">
        <v>3241</v>
      </c>
      <c r="C2374" s="4">
        <v>31</v>
      </c>
      <c r="D2374" s="3" t="s">
        <v>172</v>
      </c>
      <c r="E2374" s="3" t="s">
        <v>13</v>
      </c>
      <c r="F2374" s="5">
        <v>18896.88</v>
      </c>
      <c r="G2374" s="5">
        <v>16875.96</v>
      </c>
      <c r="H2374" s="5">
        <f t="shared" si="74"/>
        <v>-2020.9200000000019</v>
      </c>
      <c r="I2374" s="9">
        <f t="shared" si="75"/>
        <v>-0.10694463848000313</v>
      </c>
      <c r="J2374" s="3" t="s">
        <v>4603</v>
      </c>
    </row>
    <row r="2375" spans="1:10" ht="25.5">
      <c r="A2375" s="3" t="s">
        <v>1811</v>
      </c>
      <c r="B2375" s="3" t="s">
        <v>3242</v>
      </c>
      <c r="C2375" s="4">
        <v>261</v>
      </c>
      <c r="D2375" s="3" t="s">
        <v>17</v>
      </c>
      <c r="E2375" s="3" t="s">
        <v>18</v>
      </c>
      <c r="F2375" s="5">
        <v>0</v>
      </c>
      <c r="G2375" s="5">
        <v>29016.54</v>
      </c>
      <c r="H2375" s="5">
        <f t="shared" si="74"/>
        <v>29016.54</v>
      </c>
      <c r="I2375" s="9">
        <f t="shared" si="75"/>
        <v>0</v>
      </c>
      <c r="J2375" s="3" t="s">
        <v>4603</v>
      </c>
    </row>
    <row r="2376" spans="1:10">
      <c r="A2376" s="3" t="s">
        <v>1811</v>
      </c>
      <c r="B2376" s="3" t="s">
        <v>3243</v>
      </c>
      <c r="C2376" s="4">
        <v>315</v>
      </c>
      <c r="D2376" s="3" t="s">
        <v>79</v>
      </c>
      <c r="E2376" s="3" t="s">
        <v>8</v>
      </c>
      <c r="F2376" s="5">
        <v>0</v>
      </c>
      <c r="G2376" s="5">
        <v>1852.32</v>
      </c>
      <c r="H2376" s="5">
        <f t="shared" si="74"/>
        <v>1852.32</v>
      </c>
      <c r="I2376" s="9">
        <f t="shared" si="75"/>
        <v>0</v>
      </c>
      <c r="J2376" s="3" t="s">
        <v>4603</v>
      </c>
    </row>
    <row r="2377" spans="1:10" ht="25.5">
      <c r="A2377" s="3" t="s">
        <v>1811</v>
      </c>
      <c r="B2377" s="3" t="s">
        <v>3244</v>
      </c>
      <c r="C2377" s="4">
        <v>61</v>
      </c>
      <c r="D2377" s="3" t="s">
        <v>114</v>
      </c>
      <c r="E2377" s="3" t="s">
        <v>30</v>
      </c>
      <c r="F2377" s="5">
        <v>0</v>
      </c>
      <c r="G2377" s="5">
        <v>3054.24</v>
      </c>
      <c r="H2377" s="5">
        <f t="shared" si="74"/>
        <v>3054.24</v>
      </c>
      <c r="I2377" s="9">
        <f t="shared" si="75"/>
        <v>0</v>
      </c>
      <c r="J2377" s="3" t="s">
        <v>4603</v>
      </c>
    </row>
    <row r="2378" spans="1:10" ht="25.5">
      <c r="A2378" s="3" t="s">
        <v>1811</v>
      </c>
      <c r="B2378" s="3" t="s">
        <v>3245</v>
      </c>
      <c r="C2378" s="4">
        <v>217</v>
      </c>
      <c r="D2378" s="3" t="s">
        <v>253</v>
      </c>
      <c r="E2378" s="3" t="s">
        <v>13</v>
      </c>
      <c r="F2378" s="5">
        <v>17408.759999999998</v>
      </c>
      <c r="G2378" s="5">
        <v>0</v>
      </c>
      <c r="H2378" s="5">
        <f t="shared" si="74"/>
        <v>-17408.759999999998</v>
      </c>
      <c r="I2378" s="9">
        <f t="shared" si="75"/>
        <v>-1</v>
      </c>
      <c r="J2378" s="3" t="s">
        <v>4603</v>
      </c>
    </row>
    <row r="2379" spans="1:10" ht="25.5">
      <c r="A2379" s="3" t="s">
        <v>1811</v>
      </c>
      <c r="B2379" s="3" t="s">
        <v>3246</v>
      </c>
      <c r="C2379" s="4">
        <v>316</v>
      </c>
      <c r="D2379" s="3" t="s">
        <v>167</v>
      </c>
      <c r="E2379" s="3" t="s">
        <v>18</v>
      </c>
      <c r="F2379" s="5">
        <v>0</v>
      </c>
      <c r="G2379" s="5">
        <v>11580.84</v>
      </c>
      <c r="H2379" s="5">
        <f t="shared" si="74"/>
        <v>11580.84</v>
      </c>
      <c r="I2379" s="9">
        <f t="shared" si="75"/>
        <v>0</v>
      </c>
      <c r="J2379" s="3" t="s">
        <v>4603</v>
      </c>
    </row>
    <row r="2380" spans="1:10" ht="38.25">
      <c r="A2380" s="3" t="s">
        <v>1811</v>
      </c>
      <c r="B2380" s="3" t="s">
        <v>3247</v>
      </c>
      <c r="C2380" s="4">
        <v>143</v>
      </c>
      <c r="D2380" s="3" t="s">
        <v>21</v>
      </c>
      <c r="E2380" s="3" t="s">
        <v>22</v>
      </c>
      <c r="F2380" s="5">
        <v>8980.74</v>
      </c>
      <c r="G2380" s="5">
        <v>11571.3</v>
      </c>
      <c r="H2380" s="5">
        <f t="shared" si="74"/>
        <v>2590.5599999999995</v>
      </c>
      <c r="I2380" s="9">
        <f t="shared" si="75"/>
        <v>0.28845729861904479</v>
      </c>
      <c r="J2380" s="3" t="s">
        <v>4603</v>
      </c>
    </row>
    <row r="2381" spans="1:10" ht="25.5">
      <c r="A2381" s="3" t="s">
        <v>1811</v>
      </c>
      <c r="B2381" s="3" t="s">
        <v>3248</v>
      </c>
      <c r="C2381" s="4">
        <v>270</v>
      </c>
      <c r="D2381" s="3" t="s">
        <v>312</v>
      </c>
      <c r="E2381" s="3" t="s">
        <v>30</v>
      </c>
      <c r="F2381" s="5">
        <v>0</v>
      </c>
      <c r="G2381" s="5">
        <v>4145.28</v>
      </c>
      <c r="H2381" s="5">
        <f t="shared" si="74"/>
        <v>4145.28</v>
      </c>
      <c r="I2381" s="9">
        <f t="shared" si="75"/>
        <v>0</v>
      </c>
      <c r="J2381" s="3" t="s">
        <v>4603</v>
      </c>
    </row>
    <row r="2382" spans="1:10" ht="38.25">
      <c r="A2382" s="3" t="s">
        <v>1811</v>
      </c>
      <c r="B2382" s="3" t="s">
        <v>3249</v>
      </c>
      <c r="C2382" s="4">
        <v>292</v>
      </c>
      <c r="D2382" s="3" t="s">
        <v>619</v>
      </c>
      <c r="E2382" s="3" t="s">
        <v>30</v>
      </c>
      <c r="F2382" s="5">
        <v>10198.26</v>
      </c>
      <c r="G2382" s="5">
        <v>8445.6</v>
      </c>
      <c r="H2382" s="5">
        <f t="shared" si="74"/>
        <v>-1752.6599999999999</v>
      </c>
      <c r="I2382" s="9">
        <f t="shared" si="75"/>
        <v>-0.17185872884197895</v>
      </c>
      <c r="J2382" s="3" t="s">
        <v>4603</v>
      </c>
    </row>
    <row r="2383" spans="1:10" ht="25.5">
      <c r="A2383" s="3" t="s">
        <v>1811</v>
      </c>
      <c r="B2383" s="3" t="s">
        <v>3250</v>
      </c>
      <c r="C2383" s="4">
        <v>194</v>
      </c>
      <c r="D2383" s="3" t="s">
        <v>179</v>
      </c>
      <c r="E2383" s="3" t="s">
        <v>13</v>
      </c>
      <c r="F2383" s="5">
        <v>4055.4</v>
      </c>
      <c r="G2383" s="5">
        <v>2237.16</v>
      </c>
      <c r="H2383" s="5">
        <f t="shared" si="74"/>
        <v>-1818.2400000000002</v>
      </c>
      <c r="I2383" s="9">
        <f t="shared" si="75"/>
        <v>-0.44835034768456872</v>
      </c>
      <c r="J2383" s="3" t="s">
        <v>4603</v>
      </c>
    </row>
    <row r="2384" spans="1:10" ht="38.25">
      <c r="A2384" s="3" t="s">
        <v>1811</v>
      </c>
      <c r="B2384" s="3" t="s">
        <v>3251</v>
      </c>
      <c r="C2384" s="4">
        <v>11</v>
      </c>
      <c r="D2384" s="3" t="s">
        <v>55</v>
      </c>
      <c r="E2384" s="3" t="s">
        <v>18</v>
      </c>
      <c r="F2384" s="5">
        <v>0</v>
      </c>
      <c r="G2384" s="5">
        <v>4218.72</v>
      </c>
      <c r="H2384" s="5">
        <f t="shared" si="74"/>
        <v>4218.72</v>
      </c>
      <c r="I2384" s="9">
        <f t="shared" si="75"/>
        <v>0</v>
      </c>
      <c r="J2384" s="3" t="s">
        <v>4603</v>
      </c>
    </row>
    <row r="2385" spans="1:10" ht="25.5">
      <c r="A2385" s="3" t="s">
        <v>1811</v>
      </c>
      <c r="B2385" s="3" t="s">
        <v>3252</v>
      </c>
      <c r="C2385" s="4">
        <v>39</v>
      </c>
      <c r="D2385" s="3" t="s">
        <v>26</v>
      </c>
      <c r="E2385" s="3" t="s">
        <v>9</v>
      </c>
      <c r="F2385" s="5">
        <v>0</v>
      </c>
      <c r="G2385" s="5">
        <v>3151.62</v>
      </c>
      <c r="H2385" s="5">
        <f t="shared" si="74"/>
        <v>3151.62</v>
      </c>
      <c r="I2385" s="9">
        <f t="shared" si="75"/>
        <v>0</v>
      </c>
      <c r="J2385" s="3" t="s">
        <v>4603</v>
      </c>
    </row>
    <row r="2386" spans="1:10">
      <c r="A2386" s="3" t="s">
        <v>1811</v>
      </c>
      <c r="B2386" s="3" t="s">
        <v>3253</v>
      </c>
      <c r="C2386" s="4">
        <v>240</v>
      </c>
      <c r="D2386" s="3" t="s">
        <v>152</v>
      </c>
      <c r="E2386" s="3" t="s">
        <v>13</v>
      </c>
      <c r="F2386" s="5">
        <v>0</v>
      </c>
      <c r="G2386" s="5">
        <v>9133.7999999999993</v>
      </c>
      <c r="H2386" s="5">
        <f t="shared" si="74"/>
        <v>9133.7999999999993</v>
      </c>
      <c r="I2386" s="9">
        <f t="shared" si="75"/>
        <v>0</v>
      </c>
      <c r="J2386" s="3" t="s">
        <v>4603</v>
      </c>
    </row>
    <row r="2387" spans="1:10" ht="25.5">
      <c r="A2387" s="3" t="s">
        <v>1811</v>
      </c>
      <c r="B2387" s="3" t="s">
        <v>3254</v>
      </c>
      <c r="C2387" s="4">
        <v>232</v>
      </c>
      <c r="D2387" s="3" t="s">
        <v>95</v>
      </c>
      <c r="E2387" s="3" t="s">
        <v>13</v>
      </c>
      <c r="F2387" s="5">
        <v>3573.6</v>
      </c>
      <c r="G2387" s="5">
        <v>6759.36</v>
      </c>
      <c r="H2387" s="5">
        <f t="shared" si="74"/>
        <v>3185.7599999999998</v>
      </c>
      <c r="I2387" s="9">
        <f t="shared" si="75"/>
        <v>0.89147078576225658</v>
      </c>
      <c r="J2387" s="3" t="s">
        <v>4603</v>
      </c>
    </row>
    <row r="2388" spans="1:10" ht="38.25">
      <c r="A2388" s="3" t="s">
        <v>1811</v>
      </c>
      <c r="B2388" s="3" t="s">
        <v>3255</v>
      </c>
      <c r="C2388" s="4">
        <v>371</v>
      </c>
      <c r="D2388" s="3" t="s">
        <v>29</v>
      </c>
      <c r="E2388" s="3" t="s">
        <v>30</v>
      </c>
      <c r="F2388" s="5">
        <v>0</v>
      </c>
      <c r="G2388" s="5">
        <v>2650.6439999999998</v>
      </c>
      <c r="H2388" s="5">
        <f t="shared" si="74"/>
        <v>2650.6439999999998</v>
      </c>
      <c r="I2388" s="9">
        <f t="shared" si="75"/>
        <v>0</v>
      </c>
      <c r="J2388" s="3" t="s">
        <v>4603</v>
      </c>
    </row>
    <row r="2389" spans="1:10" ht="25.5">
      <c r="A2389" s="3" t="s">
        <v>1811</v>
      </c>
      <c r="B2389" s="3" t="s">
        <v>3256</v>
      </c>
      <c r="C2389" s="4">
        <v>197</v>
      </c>
      <c r="D2389" s="3" t="s">
        <v>23</v>
      </c>
      <c r="E2389" s="3" t="s">
        <v>22</v>
      </c>
      <c r="F2389" s="5">
        <v>0</v>
      </c>
      <c r="G2389" s="5">
        <v>2023.92</v>
      </c>
      <c r="H2389" s="5">
        <f t="shared" si="74"/>
        <v>2023.92</v>
      </c>
      <c r="I2389" s="9">
        <f t="shared" si="75"/>
        <v>0</v>
      </c>
      <c r="J2389" s="3" t="s">
        <v>4603</v>
      </c>
    </row>
    <row r="2390" spans="1:10" ht="25.5">
      <c r="A2390" s="3" t="s">
        <v>1811</v>
      </c>
      <c r="B2390" s="3" t="s">
        <v>3257</v>
      </c>
      <c r="C2390" s="4">
        <v>273</v>
      </c>
      <c r="D2390" s="3" t="s">
        <v>771</v>
      </c>
      <c r="E2390" s="3" t="s">
        <v>13</v>
      </c>
      <c r="F2390" s="5">
        <v>0</v>
      </c>
      <c r="G2390" s="5">
        <v>3694.2</v>
      </c>
      <c r="H2390" s="5">
        <f t="shared" si="74"/>
        <v>3694.2</v>
      </c>
      <c r="I2390" s="9">
        <f t="shared" si="75"/>
        <v>0</v>
      </c>
      <c r="J2390" s="3" t="s">
        <v>4603</v>
      </c>
    </row>
    <row r="2391" spans="1:10" ht="25.5">
      <c r="A2391" s="3" t="s">
        <v>1811</v>
      </c>
      <c r="B2391" s="3" t="s">
        <v>3258</v>
      </c>
      <c r="C2391" s="4">
        <v>327</v>
      </c>
      <c r="D2391" s="3" t="s">
        <v>76</v>
      </c>
      <c r="E2391" s="3" t="s">
        <v>8</v>
      </c>
      <c r="F2391" s="5">
        <v>7132.8</v>
      </c>
      <c r="G2391" s="5">
        <v>0</v>
      </c>
      <c r="H2391" s="5">
        <f t="shared" si="74"/>
        <v>-7132.8</v>
      </c>
      <c r="I2391" s="9">
        <f t="shared" si="75"/>
        <v>-1</v>
      </c>
      <c r="J2391" s="3" t="s">
        <v>4603</v>
      </c>
    </row>
    <row r="2392" spans="1:10" ht="25.5">
      <c r="A2392" s="3" t="s">
        <v>1811</v>
      </c>
      <c r="B2392" s="3" t="s">
        <v>3259</v>
      </c>
      <c r="C2392" s="4">
        <v>317</v>
      </c>
      <c r="D2392" s="3" t="s">
        <v>54</v>
      </c>
      <c r="E2392" s="3" t="s">
        <v>18</v>
      </c>
      <c r="F2392" s="5">
        <v>0</v>
      </c>
      <c r="G2392" s="5">
        <v>7121.16</v>
      </c>
      <c r="H2392" s="5">
        <f t="shared" si="74"/>
        <v>7121.16</v>
      </c>
      <c r="I2392" s="9">
        <f t="shared" si="75"/>
        <v>0</v>
      </c>
      <c r="J2392" s="3" t="s">
        <v>4603</v>
      </c>
    </row>
    <row r="2393" spans="1:10">
      <c r="A2393" s="3" t="s">
        <v>1811</v>
      </c>
      <c r="B2393" s="3" t="s">
        <v>3260</v>
      </c>
      <c r="C2393" s="4">
        <v>167</v>
      </c>
      <c r="D2393" s="3" t="s">
        <v>335</v>
      </c>
      <c r="E2393" s="3" t="s">
        <v>30</v>
      </c>
      <c r="F2393" s="5">
        <v>5273.16</v>
      </c>
      <c r="G2393" s="5">
        <v>7635.69</v>
      </c>
      <c r="H2393" s="5">
        <f t="shared" si="74"/>
        <v>2362.5299999999997</v>
      </c>
      <c r="I2393" s="9">
        <f t="shared" si="75"/>
        <v>0.44802926518444353</v>
      </c>
      <c r="J2393" s="3" t="s">
        <v>4603</v>
      </c>
    </row>
    <row r="2394" spans="1:10" ht="25.5">
      <c r="A2394" s="3" t="s">
        <v>1811</v>
      </c>
      <c r="B2394" s="3" t="s">
        <v>3261</v>
      </c>
      <c r="C2394" s="4">
        <v>217</v>
      </c>
      <c r="D2394" s="3" t="s">
        <v>253</v>
      </c>
      <c r="E2394" s="3" t="s">
        <v>13</v>
      </c>
      <c r="F2394" s="5">
        <v>3587.28</v>
      </c>
      <c r="G2394" s="5">
        <v>7559.4</v>
      </c>
      <c r="H2394" s="5">
        <f t="shared" si="74"/>
        <v>3972.1199999999994</v>
      </c>
      <c r="I2394" s="9">
        <f t="shared" si="75"/>
        <v>1.1072790526527059</v>
      </c>
      <c r="J2394" s="3" t="s">
        <v>4603</v>
      </c>
    </row>
    <row r="2395" spans="1:10" ht="25.5">
      <c r="A2395" s="3" t="s">
        <v>1811</v>
      </c>
      <c r="B2395" s="3" t="s">
        <v>3262</v>
      </c>
      <c r="C2395" s="4">
        <v>178</v>
      </c>
      <c r="D2395" s="3" t="s">
        <v>92</v>
      </c>
      <c r="E2395" s="3" t="s">
        <v>8</v>
      </c>
      <c r="F2395" s="5">
        <v>0</v>
      </c>
      <c r="G2395" s="5">
        <v>3002.88</v>
      </c>
      <c r="H2395" s="5">
        <f t="shared" si="74"/>
        <v>3002.88</v>
      </c>
      <c r="I2395" s="9">
        <f t="shared" si="75"/>
        <v>0</v>
      </c>
      <c r="J2395" s="3" t="s">
        <v>4603</v>
      </c>
    </row>
    <row r="2396" spans="1:10" ht="38.25">
      <c r="A2396" s="3" t="s">
        <v>1811</v>
      </c>
      <c r="B2396" s="3" t="s">
        <v>3263</v>
      </c>
      <c r="C2396" s="4">
        <v>34</v>
      </c>
      <c r="D2396" s="3" t="s">
        <v>136</v>
      </c>
      <c r="E2396" s="3" t="s">
        <v>30</v>
      </c>
      <c r="F2396" s="5">
        <v>17030.36</v>
      </c>
      <c r="G2396" s="5">
        <v>24257.43</v>
      </c>
      <c r="H2396" s="5">
        <f t="shared" si="74"/>
        <v>7227.07</v>
      </c>
      <c r="I2396" s="9">
        <f t="shared" si="75"/>
        <v>0.42436390070438912</v>
      </c>
      <c r="J2396" s="3" t="s">
        <v>4603</v>
      </c>
    </row>
    <row r="2397" spans="1:10">
      <c r="A2397" s="3" t="s">
        <v>1811</v>
      </c>
      <c r="B2397" s="3" t="s">
        <v>3264</v>
      </c>
      <c r="C2397" s="4">
        <v>264</v>
      </c>
      <c r="D2397" s="3" t="s">
        <v>632</v>
      </c>
      <c r="E2397" s="3" t="s">
        <v>22</v>
      </c>
      <c r="F2397" s="5">
        <v>0</v>
      </c>
      <c r="G2397" s="5">
        <v>6545.1</v>
      </c>
      <c r="H2397" s="5">
        <f t="shared" si="74"/>
        <v>6545.1</v>
      </c>
      <c r="I2397" s="9">
        <f t="shared" si="75"/>
        <v>0</v>
      </c>
      <c r="J2397" s="3" t="s">
        <v>4603</v>
      </c>
    </row>
    <row r="2398" spans="1:10" ht="25.5">
      <c r="A2398" s="3" t="s">
        <v>1811</v>
      </c>
      <c r="B2398" s="3" t="s">
        <v>3265</v>
      </c>
      <c r="C2398" s="4">
        <v>19</v>
      </c>
      <c r="D2398" s="3" t="s">
        <v>53</v>
      </c>
      <c r="E2398" s="3" t="s">
        <v>22</v>
      </c>
      <c r="F2398" s="5">
        <v>5135.28</v>
      </c>
      <c r="G2398" s="5">
        <v>0</v>
      </c>
      <c r="H2398" s="5">
        <f t="shared" si="74"/>
        <v>-5135.28</v>
      </c>
      <c r="I2398" s="9">
        <f t="shared" si="75"/>
        <v>-1</v>
      </c>
      <c r="J2398" s="3" t="s">
        <v>4603</v>
      </c>
    </row>
    <row r="2399" spans="1:10" ht="38.25">
      <c r="A2399" s="3" t="s">
        <v>1811</v>
      </c>
      <c r="B2399" s="3" t="s">
        <v>3266</v>
      </c>
      <c r="C2399" s="4">
        <v>371</v>
      </c>
      <c r="D2399" s="3" t="s">
        <v>29</v>
      </c>
      <c r="E2399" s="3" t="s">
        <v>30</v>
      </c>
      <c r="F2399" s="5">
        <v>0</v>
      </c>
      <c r="G2399" s="5">
        <v>2109.6</v>
      </c>
      <c r="H2399" s="5">
        <f t="shared" si="74"/>
        <v>2109.6</v>
      </c>
      <c r="I2399" s="9">
        <f t="shared" si="75"/>
        <v>0</v>
      </c>
      <c r="J2399" s="3" t="s">
        <v>4603</v>
      </c>
    </row>
    <row r="2400" spans="1:10" ht="25.5">
      <c r="A2400" s="3" t="s">
        <v>1811</v>
      </c>
      <c r="B2400" s="3" t="s">
        <v>3267</v>
      </c>
      <c r="C2400" s="4">
        <v>194</v>
      </c>
      <c r="D2400" s="3" t="s">
        <v>179</v>
      </c>
      <c r="E2400" s="3" t="s">
        <v>13</v>
      </c>
      <c r="F2400" s="5">
        <v>5739.6</v>
      </c>
      <c r="G2400" s="5">
        <v>0</v>
      </c>
      <c r="H2400" s="5">
        <f t="shared" si="74"/>
        <v>-5739.6</v>
      </c>
      <c r="I2400" s="9">
        <f t="shared" si="75"/>
        <v>-1</v>
      </c>
      <c r="J2400" s="3" t="s">
        <v>4603</v>
      </c>
    </row>
    <row r="2401" spans="1:10" ht="25.5">
      <c r="A2401" s="3" t="s">
        <v>1811</v>
      </c>
      <c r="B2401" s="3" t="s">
        <v>3268</v>
      </c>
      <c r="C2401" s="4">
        <v>194</v>
      </c>
      <c r="D2401" s="3" t="s">
        <v>179</v>
      </c>
      <c r="E2401" s="3" t="s">
        <v>13</v>
      </c>
      <c r="F2401" s="5">
        <v>0</v>
      </c>
      <c r="G2401" s="5">
        <v>18803.91</v>
      </c>
      <c r="H2401" s="5">
        <f t="shared" si="74"/>
        <v>18803.91</v>
      </c>
      <c r="I2401" s="9">
        <f t="shared" si="75"/>
        <v>0</v>
      </c>
      <c r="J2401" s="3" t="s">
        <v>4603</v>
      </c>
    </row>
    <row r="2402" spans="1:10" ht="25.5">
      <c r="A2402" s="3" t="s">
        <v>1811</v>
      </c>
      <c r="B2402" s="3" t="s">
        <v>3269</v>
      </c>
      <c r="C2402" s="4">
        <v>74</v>
      </c>
      <c r="D2402" s="3" t="s">
        <v>86</v>
      </c>
      <c r="E2402" s="3" t="s">
        <v>8</v>
      </c>
      <c r="F2402" s="5">
        <v>7381.86</v>
      </c>
      <c r="G2402" s="5">
        <v>7967.37</v>
      </c>
      <c r="H2402" s="5">
        <f t="shared" si="74"/>
        <v>585.51000000000022</v>
      </c>
      <c r="I2402" s="9">
        <f t="shared" si="75"/>
        <v>7.9317407807788287E-2</v>
      </c>
      <c r="J2402" s="3" t="s">
        <v>4603</v>
      </c>
    </row>
    <row r="2403" spans="1:10" ht="25.5">
      <c r="A2403" s="3" t="s">
        <v>1811</v>
      </c>
      <c r="B2403" s="3" t="s">
        <v>3270</v>
      </c>
      <c r="C2403" s="4">
        <v>240</v>
      </c>
      <c r="D2403" s="3" t="s">
        <v>152</v>
      </c>
      <c r="E2403" s="3" t="s">
        <v>13</v>
      </c>
      <c r="F2403" s="5">
        <v>15799.08</v>
      </c>
      <c r="G2403" s="5">
        <v>34867.019999999997</v>
      </c>
      <c r="H2403" s="5">
        <f t="shared" si="74"/>
        <v>19067.939999999995</v>
      </c>
      <c r="I2403" s="9">
        <f t="shared" si="75"/>
        <v>1.2069019208713416</v>
      </c>
      <c r="J2403" s="3" t="s">
        <v>4603</v>
      </c>
    </row>
    <row r="2404" spans="1:10">
      <c r="A2404" s="3" t="s">
        <v>1811</v>
      </c>
      <c r="B2404" s="3" t="s">
        <v>3271</v>
      </c>
      <c r="C2404" s="4">
        <v>217</v>
      </c>
      <c r="D2404" s="3" t="s">
        <v>253</v>
      </c>
      <c r="E2404" s="3" t="s">
        <v>13</v>
      </c>
      <c r="F2404" s="5">
        <v>3230.64</v>
      </c>
      <c r="G2404" s="5">
        <v>0</v>
      </c>
      <c r="H2404" s="5">
        <f t="shared" si="74"/>
        <v>-3230.64</v>
      </c>
      <c r="I2404" s="9">
        <f t="shared" si="75"/>
        <v>-1</v>
      </c>
      <c r="J2404" s="3" t="s">
        <v>4603</v>
      </c>
    </row>
    <row r="2405" spans="1:10" ht="25.5">
      <c r="A2405" s="3" t="s">
        <v>1811</v>
      </c>
      <c r="B2405" s="3" t="s">
        <v>3272</v>
      </c>
      <c r="C2405" s="4">
        <v>327</v>
      </c>
      <c r="D2405" s="3" t="s">
        <v>76</v>
      </c>
      <c r="E2405" s="3" t="s">
        <v>8</v>
      </c>
      <c r="F2405" s="5">
        <v>3451.14</v>
      </c>
      <c r="G2405" s="5">
        <v>0</v>
      </c>
      <c r="H2405" s="5">
        <f t="shared" si="74"/>
        <v>-3451.14</v>
      </c>
      <c r="I2405" s="9">
        <f t="shared" si="75"/>
        <v>-1</v>
      </c>
      <c r="J2405" s="3" t="s">
        <v>4603</v>
      </c>
    </row>
    <row r="2406" spans="1:10">
      <c r="A2406" s="3" t="s">
        <v>1811</v>
      </c>
      <c r="B2406" s="3" t="s">
        <v>3273</v>
      </c>
      <c r="C2406" s="4">
        <v>231</v>
      </c>
      <c r="D2406" s="3" t="s">
        <v>89</v>
      </c>
      <c r="E2406" s="3" t="s">
        <v>8</v>
      </c>
      <c r="F2406" s="5">
        <v>7132.8</v>
      </c>
      <c r="G2406" s="5">
        <v>0</v>
      </c>
      <c r="H2406" s="5">
        <f t="shared" si="74"/>
        <v>-7132.8</v>
      </c>
      <c r="I2406" s="9">
        <f t="shared" si="75"/>
        <v>-1</v>
      </c>
      <c r="J2406" s="3" t="s">
        <v>4603</v>
      </c>
    </row>
    <row r="2407" spans="1:10" ht="25.5">
      <c r="A2407" s="3" t="s">
        <v>1811</v>
      </c>
      <c r="B2407" s="3" t="s">
        <v>3274</v>
      </c>
      <c r="C2407" s="4">
        <v>61</v>
      </c>
      <c r="D2407" s="3" t="s">
        <v>114</v>
      </c>
      <c r="E2407" s="3" t="s">
        <v>30</v>
      </c>
      <c r="F2407" s="5">
        <v>0</v>
      </c>
      <c r="G2407" s="5">
        <v>10723.23</v>
      </c>
      <c r="H2407" s="5">
        <f t="shared" si="74"/>
        <v>10723.23</v>
      </c>
      <c r="I2407" s="9">
        <f t="shared" si="75"/>
        <v>0</v>
      </c>
      <c r="J2407" s="3" t="s">
        <v>4603</v>
      </c>
    </row>
    <row r="2408" spans="1:10" ht="25.5">
      <c r="A2408" s="3" t="s">
        <v>1811</v>
      </c>
      <c r="B2408" s="3" t="s">
        <v>3275</v>
      </c>
      <c r="C2408" s="4">
        <v>332</v>
      </c>
      <c r="D2408" s="3" t="s">
        <v>1850</v>
      </c>
      <c r="E2408" s="3" t="s">
        <v>9</v>
      </c>
      <c r="F2408" s="5">
        <v>0</v>
      </c>
      <c r="G2408" s="5">
        <v>6793.26</v>
      </c>
      <c r="H2408" s="5">
        <f t="shared" si="74"/>
        <v>6793.26</v>
      </c>
      <c r="I2408" s="9">
        <f t="shared" si="75"/>
        <v>0</v>
      </c>
      <c r="J2408" s="3" t="s">
        <v>4603</v>
      </c>
    </row>
    <row r="2409" spans="1:10">
      <c r="A2409" s="3" t="s">
        <v>1811</v>
      </c>
      <c r="B2409" s="3" t="s">
        <v>3276</v>
      </c>
      <c r="C2409" s="4">
        <v>315</v>
      </c>
      <c r="D2409" s="3" t="s">
        <v>79</v>
      </c>
      <c r="E2409" s="3" t="s">
        <v>8</v>
      </c>
      <c r="F2409" s="5">
        <v>9030.7800000000007</v>
      </c>
      <c r="G2409" s="5">
        <v>0</v>
      </c>
      <c r="H2409" s="5">
        <f t="shared" si="74"/>
        <v>-9030.7800000000007</v>
      </c>
      <c r="I2409" s="9">
        <f t="shared" si="75"/>
        <v>-1</v>
      </c>
      <c r="J2409" s="3" t="s">
        <v>4603</v>
      </c>
    </row>
    <row r="2410" spans="1:10" ht="25.5">
      <c r="A2410" s="3" t="s">
        <v>1811</v>
      </c>
      <c r="B2410" s="3" t="s">
        <v>3277</v>
      </c>
      <c r="C2410" s="4">
        <v>19</v>
      </c>
      <c r="D2410" s="3" t="s">
        <v>53</v>
      </c>
      <c r="E2410" s="3" t="s">
        <v>22</v>
      </c>
      <c r="F2410" s="5">
        <v>0</v>
      </c>
      <c r="G2410" s="5">
        <v>39867.480000000003</v>
      </c>
      <c r="H2410" s="5">
        <f t="shared" si="74"/>
        <v>39867.480000000003</v>
      </c>
      <c r="I2410" s="9">
        <f t="shared" si="75"/>
        <v>0</v>
      </c>
      <c r="J2410" s="3" t="s">
        <v>4603</v>
      </c>
    </row>
    <row r="2411" spans="1:10" ht="38.25">
      <c r="A2411" s="3" t="s">
        <v>1811</v>
      </c>
      <c r="B2411" s="3" t="s">
        <v>3278</v>
      </c>
      <c r="C2411" s="4">
        <v>143</v>
      </c>
      <c r="D2411" s="3" t="s">
        <v>21</v>
      </c>
      <c r="E2411" s="3" t="s">
        <v>22</v>
      </c>
      <c r="F2411" s="5">
        <v>23343.29</v>
      </c>
      <c r="G2411" s="5">
        <v>0</v>
      </c>
      <c r="H2411" s="5">
        <f t="shared" si="74"/>
        <v>-23343.29</v>
      </c>
      <c r="I2411" s="9">
        <f t="shared" si="75"/>
        <v>-1</v>
      </c>
      <c r="J2411" s="3" t="s">
        <v>4603</v>
      </c>
    </row>
    <row r="2412" spans="1:10" ht="38.25">
      <c r="A2412" s="3" t="s">
        <v>1811</v>
      </c>
      <c r="B2412" s="3" t="s">
        <v>3279</v>
      </c>
      <c r="C2412" s="4">
        <v>45</v>
      </c>
      <c r="D2412" s="3" t="s">
        <v>16</v>
      </c>
      <c r="E2412" s="3" t="s">
        <v>8</v>
      </c>
      <c r="F2412" s="5">
        <v>15021.72</v>
      </c>
      <c r="G2412" s="5">
        <v>56653.26</v>
      </c>
      <c r="H2412" s="5">
        <f t="shared" si="74"/>
        <v>41631.54</v>
      </c>
      <c r="I2412" s="9">
        <f t="shared" si="75"/>
        <v>2.7714229795256471</v>
      </c>
      <c r="J2412" s="3" t="s">
        <v>4603</v>
      </c>
    </row>
    <row r="2413" spans="1:10" ht="25.5">
      <c r="A2413" s="3" t="s">
        <v>1811</v>
      </c>
      <c r="B2413" s="3" t="s">
        <v>3280</v>
      </c>
      <c r="C2413" s="4">
        <v>264</v>
      </c>
      <c r="D2413" s="3" t="s">
        <v>632</v>
      </c>
      <c r="E2413" s="3" t="s">
        <v>22</v>
      </c>
      <c r="F2413" s="5">
        <v>0</v>
      </c>
      <c r="G2413" s="5">
        <v>5531.4</v>
      </c>
      <c r="H2413" s="5">
        <f t="shared" si="74"/>
        <v>5531.4</v>
      </c>
      <c r="I2413" s="9">
        <f t="shared" si="75"/>
        <v>0</v>
      </c>
      <c r="J2413" s="3" t="s">
        <v>4603</v>
      </c>
    </row>
    <row r="2414" spans="1:10" ht="25.5">
      <c r="A2414" s="3" t="s">
        <v>1811</v>
      </c>
      <c r="B2414" s="3" t="s">
        <v>3281</v>
      </c>
      <c r="C2414" s="4">
        <v>267</v>
      </c>
      <c r="D2414" s="3" t="s">
        <v>417</v>
      </c>
      <c r="E2414" s="3" t="s">
        <v>13</v>
      </c>
      <c r="F2414" s="5">
        <v>9859.2000000000007</v>
      </c>
      <c r="G2414" s="5">
        <v>0</v>
      </c>
      <c r="H2414" s="5">
        <f t="shared" si="74"/>
        <v>-9859.2000000000007</v>
      </c>
      <c r="I2414" s="9">
        <f t="shared" si="75"/>
        <v>-1</v>
      </c>
      <c r="J2414" s="3" t="s">
        <v>4603</v>
      </c>
    </row>
    <row r="2415" spans="1:10" ht="25.5">
      <c r="A2415" s="3" t="s">
        <v>1811</v>
      </c>
      <c r="B2415" s="3" t="s">
        <v>3282</v>
      </c>
      <c r="C2415" s="4">
        <v>197</v>
      </c>
      <c r="D2415" s="3" t="s">
        <v>23</v>
      </c>
      <c r="E2415" s="3" t="s">
        <v>22</v>
      </c>
      <c r="F2415" s="5">
        <v>22516.73</v>
      </c>
      <c r="G2415" s="5">
        <v>12836.41</v>
      </c>
      <c r="H2415" s="5">
        <f t="shared" si="74"/>
        <v>-9680.32</v>
      </c>
      <c r="I2415" s="9">
        <f t="shared" si="75"/>
        <v>-0.4299167774361552</v>
      </c>
      <c r="J2415" s="3" t="s">
        <v>4603</v>
      </c>
    </row>
    <row r="2416" spans="1:10" ht="25.5">
      <c r="A2416" s="3" t="s">
        <v>1811</v>
      </c>
      <c r="B2416" s="3" t="s">
        <v>3283</v>
      </c>
      <c r="C2416" s="4">
        <v>299</v>
      </c>
      <c r="D2416" s="3" t="s">
        <v>246</v>
      </c>
      <c r="E2416" s="3" t="s">
        <v>30</v>
      </c>
      <c r="F2416" s="5">
        <v>3299.37</v>
      </c>
      <c r="G2416" s="5">
        <v>0</v>
      </c>
      <c r="H2416" s="5">
        <f t="shared" si="74"/>
        <v>-3299.37</v>
      </c>
      <c r="I2416" s="9">
        <f t="shared" si="75"/>
        <v>-1</v>
      </c>
      <c r="J2416" s="3" t="s">
        <v>4603</v>
      </c>
    </row>
    <row r="2417" spans="1:10" ht="51">
      <c r="A2417" s="3" t="s">
        <v>1811</v>
      </c>
      <c r="B2417" s="3" t="s">
        <v>3284</v>
      </c>
      <c r="C2417" s="4">
        <v>217</v>
      </c>
      <c r="D2417" s="3" t="s">
        <v>253</v>
      </c>
      <c r="E2417" s="3" t="s">
        <v>13</v>
      </c>
      <c r="F2417" s="5">
        <v>4811.28</v>
      </c>
      <c r="G2417" s="5">
        <v>0</v>
      </c>
      <c r="H2417" s="5">
        <f t="shared" si="74"/>
        <v>-4811.28</v>
      </c>
      <c r="I2417" s="9">
        <f t="shared" si="75"/>
        <v>-1</v>
      </c>
      <c r="J2417" s="3" t="s">
        <v>4603</v>
      </c>
    </row>
    <row r="2418" spans="1:10" ht="25.5">
      <c r="A2418" s="3" t="s">
        <v>1811</v>
      </c>
      <c r="B2418" s="3" t="s">
        <v>3285</v>
      </c>
      <c r="C2418" s="4">
        <v>61</v>
      </c>
      <c r="D2418" s="3" t="s">
        <v>114</v>
      </c>
      <c r="E2418" s="3" t="s">
        <v>30</v>
      </c>
      <c r="F2418" s="5">
        <v>21752.880000000001</v>
      </c>
      <c r="G2418" s="5">
        <v>19411.560000000001</v>
      </c>
      <c r="H2418" s="5">
        <f t="shared" si="74"/>
        <v>-2341.3199999999997</v>
      </c>
      <c r="I2418" s="9">
        <f t="shared" si="75"/>
        <v>-0.10763264450500343</v>
      </c>
      <c r="J2418" s="3" t="s">
        <v>4603</v>
      </c>
    </row>
    <row r="2419" spans="1:10" ht="25.5">
      <c r="A2419" s="3" t="s">
        <v>1811</v>
      </c>
      <c r="B2419" s="3" t="s">
        <v>3286</v>
      </c>
      <c r="C2419" s="4">
        <v>320</v>
      </c>
      <c r="D2419" s="3" t="s">
        <v>188</v>
      </c>
      <c r="E2419" s="3" t="s">
        <v>30</v>
      </c>
      <c r="F2419" s="5">
        <v>5659.8</v>
      </c>
      <c r="G2419" s="5">
        <v>0</v>
      </c>
      <c r="H2419" s="5">
        <f t="shared" si="74"/>
        <v>-5659.8</v>
      </c>
      <c r="I2419" s="9">
        <f t="shared" si="75"/>
        <v>-1</v>
      </c>
      <c r="J2419" s="3" t="s">
        <v>4603</v>
      </c>
    </row>
    <row r="2420" spans="1:10">
      <c r="A2420" s="3" t="s">
        <v>1811</v>
      </c>
      <c r="B2420" s="3" t="s">
        <v>3287</v>
      </c>
      <c r="C2420" s="4">
        <v>315</v>
      </c>
      <c r="D2420" s="3" t="s">
        <v>79</v>
      </c>
      <c r="E2420" s="3" t="s">
        <v>8</v>
      </c>
      <c r="F2420" s="5">
        <v>4232.9399999999996</v>
      </c>
      <c r="G2420" s="5">
        <v>0</v>
      </c>
      <c r="H2420" s="5">
        <f t="shared" si="74"/>
        <v>-4232.9399999999996</v>
      </c>
      <c r="I2420" s="9">
        <f t="shared" si="75"/>
        <v>-1</v>
      </c>
      <c r="J2420" s="3" t="s">
        <v>4603</v>
      </c>
    </row>
    <row r="2421" spans="1:10">
      <c r="A2421" s="3" t="s">
        <v>1811</v>
      </c>
      <c r="B2421" s="3" t="s">
        <v>3288</v>
      </c>
      <c r="C2421" s="4">
        <v>232</v>
      </c>
      <c r="D2421" s="3" t="s">
        <v>95</v>
      </c>
      <c r="E2421" s="3" t="s">
        <v>13</v>
      </c>
      <c r="F2421" s="5">
        <v>3769.08</v>
      </c>
      <c r="G2421" s="5">
        <v>3639.72</v>
      </c>
      <c r="H2421" s="5">
        <f t="shared" si="74"/>
        <v>-129.36000000000013</v>
      </c>
      <c r="I2421" s="9">
        <f t="shared" si="75"/>
        <v>-3.4321372854914212E-2</v>
      </c>
      <c r="J2421" s="3" t="s">
        <v>4603</v>
      </c>
    </row>
    <row r="2422" spans="1:10">
      <c r="A2422" s="3" t="s">
        <v>1811</v>
      </c>
      <c r="B2422" s="3" t="s">
        <v>3289</v>
      </c>
      <c r="C2422" s="4">
        <v>232</v>
      </c>
      <c r="D2422" s="3" t="s">
        <v>95</v>
      </c>
      <c r="E2422" s="3" t="s">
        <v>13</v>
      </c>
      <c r="F2422" s="5">
        <v>13792.2</v>
      </c>
      <c r="G2422" s="5">
        <v>0</v>
      </c>
      <c r="H2422" s="5">
        <f t="shared" si="74"/>
        <v>-13792.2</v>
      </c>
      <c r="I2422" s="9">
        <f t="shared" si="75"/>
        <v>-1</v>
      </c>
      <c r="J2422" s="3" t="s">
        <v>4604</v>
      </c>
    </row>
    <row r="2423" spans="1:10" ht="25.5">
      <c r="A2423" s="3" t="s">
        <v>1811</v>
      </c>
      <c r="B2423" s="3" t="s">
        <v>3290</v>
      </c>
      <c r="C2423" s="4">
        <v>93</v>
      </c>
      <c r="D2423" s="3" t="s">
        <v>42</v>
      </c>
      <c r="E2423" s="3" t="s">
        <v>8</v>
      </c>
      <c r="F2423" s="5">
        <v>0</v>
      </c>
      <c r="G2423" s="5">
        <v>3142.44</v>
      </c>
      <c r="H2423" s="5">
        <f t="shared" si="74"/>
        <v>3142.44</v>
      </c>
      <c r="I2423" s="9">
        <f t="shared" si="75"/>
        <v>0</v>
      </c>
      <c r="J2423" s="3" t="s">
        <v>4603</v>
      </c>
    </row>
    <row r="2424" spans="1:10">
      <c r="A2424" s="3" t="s">
        <v>1811</v>
      </c>
      <c r="B2424" s="3" t="s">
        <v>3291</v>
      </c>
      <c r="C2424" s="4">
        <v>232</v>
      </c>
      <c r="D2424" s="3" t="s">
        <v>95</v>
      </c>
      <c r="E2424" s="3" t="s">
        <v>13</v>
      </c>
      <c r="F2424" s="5">
        <v>8223.6</v>
      </c>
      <c r="G2424" s="5">
        <v>8474.4</v>
      </c>
      <c r="H2424" s="5">
        <f t="shared" si="74"/>
        <v>250.79999999999927</v>
      </c>
      <c r="I2424" s="9">
        <f t="shared" si="75"/>
        <v>3.0497592295344989E-2</v>
      </c>
      <c r="J2424" s="3" t="s">
        <v>4603</v>
      </c>
    </row>
    <row r="2425" spans="1:10" ht="25.5">
      <c r="A2425" s="3" t="s">
        <v>1811</v>
      </c>
      <c r="B2425" s="3" t="s">
        <v>3292</v>
      </c>
      <c r="C2425" s="4">
        <v>335</v>
      </c>
      <c r="D2425" s="3" t="s">
        <v>7</v>
      </c>
      <c r="E2425" s="3" t="s">
        <v>8</v>
      </c>
      <c r="F2425" s="5">
        <v>0</v>
      </c>
      <c r="G2425" s="5">
        <v>12066.51</v>
      </c>
      <c r="H2425" s="5">
        <f t="shared" si="74"/>
        <v>12066.51</v>
      </c>
      <c r="I2425" s="9">
        <f t="shared" si="75"/>
        <v>0</v>
      </c>
      <c r="J2425" s="3" t="s">
        <v>4603</v>
      </c>
    </row>
    <row r="2426" spans="1:10" ht="25.5">
      <c r="A2426" s="3" t="s">
        <v>1811</v>
      </c>
      <c r="B2426" s="3" t="s">
        <v>3293</v>
      </c>
      <c r="C2426" s="4">
        <v>335</v>
      </c>
      <c r="D2426" s="3" t="s">
        <v>7</v>
      </c>
      <c r="E2426" s="3" t="s">
        <v>8</v>
      </c>
      <c r="F2426" s="5">
        <v>3043.2</v>
      </c>
      <c r="G2426" s="5">
        <v>0</v>
      </c>
      <c r="H2426" s="5">
        <f t="shared" si="74"/>
        <v>-3043.2</v>
      </c>
      <c r="I2426" s="9">
        <f t="shared" si="75"/>
        <v>-1</v>
      </c>
      <c r="J2426" s="3" t="s">
        <v>4603</v>
      </c>
    </row>
    <row r="2427" spans="1:10" ht="25.5">
      <c r="A2427" s="3" t="s">
        <v>1811</v>
      </c>
      <c r="B2427" s="3" t="s">
        <v>3294</v>
      </c>
      <c r="C2427" s="4">
        <v>317</v>
      </c>
      <c r="D2427" s="3" t="s">
        <v>54</v>
      </c>
      <c r="E2427" s="3" t="s">
        <v>18</v>
      </c>
      <c r="F2427" s="5">
        <v>0</v>
      </c>
      <c r="G2427" s="5">
        <v>5727.12</v>
      </c>
      <c r="H2427" s="5">
        <f t="shared" si="74"/>
        <v>5727.12</v>
      </c>
      <c r="I2427" s="9">
        <f t="shared" si="75"/>
        <v>0</v>
      </c>
      <c r="J2427" s="3" t="s">
        <v>4603</v>
      </c>
    </row>
    <row r="2428" spans="1:10" ht="25.5">
      <c r="A2428" s="3" t="s">
        <v>1811</v>
      </c>
      <c r="B2428" s="3" t="s">
        <v>3295</v>
      </c>
      <c r="C2428" s="4">
        <v>23</v>
      </c>
      <c r="D2428" s="3" t="s">
        <v>71</v>
      </c>
      <c r="E2428" s="3" t="s">
        <v>8</v>
      </c>
      <c r="F2428" s="5">
        <v>6880.92</v>
      </c>
      <c r="G2428" s="5">
        <v>7008.6</v>
      </c>
      <c r="H2428" s="5">
        <f t="shared" si="74"/>
        <v>127.68000000000029</v>
      </c>
      <c r="I2428" s="9">
        <f t="shared" si="75"/>
        <v>1.8555658255000829E-2</v>
      </c>
      <c r="J2428" s="3" t="s">
        <v>4603</v>
      </c>
    </row>
    <row r="2429" spans="1:10" ht="25.5">
      <c r="A2429" s="3" t="s">
        <v>1811</v>
      </c>
      <c r="B2429" s="3" t="s">
        <v>3296</v>
      </c>
      <c r="C2429" s="4">
        <v>317</v>
      </c>
      <c r="D2429" s="3" t="s">
        <v>54</v>
      </c>
      <c r="E2429" s="3" t="s">
        <v>18</v>
      </c>
      <c r="F2429" s="5">
        <v>13792.29</v>
      </c>
      <c r="G2429" s="5">
        <v>18942.54</v>
      </c>
      <c r="H2429" s="5">
        <f t="shared" si="74"/>
        <v>5150.25</v>
      </c>
      <c r="I2429" s="9">
        <f t="shared" si="75"/>
        <v>0.3734151471583036</v>
      </c>
      <c r="J2429" s="3" t="s">
        <v>4603</v>
      </c>
    </row>
    <row r="2430" spans="1:10" ht="25.5">
      <c r="A2430" s="3" t="s">
        <v>1811</v>
      </c>
      <c r="B2430" s="3" t="s">
        <v>3297</v>
      </c>
      <c r="C2430" s="4">
        <v>266</v>
      </c>
      <c r="D2430" s="3" t="s">
        <v>111</v>
      </c>
      <c r="E2430" s="3" t="s">
        <v>18</v>
      </c>
      <c r="F2430" s="5">
        <v>9371.0400000000009</v>
      </c>
      <c r="G2430" s="5">
        <v>0</v>
      </c>
      <c r="H2430" s="5">
        <f t="shared" si="74"/>
        <v>-9371.0400000000009</v>
      </c>
      <c r="I2430" s="9">
        <f t="shared" si="75"/>
        <v>-1</v>
      </c>
      <c r="J2430" s="3" t="s">
        <v>4603</v>
      </c>
    </row>
    <row r="2431" spans="1:10" ht="25.5">
      <c r="A2431" s="3" t="s">
        <v>1811</v>
      </c>
      <c r="B2431" s="3" t="s">
        <v>3298</v>
      </c>
      <c r="C2431" s="4">
        <v>315</v>
      </c>
      <c r="D2431" s="3" t="s">
        <v>79</v>
      </c>
      <c r="E2431" s="3" t="s">
        <v>8</v>
      </c>
      <c r="F2431" s="5">
        <v>0</v>
      </c>
      <c r="G2431" s="5">
        <v>4660.7690000000002</v>
      </c>
      <c r="H2431" s="5">
        <f t="shared" si="74"/>
        <v>4660.7690000000002</v>
      </c>
      <c r="I2431" s="9">
        <f t="shared" si="75"/>
        <v>0</v>
      </c>
      <c r="J2431" s="3" t="s">
        <v>4603</v>
      </c>
    </row>
    <row r="2432" spans="1:10" ht="38.25">
      <c r="A2432" s="3" t="s">
        <v>1811</v>
      </c>
      <c r="B2432" s="3" t="s">
        <v>3299</v>
      </c>
      <c r="C2432" s="4">
        <v>371</v>
      </c>
      <c r="D2432" s="3" t="s">
        <v>29</v>
      </c>
      <c r="E2432" s="3" t="s">
        <v>30</v>
      </c>
      <c r="F2432" s="5">
        <v>4984.9799999999996</v>
      </c>
      <c r="G2432" s="5">
        <v>0</v>
      </c>
      <c r="H2432" s="5">
        <f t="shared" si="74"/>
        <v>-4984.9799999999996</v>
      </c>
      <c r="I2432" s="9">
        <f t="shared" si="75"/>
        <v>-1</v>
      </c>
      <c r="J2432" s="3" t="s">
        <v>4603</v>
      </c>
    </row>
    <row r="2433" spans="1:10">
      <c r="A2433" s="3" t="s">
        <v>1811</v>
      </c>
      <c r="B2433" s="3" t="s">
        <v>3300</v>
      </c>
      <c r="C2433" s="4">
        <v>217</v>
      </c>
      <c r="D2433" s="3" t="s">
        <v>253</v>
      </c>
      <c r="E2433" s="3" t="s">
        <v>13</v>
      </c>
      <c r="F2433" s="5">
        <v>10451.52</v>
      </c>
      <c r="G2433" s="5">
        <v>2923.8</v>
      </c>
      <c r="H2433" s="5">
        <f t="shared" si="74"/>
        <v>-7527.72</v>
      </c>
      <c r="I2433" s="9">
        <f t="shared" si="75"/>
        <v>-0.72025121704785522</v>
      </c>
      <c r="J2433" s="3" t="s">
        <v>4603</v>
      </c>
    </row>
    <row r="2434" spans="1:10" ht="38.25">
      <c r="A2434" s="3" t="s">
        <v>1811</v>
      </c>
      <c r="B2434" s="3" t="s">
        <v>3301</v>
      </c>
      <c r="C2434" s="4">
        <v>34</v>
      </c>
      <c r="D2434" s="3" t="s">
        <v>136</v>
      </c>
      <c r="E2434" s="3" t="s">
        <v>30</v>
      </c>
      <c r="F2434" s="5">
        <v>21874.68</v>
      </c>
      <c r="G2434" s="5">
        <v>0</v>
      </c>
      <c r="H2434" s="5">
        <f t="shared" si="74"/>
        <v>-21874.68</v>
      </c>
      <c r="I2434" s="9">
        <f t="shared" si="75"/>
        <v>-1</v>
      </c>
      <c r="J2434" s="3" t="s">
        <v>4603</v>
      </c>
    </row>
    <row r="2435" spans="1:10" ht="25.5">
      <c r="A2435" s="3" t="s">
        <v>1811</v>
      </c>
      <c r="B2435" s="3" t="s">
        <v>3302</v>
      </c>
      <c r="C2435" s="4">
        <v>93</v>
      </c>
      <c r="D2435" s="3" t="s">
        <v>42</v>
      </c>
      <c r="E2435" s="3" t="s">
        <v>8</v>
      </c>
      <c r="F2435" s="5">
        <v>16963.5</v>
      </c>
      <c r="G2435" s="5">
        <v>15028.5</v>
      </c>
      <c r="H2435" s="5">
        <f t="shared" ref="H2435:H2498" si="76">G2435-F2435</f>
        <v>-1935</v>
      </c>
      <c r="I2435" s="9">
        <f t="shared" ref="I2435:I2498" si="77">IFERROR(G2435/F2435-1,0)</f>
        <v>-0.11406844106463876</v>
      </c>
      <c r="J2435" s="3" t="s">
        <v>4603</v>
      </c>
    </row>
    <row r="2436" spans="1:10" ht="38.25">
      <c r="A2436" s="3" t="s">
        <v>1811</v>
      </c>
      <c r="B2436" s="3" t="s">
        <v>3303</v>
      </c>
      <c r="C2436" s="4">
        <v>34</v>
      </c>
      <c r="D2436" s="3" t="s">
        <v>136</v>
      </c>
      <c r="E2436" s="3" t="s">
        <v>30</v>
      </c>
      <c r="F2436" s="5">
        <v>0</v>
      </c>
      <c r="G2436" s="5">
        <v>24748.74</v>
      </c>
      <c r="H2436" s="5">
        <f t="shared" si="76"/>
        <v>24748.74</v>
      </c>
      <c r="I2436" s="9">
        <f t="shared" si="77"/>
        <v>0</v>
      </c>
      <c r="J2436" s="3" t="s">
        <v>4603</v>
      </c>
    </row>
    <row r="2437" spans="1:10" ht="38.25">
      <c r="A2437" s="3" t="s">
        <v>1811</v>
      </c>
      <c r="B2437" s="3" t="s">
        <v>3304</v>
      </c>
      <c r="C2437" s="4">
        <v>371</v>
      </c>
      <c r="D2437" s="3" t="s">
        <v>29</v>
      </c>
      <c r="E2437" s="3" t="s">
        <v>30</v>
      </c>
      <c r="F2437" s="5">
        <v>0</v>
      </c>
      <c r="G2437" s="5">
        <v>7617.48</v>
      </c>
      <c r="H2437" s="5">
        <f t="shared" si="76"/>
        <v>7617.48</v>
      </c>
      <c r="I2437" s="9">
        <f t="shared" si="77"/>
        <v>0</v>
      </c>
      <c r="J2437" s="3" t="s">
        <v>4603</v>
      </c>
    </row>
    <row r="2438" spans="1:10" ht="38.25">
      <c r="A2438" s="3" t="s">
        <v>1811</v>
      </c>
      <c r="B2438" s="3" t="s">
        <v>3305</v>
      </c>
      <c r="C2438" s="4">
        <v>45</v>
      </c>
      <c r="D2438" s="3" t="s">
        <v>16</v>
      </c>
      <c r="E2438" s="3" t="s">
        <v>8</v>
      </c>
      <c r="F2438" s="5">
        <v>5195.22</v>
      </c>
      <c r="G2438" s="5">
        <v>6366.69</v>
      </c>
      <c r="H2438" s="5">
        <f t="shared" si="76"/>
        <v>1171.4699999999993</v>
      </c>
      <c r="I2438" s="9">
        <f t="shared" si="77"/>
        <v>0.22548996962592516</v>
      </c>
      <c r="J2438" s="3" t="s">
        <v>4603</v>
      </c>
    </row>
    <row r="2439" spans="1:10">
      <c r="A2439" s="3" t="s">
        <v>1811</v>
      </c>
      <c r="B2439" s="3" t="s">
        <v>3306</v>
      </c>
      <c r="C2439" s="4">
        <v>231</v>
      </c>
      <c r="D2439" s="3" t="s">
        <v>89</v>
      </c>
      <c r="E2439" s="3" t="s">
        <v>8</v>
      </c>
      <c r="F2439" s="5">
        <v>10028.82</v>
      </c>
      <c r="G2439" s="5">
        <v>0</v>
      </c>
      <c r="H2439" s="5">
        <f t="shared" si="76"/>
        <v>-10028.82</v>
      </c>
      <c r="I2439" s="9">
        <f t="shared" si="77"/>
        <v>-1</v>
      </c>
      <c r="J2439" s="3" t="s">
        <v>4603</v>
      </c>
    </row>
    <row r="2440" spans="1:10" ht="25.5">
      <c r="A2440" s="3" t="s">
        <v>1811</v>
      </c>
      <c r="B2440" s="3" t="s">
        <v>3307</v>
      </c>
      <c r="C2440" s="4">
        <v>317</v>
      </c>
      <c r="D2440" s="3" t="s">
        <v>54</v>
      </c>
      <c r="E2440" s="3" t="s">
        <v>18</v>
      </c>
      <c r="F2440" s="5">
        <v>20272.86</v>
      </c>
      <c r="G2440" s="5">
        <v>0</v>
      </c>
      <c r="H2440" s="5">
        <f t="shared" si="76"/>
        <v>-20272.86</v>
      </c>
      <c r="I2440" s="9">
        <f t="shared" si="77"/>
        <v>-1</v>
      </c>
      <c r="J2440" s="3" t="s">
        <v>4604</v>
      </c>
    </row>
    <row r="2441" spans="1:10" ht="25.5">
      <c r="A2441" s="3" t="s">
        <v>1811</v>
      </c>
      <c r="B2441" s="3" t="s">
        <v>3308</v>
      </c>
      <c r="C2441" s="4">
        <v>321</v>
      </c>
      <c r="D2441" s="3" t="s">
        <v>125</v>
      </c>
      <c r="E2441" s="3" t="s">
        <v>22</v>
      </c>
      <c r="F2441" s="5">
        <v>10942.41</v>
      </c>
      <c r="G2441" s="5">
        <v>0</v>
      </c>
      <c r="H2441" s="5">
        <f t="shared" si="76"/>
        <v>-10942.41</v>
      </c>
      <c r="I2441" s="9">
        <f t="shared" si="77"/>
        <v>-1</v>
      </c>
      <c r="J2441" s="3" t="s">
        <v>4603</v>
      </c>
    </row>
    <row r="2442" spans="1:10" ht="25.5">
      <c r="A2442" s="3" t="s">
        <v>1811</v>
      </c>
      <c r="B2442" s="3" t="s">
        <v>3309</v>
      </c>
      <c r="C2442" s="4">
        <v>261</v>
      </c>
      <c r="D2442" s="3" t="s">
        <v>17</v>
      </c>
      <c r="E2442" s="3" t="s">
        <v>18</v>
      </c>
      <c r="F2442" s="5">
        <v>17133.21</v>
      </c>
      <c r="G2442" s="5">
        <v>12342.99</v>
      </c>
      <c r="H2442" s="5">
        <f t="shared" si="76"/>
        <v>-4790.2199999999993</v>
      </c>
      <c r="I2442" s="9">
        <f t="shared" si="77"/>
        <v>-0.279586837492799</v>
      </c>
      <c r="J2442" s="3" t="s">
        <v>4603</v>
      </c>
    </row>
    <row r="2443" spans="1:10" ht="25.5">
      <c r="A2443" s="3" t="s">
        <v>1811</v>
      </c>
      <c r="B2443" s="3" t="s">
        <v>3310</v>
      </c>
      <c r="C2443" s="4">
        <v>267</v>
      </c>
      <c r="D2443" s="3" t="s">
        <v>417</v>
      </c>
      <c r="E2443" s="3" t="s">
        <v>13</v>
      </c>
      <c r="F2443" s="5">
        <v>0</v>
      </c>
      <c r="G2443" s="5">
        <v>5063.3999999999996</v>
      </c>
      <c r="H2443" s="5">
        <f t="shared" si="76"/>
        <v>5063.3999999999996</v>
      </c>
      <c r="I2443" s="9">
        <f t="shared" si="77"/>
        <v>0</v>
      </c>
      <c r="J2443" s="3" t="s">
        <v>4603</v>
      </c>
    </row>
    <row r="2444" spans="1:10">
      <c r="A2444" s="3" t="s">
        <v>1811</v>
      </c>
      <c r="B2444" s="3" t="s">
        <v>3311</v>
      </c>
      <c r="C2444" s="4">
        <v>315</v>
      </c>
      <c r="D2444" s="3" t="s">
        <v>79</v>
      </c>
      <c r="E2444" s="3" t="s">
        <v>8</v>
      </c>
      <c r="F2444" s="5">
        <v>18180.18</v>
      </c>
      <c r="G2444" s="5">
        <v>19654.555</v>
      </c>
      <c r="H2444" s="5">
        <f t="shared" si="76"/>
        <v>1474.375</v>
      </c>
      <c r="I2444" s="9">
        <f t="shared" si="77"/>
        <v>8.1097931923666211E-2</v>
      </c>
      <c r="J2444" s="3" t="s">
        <v>4603</v>
      </c>
    </row>
    <row r="2445" spans="1:10" ht="25.5">
      <c r="A2445" s="3" t="s">
        <v>1811</v>
      </c>
      <c r="B2445" s="3" t="s">
        <v>3312</v>
      </c>
      <c r="C2445" s="4">
        <v>23</v>
      </c>
      <c r="D2445" s="3" t="s">
        <v>71</v>
      </c>
      <c r="E2445" s="3" t="s">
        <v>8</v>
      </c>
      <c r="F2445" s="5">
        <v>7816.74</v>
      </c>
      <c r="G2445" s="5">
        <v>6563.52</v>
      </c>
      <c r="H2445" s="5">
        <f t="shared" si="76"/>
        <v>-1253.2199999999993</v>
      </c>
      <c r="I2445" s="9">
        <f t="shared" si="77"/>
        <v>-0.16032514833549527</v>
      </c>
      <c r="J2445" s="3" t="s">
        <v>4603</v>
      </c>
    </row>
    <row r="2446" spans="1:10" ht="38.25">
      <c r="A2446" s="3" t="s">
        <v>1811</v>
      </c>
      <c r="B2446" s="3" t="s">
        <v>3313</v>
      </c>
      <c r="C2446" s="4">
        <v>331</v>
      </c>
      <c r="D2446" s="3" t="s">
        <v>1728</v>
      </c>
      <c r="E2446" s="3" t="s">
        <v>9</v>
      </c>
      <c r="F2446" s="5">
        <v>0</v>
      </c>
      <c r="G2446" s="5">
        <v>5496.96</v>
      </c>
      <c r="H2446" s="5">
        <f t="shared" si="76"/>
        <v>5496.96</v>
      </c>
      <c r="I2446" s="9">
        <f t="shared" si="77"/>
        <v>0</v>
      </c>
      <c r="J2446" s="3" t="s">
        <v>4603</v>
      </c>
    </row>
    <row r="2447" spans="1:10" ht="25.5">
      <c r="A2447" s="3" t="s">
        <v>1811</v>
      </c>
      <c r="B2447" s="3" t="s">
        <v>3314</v>
      </c>
      <c r="C2447" s="4">
        <v>231</v>
      </c>
      <c r="D2447" s="3" t="s">
        <v>89</v>
      </c>
      <c r="E2447" s="3" t="s">
        <v>8</v>
      </c>
      <c r="F2447" s="5">
        <v>24890.91</v>
      </c>
      <c r="G2447" s="5">
        <v>37217.910000000003</v>
      </c>
      <c r="H2447" s="5">
        <f t="shared" si="76"/>
        <v>12327.000000000004</v>
      </c>
      <c r="I2447" s="9">
        <f t="shared" si="77"/>
        <v>0.49524103377498063</v>
      </c>
      <c r="J2447" s="3" t="s">
        <v>4603</v>
      </c>
    </row>
    <row r="2448" spans="1:10" ht="38.25">
      <c r="A2448" s="3" t="s">
        <v>1811</v>
      </c>
      <c r="B2448" s="3" t="s">
        <v>3315</v>
      </c>
      <c r="C2448" s="4">
        <v>331</v>
      </c>
      <c r="D2448" s="3" t="s">
        <v>1728</v>
      </c>
      <c r="E2448" s="3" t="s">
        <v>9</v>
      </c>
      <c r="F2448" s="5">
        <v>0</v>
      </c>
      <c r="G2448" s="5">
        <v>2406.6</v>
      </c>
      <c r="H2448" s="5">
        <f t="shared" si="76"/>
        <v>2406.6</v>
      </c>
      <c r="I2448" s="9">
        <f t="shared" si="77"/>
        <v>0</v>
      </c>
      <c r="J2448" s="3" t="s">
        <v>4603</v>
      </c>
    </row>
    <row r="2449" spans="1:10" ht="25.5">
      <c r="A2449" s="3" t="s">
        <v>1811</v>
      </c>
      <c r="B2449" s="3" t="s">
        <v>3316</v>
      </c>
      <c r="C2449" s="4">
        <v>23</v>
      </c>
      <c r="D2449" s="3" t="s">
        <v>71</v>
      </c>
      <c r="E2449" s="3" t="s">
        <v>8</v>
      </c>
      <c r="F2449" s="5">
        <v>4425.96</v>
      </c>
      <c r="G2449" s="5">
        <v>19106.189999999999</v>
      </c>
      <c r="H2449" s="5">
        <f t="shared" si="76"/>
        <v>14680.23</v>
      </c>
      <c r="I2449" s="9">
        <f t="shared" si="77"/>
        <v>3.3168465146544479</v>
      </c>
      <c r="J2449" s="3" t="s">
        <v>4603</v>
      </c>
    </row>
    <row r="2450" spans="1:10" ht="25.5">
      <c r="A2450" s="3" t="s">
        <v>1811</v>
      </c>
      <c r="B2450" s="3" t="s">
        <v>3317</v>
      </c>
      <c r="C2450" s="4">
        <v>218</v>
      </c>
      <c r="D2450" s="3" t="s">
        <v>155</v>
      </c>
      <c r="E2450" s="3" t="s">
        <v>13</v>
      </c>
      <c r="F2450" s="5">
        <v>8266.4699999999993</v>
      </c>
      <c r="G2450" s="5">
        <v>0</v>
      </c>
      <c r="H2450" s="5">
        <f t="shared" si="76"/>
        <v>-8266.4699999999993</v>
      </c>
      <c r="I2450" s="9">
        <f t="shared" si="77"/>
        <v>-1</v>
      </c>
      <c r="J2450" s="3" t="s">
        <v>4603</v>
      </c>
    </row>
    <row r="2451" spans="1:10">
      <c r="A2451" s="3" t="s">
        <v>1811</v>
      </c>
      <c r="B2451" s="3" t="s">
        <v>3318</v>
      </c>
      <c r="C2451" s="4">
        <v>315</v>
      </c>
      <c r="D2451" s="3" t="s">
        <v>79</v>
      </c>
      <c r="E2451" s="3" t="s">
        <v>8</v>
      </c>
      <c r="F2451" s="5">
        <v>7532.94</v>
      </c>
      <c r="G2451" s="5">
        <v>0</v>
      </c>
      <c r="H2451" s="5">
        <f t="shared" si="76"/>
        <v>-7532.94</v>
      </c>
      <c r="I2451" s="9">
        <f t="shared" si="77"/>
        <v>-1</v>
      </c>
      <c r="J2451" s="3" t="s">
        <v>4604</v>
      </c>
    </row>
    <row r="2452" spans="1:10" ht="38.25">
      <c r="A2452" s="3" t="s">
        <v>1811</v>
      </c>
      <c r="B2452" s="3" t="s">
        <v>3319</v>
      </c>
      <c r="C2452" s="4">
        <v>34</v>
      </c>
      <c r="D2452" s="3" t="s">
        <v>136</v>
      </c>
      <c r="E2452" s="3" t="s">
        <v>30</v>
      </c>
      <c r="F2452" s="5">
        <v>10250.52</v>
      </c>
      <c r="G2452" s="5">
        <v>0</v>
      </c>
      <c r="H2452" s="5">
        <f t="shared" si="76"/>
        <v>-10250.52</v>
      </c>
      <c r="I2452" s="9">
        <f t="shared" si="77"/>
        <v>-1</v>
      </c>
      <c r="J2452" s="3" t="s">
        <v>4603</v>
      </c>
    </row>
    <row r="2453" spans="1:10">
      <c r="A2453" s="3" t="s">
        <v>1811</v>
      </c>
      <c r="B2453" s="3" t="s">
        <v>3320</v>
      </c>
      <c r="C2453" s="4">
        <v>334</v>
      </c>
      <c r="D2453" s="3" t="s">
        <v>585</v>
      </c>
      <c r="E2453" s="3" t="s">
        <v>8</v>
      </c>
      <c r="F2453" s="5">
        <v>3260.52</v>
      </c>
      <c r="G2453" s="5">
        <v>5064.72</v>
      </c>
      <c r="H2453" s="5">
        <f t="shared" si="76"/>
        <v>1804.2000000000003</v>
      </c>
      <c r="I2453" s="9">
        <f t="shared" si="77"/>
        <v>0.55334731883257904</v>
      </c>
      <c r="J2453" s="3" t="s">
        <v>4603</v>
      </c>
    </row>
    <row r="2454" spans="1:10" ht="25.5">
      <c r="A2454" s="3" t="s">
        <v>1811</v>
      </c>
      <c r="B2454" s="3" t="s">
        <v>3321</v>
      </c>
      <c r="C2454" s="4">
        <v>273</v>
      </c>
      <c r="D2454" s="3" t="s">
        <v>771</v>
      </c>
      <c r="E2454" s="3" t="s">
        <v>13</v>
      </c>
      <c r="F2454" s="5">
        <v>3917.28</v>
      </c>
      <c r="G2454" s="5">
        <v>0</v>
      </c>
      <c r="H2454" s="5">
        <f t="shared" si="76"/>
        <v>-3917.28</v>
      </c>
      <c r="I2454" s="9">
        <f t="shared" si="77"/>
        <v>-1</v>
      </c>
      <c r="J2454" s="3" t="s">
        <v>4603</v>
      </c>
    </row>
    <row r="2455" spans="1:10" ht="25.5">
      <c r="A2455" s="3" t="s">
        <v>1811</v>
      </c>
      <c r="B2455" s="3" t="s">
        <v>3322</v>
      </c>
      <c r="C2455" s="4">
        <v>218</v>
      </c>
      <c r="D2455" s="3" t="s">
        <v>155</v>
      </c>
      <c r="E2455" s="3" t="s">
        <v>13</v>
      </c>
      <c r="F2455" s="5">
        <v>0</v>
      </c>
      <c r="G2455" s="5">
        <v>9270.84</v>
      </c>
      <c r="H2455" s="5">
        <f t="shared" si="76"/>
        <v>9270.84</v>
      </c>
      <c r="I2455" s="9">
        <f t="shared" si="77"/>
        <v>0</v>
      </c>
      <c r="J2455" s="3" t="s">
        <v>4603</v>
      </c>
    </row>
    <row r="2456" spans="1:10" ht="38.25">
      <c r="A2456" s="3" t="s">
        <v>1811</v>
      </c>
      <c r="B2456" s="3" t="s">
        <v>3323</v>
      </c>
      <c r="C2456" s="4">
        <v>371</v>
      </c>
      <c r="D2456" s="3" t="s">
        <v>29</v>
      </c>
      <c r="E2456" s="3" t="s">
        <v>30</v>
      </c>
      <c r="F2456" s="5">
        <v>0</v>
      </c>
      <c r="G2456" s="5">
        <v>4057.8</v>
      </c>
      <c r="H2456" s="5">
        <f t="shared" si="76"/>
        <v>4057.8</v>
      </c>
      <c r="I2456" s="9">
        <f t="shared" si="77"/>
        <v>0</v>
      </c>
      <c r="J2456" s="3" t="s">
        <v>4603</v>
      </c>
    </row>
    <row r="2457" spans="1:10" ht="25.5">
      <c r="A2457" s="3" t="s">
        <v>1811</v>
      </c>
      <c r="B2457" s="3" t="s">
        <v>3324</v>
      </c>
      <c r="C2457" s="4">
        <v>266</v>
      </c>
      <c r="D2457" s="3" t="s">
        <v>111</v>
      </c>
      <c r="E2457" s="3" t="s">
        <v>18</v>
      </c>
      <c r="F2457" s="5">
        <v>0</v>
      </c>
      <c r="G2457" s="5">
        <v>3573.48</v>
      </c>
      <c r="H2457" s="5">
        <f t="shared" si="76"/>
        <v>3573.48</v>
      </c>
      <c r="I2457" s="9">
        <f t="shared" si="77"/>
        <v>0</v>
      </c>
      <c r="J2457" s="3" t="s">
        <v>4603</v>
      </c>
    </row>
    <row r="2458" spans="1:10" ht="25.5">
      <c r="A2458" s="3" t="s">
        <v>1811</v>
      </c>
      <c r="B2458" s="3" t="s">
        <v>3325</v>
      </c>
      <c r="C2458" s="4">
        <v>261</v>
      </c>
      <c r="D2458" s="3" t="s">
        <v>17</v>
      </c>
      <c r="E2458" s="3" t="s">
        <v>18</v>
      </c>
      <c r="F2458" s="5">
        <v>8706.7199999999993</v>
      </c>
      <c r="G2458" s="5">
        <v>4973.24</v>
      </c>
      <c r="H2458" s="5">
        <f t="shared" si="76"/>
        <v>-3733.4799999999996</v>
      </c>
      <c r="I2458" s="9">
        <f t="shared" si="77"/>
        <v>-0.4288044177371042</v>
      </c>
      <c r="J2458" s="3" t="s">
        <v>4603</v>
      </c>
    </row>
    <row r="2459" spans="1:10">
      <c r="A2459" s="3" t="s">
        <v>1811</v>
      </c>
      <c r="B2459" s="3" t="s">
        <v>3326</v>
      </c>
      <c r="C2459" s="4">
        <v>315</v>
      </c>
      <c r="D2459" s="3" t="s">
        <v>79</v>
      </c>
      <c r="E2459" s="3" t="s">
        <v>8</v>
      </c>
      <c r="F2459" s="5">
        <v>0</v>
      </c>
      <c r="G2459" s="5">
        <v>10199.4</v>
      </c>
      <c r="H2459" s="5">
        <f t="shared" si="76"/>
        <v>10199.4</v>
      </c>
      <c r="I2459" s="9">
        <f t="shared" si="77"/>
        <v>0</v>
      </c>
      <c r="J2459" s="3" t="s">
        <v>4603</v>
      </c>
    </row>
    <row r="2460" spans="1:10" ht="38.25">
      <c r="A2460" s="3" t="s">
        <v>1811</v>
      </c>
      <c r="B2460" s="3" t="s">
        <v>3327</v>
      </c>
      <c r="C2460" s="4">
        <v>264</v>
      </c>
      <c r="D2460" s="3" t="s">
        <v>632</v>
      </c>
      <c r="E2460" s="3" t="s">
        <v>8</v>
      </c>
      <c r="F2460" s="5">
        <v>11714.19</v>
      </c>
      <c r="G2460" s="5">
        <v>0</v>
      </c>
      <c r="H2460" s="5">
        <f t="shared" si="76"/>
        <v>-11714.19</v>
      </c>
      <c r="I2460" s="9">
        <f t="shared" si="77"/>
        <v>-1</v>
      </c>
      <c r="J2460" s="3" t="s">
        <v>4603</v>
      </c>
    </row>
    <row r="2461" spans="1:10" ht="25.5">
      <c r="A2461" s="3" t="s">
        <v>1811</v>
      </c>
      <c r="B2461" s="3" t="s">
        <v>3328</v>
      </c>
      <c r="C2461" s="4">
        <v>299</v>
      </c>
      <c r="D2461" s="3" t="s">
        <v>246</v>
      </c>
      <c r="E2461" s="3" t="s">
        <v>30</v>
      </c>
      <c r="F2461" s="5">
        <v>4319.16</v>
      </c>
      <c r="G2461" s="5">
        <v>0</v>
      </c>
      <c r="H2461" s="5">
        <f t="shared" si="76"/>
        <v>-4319.16</v>
      </c>
      <c r="I2461" s="9">
        <f t="shared" si="77"/>
        <v>-1</v>
      </c>
      <c r="J2461" s="3" t="s">
        <v>4603</v>
      </c>
    </row>
    <row r="2462" spans="1:10" ht="25.5">
      <c r="A2462" s="3" t="s">
        <v>1811</v>
      </c>
      <c r="B2462" s="3" t="s">
        <v>3329</v>
      </c>
      <c r="C2462" s="4">
        <v>327</v>
      </c>
      <c r="D2462" s="3" t="s">
        <v>76</v>
      </c>
      <c r="E2462" s="3" t="s">
        <v>8</v>
      </c>
      <c r="F2462" s="5">
        <v>9610.26</v>
      </c>
      <c r="G2462" s="5">
        <v>0</v>
      </c>
      <c r="H2462" s="5">
        <f t="shared" si="76"/>
        <v>-9610.26</v>
      </c>
      <c r="I2462" s="9">
        <f t="shared" si="77"/>
        <v>-1</v>
      </c>
      <c r="J2462" s="3" t="s">
        <v>4603</v>
      </c>
    </row>
    <row r="2463" spans="1:10" ht="25.5">
      <c r="A2463" s="3" t="s">
        <v>1811</v>
      </c>
      <c r="B2463" s="3" t="s">
        <v>3330</v>
      </c>
      <c r="C2463" s="4">
        <v>317</v>
      </c>
      <c r="D2463" s="3" t="s">
        <v>54</v>
      </c>
      <c r="E2463" s="3" t="s">
        <v>18</v>
      </c>
      <c r="F2463" s="5">
        <v>15714</v>
      </c>
      <c r="G2463" s="5">
        <v>0</v>
      </c>
      <c r="H2463" s="5">
        <f t="shared" si="76"/>
        <v>-15714</v>
      </c>
      <c r="I2463" s="9">
        <f t="shared" si="77"/>
        <v>-1</v>
      </c>
      <c r="J2463" s="3" t="s">
        <v>4603</v>
      </c>
    </row>
    <row r="2464" spans="1:10" ht="25.5">
      <c r="A2464" s="3" t="s">
        <v>1811</v>
      </c>
      <c r="B2464" s="3" t="s">
        <v>3331</v>
      </c>
      <c r="C2464" s="4">
        <v>267</v>
      </c>
      <c r="D2464" s="3" t="s">
        <v>417</v>
      </c>
      <c r="E2464" s="3" t="s">
        <v>13</v>
      </c>
      <c r="F2464" s="5">
        <v>0</v>
      </c>
      <c r="G2464" s="5">
        <v>5965.56</v>
      </c>
      <c r="H2464" s="5">
        <f t="shared" si="76"/>
        <v>5965.56</v>
      </c>
      <c r="I2464" s="9">
        <f t="shared" si="77"/>
        <v>0</v>
      </c>
      <c r="J2464" s="3" t="s">
        <v>4603</v>
      </c>
    </row>
    <row r="2465" spans="1:10">
      <c r="A2465" s="3" t="s">
        <v>1811</v>
      </c>
      <c r="B2465" s="3" t="s">
        <v>3332</v>
      </c>
      <c r="C2465" s="4">
        <v>334</v>
      </c>
      <c r="D2465" s="3" t="s">
        <v>585</v>
      </c>
      <c r="E2465" s="3" t="s">
        <v>8</v>
      </c>
      <c r="F2465" s="5">
        <v>0</v>
      </c>
      <c r="G2465" s="5">
        <v>8272.6640000000007</v>
      </c>
      <c r="H2465" s="5">
        <f t="shared" si="76"/>
        <v>8272.6640000000007</v>
      </c>
      <c r="I2465" s="9">
        <f t="shared" si="77"/>
        <v>0</v>
      </c>
      <c r="J2465" s="3" t="s">
        <v>4603</v>
      </c>
    </row>
    <row r="2466" spans="1:10" ht="25.5">
      <c r="A2466" s="3" t="s">
        <v>1811</v>
      </c>
      <c r="B2466" s="3" t="s">
        <v>3333</v>
      </c>
      <c r="C2466" s="4">
        <v>316</v>
      </c>
      <c r="D2466" s="3" t="s">
        <v>167</v>
      </c>
      <c r="E2466" s="3" t="s">
        <v>18</v>
      </c>
      <c r="F2466" s="5">
        <v>11797.74</v>
      </c>
      <c r="G2466" s="5">
        <v>0</v>
      </c>
      <c r="H2466" s="5">
        <f t="shared" si="76"/>
        <v>-11797.74</v>
      </c>
      <c r="I2466" s="9">
        <f t="shared" si="77"/>
        <v>-1</v>
      </c>
      <c r="J2466" s="3" t="s">
        <v>4603</v>
      </c>
    </row>
    <row r="2467" spans="1:10" ht="25.5">
      <c r="A2467" s="3" t="s">
        <v>1811</v>
      </c>
      <c r="B2467" s="3" t="s">
        <v>3334</v>
      </c>
      <c r="C2467" s="4">
        <v>270</v>
      </c>
      <c r="D2467" s="3" t="s">
        <v>312</v>
      </c>
      <c r="E2467" s="3" t="s">
        <v>30</v>
      </c>
      <c r="F2467" s="5">
        <v>6214.92</v>
      </c>
      <c r="G2467" s="5">
        <v>0</v>
      </c>
      <c r="H2467" s="5">
        <f t="shared" si="76"/>
        <v>-6214.92</v>
      </c>
      <c r="I2467" s="9">
        <f t="shared" si="77"/>
        <v>-1</v>
      </c>
      <c r="J2467" s="3" t="s">
        <v>4603</v>
      </c>
    </row>
    <row r="2468" spans="1:10" ht="25.5">
      <c r="A2468" s="3" t="s">
        <v>1811</v>
      </c>
      <c r="B2468" s="3" t="s">
        <v>3335</v>
      </c>
      <c r="C2468" s="4">
        <v>74</v>
      </c>
      <c r="D2468" s="3" t="s">
        <v>86</v>
      </c>
      <c r="E2468" s="3" t="s">
        <v>8</v>
      </c>
      <c r="F2468" s="5">
        <v>0</v>
      </c>
      <c r="G2468" s="5">
        <v>3927.05</v>
      </c>
      <c r="H2468" s="5">
        <f t="shared" si="76"/>
        <v>3927.05</v>
      </c>
      <c r="I2468" s="9">
        <f t="shared" si="77"/>
        <v>0</v>
      </c>
      <c r="J2468" s="3" t="s">
        <v>4603</v>
      </c>
    </row>
    <row r="2469" spans="1:10" ht="25.5">
      <c r="A2469" s="3" t="s">
        <v>1811</v>
      </c>
      <c r="B2469" s="3" t="s">
        <v>3336</v>
      </c>
      <c r="C2469" s="4">
        <v>23</v>
      </c>
      <c r="D2469" s="3" t="s">
        <v>71</v>
      </c>
      <c r="E2469" s="3" t="s">
        <v>8</v>
      </c>
      <c r="F2469" s="5">
        <v>13425.96</v>
      </c>
      <c r="G2469" s="5">
        <v>21612.6</v>
      </c>
      <c r="H2469" s="5">
        <f t="shared" si="76"/>
        <v>8186.6399999999994</v>
      </c>
      <c r="I2469" s="9">
        <f t="shared" si="77"/>
        <v>0.60976198350062116</v>
      </c>
      <c r="J2469" s="3" t="s">
        <v>4603</v>
      </c>
    </row>
    <row r="2470" spans="1:10" ht="38.25">
      <c r="A2470" s="3" t="s">
        <v>1811</v>
      </c>
      <c r="B2470" s="3" t="s">
        <v>3337</v>
      </c>
      <c r="C2470" s="4">
        <v>371</v>
      </c>
      <c r="D2470" s="3" t="s">
        <v>29</v>
      </c>
      <c r="E2470" s="3" t="s">
        <v>30</v>
      </c>
      <c r="F2470" s="5">
        <v>3839.16</v>
      </c>
      <c r="G2470" s="5">
        <v>0</v>
      </c>
      <c r="H2470" s="5">
        <f t="shared" si="76"/>
        <v>-3839.16</v>
      </c>
      <c r="I2470" s="9">
        <f t="shared" si="77"/>
        <v>-1</v>
      </c>
      <c r="J2470" s="3" t="s">
        <v>4603</v>
      </c>
    </row>
    <row r="2471" spans="1:10" ht="25.5">
      <c r="A2471" s="3" t="s">
        <v>1811</v>
      </c>
      <c r="B2471" s="3" t="s">
        <v>3338</v>
      </c>
      <c r="C2471" s="4">
        <v>93</v>
      </c>
      <c r="D2471" s="3" t="s">
        <v>42</v>
      </c>
      <c r="E2471" s="3" t="s">
        <v>8</v>
      </c>
      <c r="F2471" s="5">
        <v>3779.46</v>
      </c>
      <c r="G2471" s="5">
        <v>0</v>
      </c>
      <c r="H2471" s="5">
        <f t="shared" si="76"/>
        <v>-3779.46</v>
      </c>
      <c r="I2471" s="9">
        <f t="shared" si="77"/>
        <v>-1</v>
      </c>
      <c r="J2471" s="3" t="s">
        <v>4603</v>
      </c>
    </row>
    <row r="2472" spans="1:10" ht="38.25">
      <c r="A2472" s="3" t="s">
        <v>1811</v>
      </c>
      <c r="B2472" s="3" t="s">
        <v>3339</v>
      </c>
      <c r="C2472" s="4">
        <v>231</v>
      </c>
      <c r="D2472" s="3" t="s">
        <v>89</v>
      </c>
      <c r="E2472" s="3" t="s">
        <v>8</v>
      </c>
      <c r="F2472" s="5">
        <v>49180.44</v>
      </c>
      <c r="G2472" s="5">
        <v>29464.17</v>
      </c>
      <c r="H2472" s="5">
        <f t="shared" si="76"/>
        <v>-19716.270000000004</v>
      </c>
      <c r="I2472" s="9">
        <f t="shared" si="77"/>
        <v>-0.40089657595580686</v>
      </c>
      <c r="J2472" s="3" t="s">
        <v>4603</v>
      </c>
    </row>
    <row r="2473" spans="1:10" ht="38.25">
      <c r="A2473" s="3" t="s">
        <v>1811</v>
      </c>
      <c r="B2473" s="3" t="s">
        <v>3340</v>
      </c>
      <c r="C2473" s="4">
        <v>38</v>
      </c>
      <c r="D2473" s="3" t="s">
        <v>229</v>
      </c>
      <c r="E2473" s="3" t="s">
        <v>30</v>
      </c>
      <c r="F2473" s="5">
        <v>9334.3799999999992</v>
      </c>
      <c r="G2473" s="5">
        <v>24114.93</v>
      </c>
      <c r="H2473" s="5">
        <f t="shared" si="76"/>
        <v>14780.550000000001</v>
      </c>
      <c r="I2473" s="9">
        <f t="shared" si="77"/>
        <v>1.5834527842234838</v>
      </c>
      <c r="J2473" s="3" t="s">
        <v>4603</v>
      </c>
    </row>
    <row r="2474" spans="1:10" ht="25.5">
      <c r="A2474" s="3" t="s">
        <v>1811</v>
      </c>
      <c r="B2474" s="3" t="s">
        <v>3341</v>
      </c>
      <c r="C2474" s="4">
        <v>335</v>
      </c>
      <c r="D2474" s="3" t="s">
        <v>7</v>
      </c>
      <c r="E2474" s="3" t="s">
        <v>8</v>
      </c>
      <c r="F2474" s="5">
        <v>0</v>
      </c>
      <c r="G2474" s="5">
        <v>5097.93</v>
      </c>
      <c r="H2474" s="5">
        <f t="shared" si="76"/>
        <v>5097.93</v>
      </c>
      <c r="I2474" s="9">
        <f t="shared" si="77"/>
        <v>0</v>
      </c>
      <c r="J2474" s="3" t="s">
        <v>4603</v>
      </c>
    </row>
    <row r="2475" spans="1:10" ht="51">
      <c r="A2475" s="3" t="s">
        <v>1811</v>
      </c>
      <c r="B2475" s="3" t="s">
        <v>3342</v>
      </c>
      <c r="C2475" s="4">
        <v>282</v>
      </c>
      <c r="D2475" s="3" t="s">
        <v>298</v>
      </c>
      <c r="E2475" s="3" t="s">
        <v>9</v>
      </c>
      <c r="F2475" s="5">
        <v>0</v>
      </c>
      <c r="G2475" s="5">
        <v>20471.125</v>
      </c>
      <c r="H2475" s="5">
        <f t="shared" si="76"/>
        <v>20471.125</v>
      </c>
      <c r="I2475" s="9">
        <f t="shared" si="77"/>
        <v>0</v>
      </c>
      <c r="J2475" s="3" t="s">
        <v>4603</v>
      </c>
    </row>
    <row r="2476" spans="1:10" ht="25.5">
      <c r="A2476" s="3" t="s">
        <v>1811</v>
      </c>
      <c r="B2476" s="3" t="s">
        <v>3343</v>
      </c>
      <c r="C2476" s="4">
        <v>296</v>
      </c>
      <c r="D2476" s="3" t="s">
        <v>137</v>
      </c>
      <c r="E2476" s="3" t="s">
        <v>18</v>
      </c>
      <c r="F2476" s="5">
        <v>7429.44</v>
      </c>
      <c r="G2476" s="5">
        <v>0</v>
      </c>
      <c r="H2476" s="5">
        <f t="shared" si="76"/>
        <v>-7429.44</v>
      </c>
      <c r="I2476" s="9">
        <f t="shared" si="77"/>
        <v>-1</v>
      </c>
      <c r="J2476" s="3" t="s">
        <v>4603</v>
      </c>
    </row>
    <row r="2477" spans="1:10" ht="25.5">
      <c r="A2477" s="3" t="s">
        <v>1811</v>
      </c>
      <c r="B2477" s="3" t="s">
        <v>3343</v>
      </c>
      <c r="C2477" s="4">
        <v>296</v>
      </c>
      <c r="D2477" s="3" t="s">
        <v>137</v>
      </c>
      <c r="E2477" s="3" t="s">
        <v>13</v>
      </c>
      <c r="F2477" s="5">
        <v>7429.44</v>
      </c>
      <c r="G2477" s="5">
        <v>0</v>
      </c>
      <c r="H2477" s="5">
        <f t="shared" si="76"/>
        <v>-7429.44</v>
      </c>
      <c r="I2477" s="9">
        <f t="shared" si="77"/>
        <v>-1</v>
      </c>
      <c r="J2477" s="3" t="s">
        <v>4603</v>
      </c>
    </row>
    <row r="2478" spans="1:10" ht="25.5">
      <c r="A2478" s="3" t="s">
        <v>1811</v>
      </c>
      <c r="B2478" s="3" t="s">
        <v>3344</v>
      </c>
      <c r="C2478" s="4">
        <v>232</v>
      </c>
      <c r="D2478" s="3" t="s">
        <v>95</v>
      </c>
      <c r="E2478" s="3" t="s">
        <v>13</v>
      </c>
      <c r="F2478" s="5">
        <v>0</v>
      </c>
      <c r="G2478" s="5">
        <v>4029.84</v>
      </c>
      <c r="H2478" s="5">
        <f t="shared" si="76"/>
        <v>4029.84</v>
      </c>
      <c r="I2478" s="9">
        <f t="shared" si="77"/>
        <v>0</v>
      </c>
      <c r="J2478" s="3" t="s">
        <v>4603</v>
      </c>
    </row>
    <row r="2479" spans="1:10" ht="38.25">
      <c r="A2479" s="3" t="s">
        <v>1811</v>
      </c>
      <c r="B2479" s="3" t="s">
        <v>3345</v>
      </c>
      <c r="C2479" s="4">
        <v>11</v>
      </c>
      <c r="D2479" s="3" t="s">
        <v>55</v>
      </c>
      <c r="E2479" s="3" t="s">
        <v>18</v>
      </c>
      <c r="F2479" s="5">
        <v>0</v>
      </c>
      <c r="G2479" s="5">
        <v>12032.52</v>
      </c>
      <c r="H2479" s="5">
        <f t="shared" si="76"/>
        <v>12032.52</v>
      </c>
      <c r="I2479" s="9">
        <f t="shared" si="77"/>
        <v>0</v>
      </c>
      <c r="J2479" s="3" t="s">
        <v>4603</v>
      </c>
    </row>
    <row r="2480" spans="1:10" ht="25.5">
      <c r="A2480" s="3" t="s">
        <v>1811</v>
      </c>
      <c r="B2480" s="3" t="s">
        <v>3346</v>
      </c>
      <c r="C2480" s="4">
        <v>93</v>
      </c>
      <c r="D2480" s="3" t="s">
        <v>42</v>
      </c>
      <c r="E2480" s="3" t="s">
        <v>8</v>
      </c>
      <c r="F2480" s="5">
        <v>7318.8</v>
      </c>
      <c r="G2480" s="5">
        <v>0</v>
      </c>
      <c r="H2480" s="5">
        <f t="shared" si="76"/>
        <v>-7318.8</v>
      </c>
      <c r="I2480" s="9">
        <f t="shared" si="77"/>
        <v>-1</v>
      </c>
      <c r="J2480" s="3" t="s">
        <v>4603</v>
      </c>
    </row>
    <row r="2481" spans="1:10" ht="25.5">
      <c r="A2481" s="3" t="s">
        <v>1811</v>
      </c>
      <c r="B2481" s="3" t="s">
        <v>3347</v>
      </c>
      <c r="C2481" s="4">
        <v>273</v>
      </c>
      <c r="D2481" s="3" t="s">
        <v>771</v>
      </c>
      <c r="E2481" s="3" t="s">
        <v>13</v>
      </c>
      <c r="F2481" s="5">
        <v>5197.92</v>
      </c>
      <c r="G2481" s="5">
        <v>0</v>
      </c>
      <c r="H2481" s="5">
        <f t="shared" si="76"/>
        <v>-5197.92</v>
      </c>
      <c r="I2481" s="9">
        <f t="shared" si="77"/>
        <v>-1</v>
      </c>
      <c r="J2481" s="3" t="s">
        <v>4603</v>
      </c>
    </row>
    <row r="2482" spans="1:10">
      <c r="A2482" s="3" t="s">
        <v>1811</v>
      </c>
      <c r="B2482" s="3" t="s">
        <v>3348</v>
      </c>
      <c r="C2482" s="4">
        <v>232</v>
      </c>
      <c r="D2482" s="3" t="s">
        <v>95</v>
      </c>
      <c r="E2482" s="3" t="s">
        <v>13</v>
      </c>
      <c r="F2482" s="5">
        <v>3340.92</v>
      </c>
      <c r="G2482" s="5">
        <v>2824.8</v>
      </c>
      <c r="H2482" s="5">
        <f t="shared" si="76"/>
        <v>-516.11999999999989</v>
      </c>
      <c r="I2482" s="9">
        <f t="shared" si="77"/>
        <v>-0.15448439352034771</v>
      </c>
      <c r="J2482" s="3" t="s">
        <v>4603</v>
      </c>
    </row>
    <row r="2483" spans="1:10">
      <c r="A2483" s="3" t="s">
        <v>1811</v>
      </c>
      <c r="B2483" s="3" t="s">
        <v>3349</v>
      </c>
      <c r="C2483" s="4">
        <v>15</v>
      </c>
      <c r="D2483" s="3" t="s">
        <v>33</v>
      </c>
      <c r="E2483" s="3" t="s">
        <v>13</v>
      </c>
      <c r="F2483" s="5">
        <v>4031.16</v>
      </c>
      <c r="G2483" s="5">
        <v>0</v>
      </c>
      <c r="H2483" s="5">
        <f t="shared" si="76"/>
        <v>-4031.16</v>
      </c>
      <c r="I2483" s="9">
        <f t="shared" si="77"/>
        <v>-1</v>
      </c>
      <c r="J2483" s="3" t="s">
        <v>4603</v>
      </c>
    </row>
    <row r="2484" spans="1:10" ht="25.5">
      <c r="A2484" s="3" t="s">
        <v>1811</v>
      </c>
      <c r="B2484" s="3" t="s">
        <v>3350</v>
      </c>
      <c r="C2484" s="4">
        <v>217</v>
      </c>
      <c r="D2484" s="3" t="s">
        <v>253</v>
      </c>
      <c r="E2484" s="3" t="s">
        <v>13</v>
      </c>
      <c r="F2484" s="5">
        <v>3071.76</v>
      </c>
      <c r="G2484" s="5">
        <v>0</v>
      </c>
      <c r="H2484" s="5">
        <f t="shared" si="76"/>
        <v>-3071.76</v>
      </c>
      <c r="I2484" s="9">
        <f t="shared" si="77"/>
        <v>-1</v>
      </c>
      <c r="J2484" s="3" t="s">
        <v>4603</v>
      </c>
    </row>
    <row r="2485" spans="1:10" ht="25.5">
      <c r="A2485" s="3" t="s">
        <v>1811</v>
      </c>
      <c r="B2485" s="3" t="s">
        <v>3351</v>
      </c>
      <c r="C2485" s="4">
        <v>273</v>
      </c>
      <c r="D2485" s="3" t="s">
        <v>771</v>
      </c>
      <c r="E2485" s="3" t="s">
        <v>13</v>
      </c>
      <c r="F2485" s="5">
        <v>0</v>
      </c>
      <c r="G2485" s="5">
        <v>2662.44</v>
      </c>
      <c r="H2485" s="5">
        <f t="shared" si="76"/>
        <v>2662.44</v>
      </c>
      <c r="I2485" s="9">
        <f t="shared" si="77"/>
        <v>0</v>
      </c>
      <c r="J2485" s="3" t="s">
        <v>4603</v>
      </c>
    </row>
    <row r="2486" spans="1:10" ht="25.5">
      <c r="A2486" s="3" t="s">
        <v>1811</v>
      </c>
      <c r="B2486" s="3" t="s">
        <v>3352</v>
      </c>
      <c r="C2486" s="4">
        <v>273</v>
      </c>
      <c r="D2486" s="3" t="s">
        <v>771</v>
      </c>
      <c r="E2486" s="3" t="s">
        <v>13</v>
      </c>
      <c r="F2486" s="5">
        <v>4421.25</v>
      </c>
      <c r="G2486" s="5">
        <v>0</v>
      </c>
      <c r="H2486" s="5">
        <f t="shared" si="76"/>
        <v>-4421.25</v>
      </c>
      <c r="I2486" s="9">
        <f t="shared" si="77"/>
        <v>-1</v>
      </c>
      <c r="J2486" s="3" t="s">
        <v>4603</v>
      </c>
    </row>
    <row r="2487" spans="1:10" ht="25.5">
      <c r="A2487" s="3" t="s">
        <v>1811</v>
      </c>
      <c r="B2487" s="3" t="s">
        <v>3353</v>
      </c>
      <c r="C2487" s="4">
        <v>178</v>
      </c>
      <c r="D2487" s="3" t="s">
        <v>92</v>
      </c>
      <c r="E2487" s="3" t="s">
        <v>8</v>
      </c>
      <c r="F2487" s="5">
        <v>4103.3999999999996</v>
      </c>
      <c r="G2487" s="5">
        <v>0</v>
      </c>
      <c r="H2487" s="5">
        <f t="shared" si="76"/>
        <v>-4103.3999999999996</v>
      </c>
      <c r="I2487" s="9">
        <f t="shared" si="77"/>
        <v>-1</v>
      </c>
      <c r="J2487" s="3" t="s">
        <v>4603</v>
      </c>
    </row>
    <row r="2488" spans="1:10" ht="38.25">
      <c r="A2488" s="3" t="s">
        <v>1811</v>
      </c>
      <c r="B2488" s="3" t="s">
        <v>3354</v>
      </c>
      <c r="C2488" s="4">
        <v>301</v>
      </c>
      <c r="D2488" s="3" t="s">
        <v>12</v>
      </c>
      <c r="E2488" s="3" t="s">
        <v>13</v>
      </c>
      <c r="F2488" s="5">
        <v>13824.48</v>
      </c>
      <c r="G2488" s="5">
        <v>0</v>
      </c>
      <c r="H2488" s="5">
        <f t="shared" si="76"/>
        <v>-13824.48</v>
      </c>
      <c r="I2488" s="9">
        <f t="shared" si="77"/>
        <v>-1</v>
      </c>
      <c r="J2488" s="3" t="s">
        <v>4603</v>
      </c>
    </row>
    <row r="2489" spans="1:10" ht="25.5">
      <c r="A2489" s="3" t="s">
        <v>1811</v>
      </c>
      <c r="B2489" s="3" t="s">
        <v>3355</v>
      </c>
      <c r="C2489" s="4">
        <v>194</v>
      </c>
      <c r="D2489" s="3" t="s">
        <v>179</v>
      </c>
      <c r="E2489" s="3" t="s">
        <v>13</v>
      </c>
      <c r="F2489" s="5">
        <v>0</v>
      </c>
      <c r="G2489" s="5">
        <v>5349.12</v>
      </c>
      <c r="H2489" s="5">
        <f t="shared" si="76"/>
        <v>5349.12</v>
      </c>
      <c r="I2489" s="9">
        <f t="shared" si="77"/>
        <v>0</v>
      </c>
      <c r="J2489" s="3" t="s">
        <v>4603</v>
      </c>
    </row>
    <row r="2490" spans="1:10">
      <c r="A2490" s="3" t="s">
        <v>1811</v>
      </c>
      <c r="B2490" s="3" t="s">
        <v>3356</v>
      </c>
      <c r="C2490" s="4">
        <v>264</v>
      </c>
      <c r="D2490" s="3" t="s">
        <v>632</v>
      </c>
      <c r="E2490" s="3" t="s">
        <v>22</v>
      </c>
      <c r="F2490" s="5">
        <v>13698.96</v>
      </c>
      <c r="G2490" s="5">
        <v>19427.198</v>
      </c>
      <c r="H2490" s="5">
        <f t="shared" si="76"/>
        <v>5728.2380000000012</v>
      </c>
      <c r="I2490" s="9">
        <f t="shared" si="77"/>
        <v>0.4181513049165777</v>
      </c>
      <c r="J2490" s="3" t="s">
        <v>4603</v>
      </c>
    </row>
    <row r="2491" spans="1:10">
      <c r="A2491" s="3" t="s">
        <v>1811</v>
      </c>
      <c r="B2491" s="3" t="s">
        <v>3356</v>
      </c>
      <c r="C2491" s="4">
        <v>264</v>
      </c>
      <c r="D2491" s="3" t="s">
        <v>632</v>
      </c>
      <c r="E2491" s="3" t="s">
        <v>8</v>
      </c>
      <c r="F2491" s="5">
        <v>13698.96</v>
      </c>
      <c r="G2491" s="5">
        <v>19427.198</v>
      </c>
      <c r="H2491" s="5">
        <f t="shared" si="76"/>
        <v>5728.2380000000012</v>
      </c>
      <c r="I2491" s="9">
        <f t="shared" si="77"/>
        <v>0.4181513049165777</v>
      </c>
      <c r="J2491" s="3" t="s">
        <v>4603</v>
      </c>
    </row>
    <row r="2492" spans="1:10">
      <c r="A2492" s="3" t="s">
        <v>1811</v>
      </c>
      <c r="B2492" s="3" t="s">
        <v>3357</v>
      </c>
      <c r="C2492" s="4">
        <v>232</v>
      </c>
      <c r="D2492" s="3" t="s">
        <v>95</v>
      </c>
      <c r="E2492" s="3" t="s">
        <v>13</v>
      </c>
      <c r="F2492" s="5">
        <v>7024.68</v>
      </c>
      <c r="G2492" s="5">
        <v>4973.7299999999996</v>
      </c>
      <c r="H2492" s="5">
        <f t="shared" si="76"/>
        <v>-2050.9500000000007</v>
      </c>
      <c r="I2492" s="9">
        <f t="shared" si="77"/>
        <v>-0.29196347733989314</v>
      </c>
      <c r="J2492" s="3" t="s">
        <v>4603</v>
      </c>
    </row>
    <row r="2493" spans="1:10" ht="38.25">
      <c r="A2493" s="3" t="s">
        <v>1811</v>
      </c>
      <c r="B2493" s="3" t="s">
        <v>3358</v>
      </c>
      <c r="C2493" s="4">
        <v>11</v>
      </c>
      <c r="D2493" s="3" t="s">
        <v>55</v>
      </c>
      <c r="E2493" s="3" t="s">
        <v>18</v>
      </c>
      <c r="F2493" s="5">
        <v>0</v>
      </c>
      <c r="G2493" s="5">
        <v>2922</v>
      </c>
      <c r="H2493" s="5">
        <f t="shared" si="76"/>
        <v>2922</v>
      </c>
      <c r="I2493" s="9">
        <f t="shared" si="77"/>
        <v>0</v>
      </c>
      <c r="J2493" s="3" t="s">
        <v>4603</v>
      </c>
    </row>
    <row r="2494" spans="1:10" ht="25.5">
      <c r="A2494" s="3" t="s">
        <v>1811</v>
      </c>
      <c r="B2494" s="3" t="s">
        <v>3359</v>
      </c>
      <c r="C2494" s="4">
        <v>231</v>
      </c>
      <c r="D2494" s="3" t="s">
        <v>89</v>
      </c>
      <c r="E2494" s="3" t="s">
        <v>8</v>
      </c>
      <c r="F2494" s="5">
        <v>8266.6200000000008</v>
      </c>
      <c r="G2494" s="5">
        <v>7093.38</v>
      </c>
      <c r="H2494" s="5">
        <f t="shared" si="76"/>
        <v>-1173.2400000000007</v>
      </c>
      <c r="I2494" s="9">
        <f t="shared" si="77"/>
        <v>-0.14192499473787357</v>
      </c>
      <c r="J2494" s="3" t="s">
        <v>4603</v>
      </c>
    </row>
    <row r="2495" spans="1:10" ht="38.25">
      <c r="A2495" s="3" t="s">
        <v>1811</v>
      </c>
      <c r="B2495" s="3" t="s">
        <v>3360</v>
      </c>
      <c r="C2495" s="4">
        <v>11</v>
      </c>
      <c r="D2495" s="3" t="s">
        <v>55</v>
      </c>
      <c r="E2495" s="3" t="s">
        <v>18</v>
      </c>
      <c r="F2495" s="5">
        <v>8014.8</v>
      </c>
      <c r="G2495" s="5">
        <v>8895.24</v>
      </c>
      <c r="H2495" s="5">
        <f t="shared" si="76"/>
        <v>880.4399999999996</v>
      </c>
      <c r="I2495" s="9">
        <f t="shared" si="77"/>
        <v>0.10985177421769721</v>
      </c>
      <c r="J2495" s="3" t="s">
        <v>4603</v>
      </c>
    </row>
    <row r="2496" spans="1:10">
      <c r="A2496" s="3" t="s">
        <v>1811</v>
      </c>
      <c r="B2496" s="3" t="s">
        <v>3361</v>
      </c>
      <c r="C2496" s="4">
        <v>232</v>
      </c>
      <c r="D2496" s="3" t="s">
        <v>95</v>
      </c>
      <c r="E2496" s="3" t="s">
        <v>13</v>
      </c>
      <c r="F2496" s="5">
        <v>16309.98</v>
      </c>
      <c r="G2496" s="5">
        <v>14682.48</v>
      </c>
      <c r="H2496" s="5">
        <f t="shared" si="76"/>
        <v>-1627.5</v>
      </c>
      <c r="I2496" s="9">
        <f t="shared" si="77"/>
        <v>-9.978553008648694E-2</v>
      </c>
      <c r="J2496" s="3" t="s">
        <v>4603</v>
      </c>
    </row>
    <row r="2497" spans="1:10" ht="25.5">
      <c r="A2497" s="3" t="s">
        <v>1811</v>
      </c>
      <c r="B2497" s="3" t="s">
        <v>3362</v>
      </c>
      <c r="C2497" s="4">
        <v>218</v>
      </c>
      <c r="D2497" s="3" t="s">
        <v>155</v>
      </c>
      <c r="E2497" s="3" t="s">
        <v>13</v>
      </c>
      <c r="F2497" s="5">
        <v>4739.16</v>
      </c>
      <c r="G2497" s="5">
        <v>11331.84</v>
      </c>
      <c r="H2497" s="5">
        <f t="shared" si="76"/>
        <v>6592.68</v>
      </c>
      <c r="I2497" s="9">
        <f t="shared" si="77"/>
        <v>1.3911072848352872</v>
      </c>
      <c r="J2497" s="3" t="s">
        <v>4603</v>
      </c>
    </row>
    <row r="2498" spans="1:10" ht="25.5">
      <c r="A2498" s="3" t="s">
        <v>1811</v>
      </c>
      <c r="B2498" s="3" t="s">
        <v>3363</v>
      </c>
      <c r="C2498" s="4">
        <v>267</v>
      </c>
      <c r="D2498" s="3" t="s">
        <v>417</v>
      </c>
      <c r="E2498" s="3" t="s">
        <v>13</v>
      </c>
      <c r="F2498" s="5">
        <v>0</v>
      </c>
      <c r="G2498" s="5">
        <v>3195.6</v>
      </c>
      <c r="H2498" s="5">
        <f t="shared" si="76"/>
        <v>3195.6</v>
      </c>
      <c r="I2498" s="9">
        <f t="shared" si="77"/>
        <v>0</v>
      </c>
      <c r="J2498" s="3" t="s">
        <v>4603</v>
      </c>
    </row>
    <row r="2499" spans="1:10" ht="25.5">
      <c r="A2499" s="3" t="s">
        <v>1811</v>
      </c>
      <c r="B2499" s="3" t="s">
        <v>3364</v>
      </c>
      <c r="C2499" s="4">
        <v>194</v>
      </c>
      <c r="D2499" s="3" t="s">
        <v>179</v>
      </c>
      <c r="E2499" s="3" t="s">
        <v>13</v>
      </c>
      <c r="F2499" s="5">
        <v>0</v>
      </c>
      <c r="G2499" s="5">
        <v>14930.7</v>
      </c>
      <c r="H2499" s="5">
        <f t="shared" ref="H2499:H2562" si="78">G2499-F2499</f>
        <v>14930.7</v>
      </c>
      <c r="I2499" s="9">
        <f t="shared" ref="I2499:I2562" si="79">IFERROR(G2499/F2499-1,0)</f>
        <v>0</v>
      </c>
      <c r="J2499" s="3" t="s">
        <v>4603</v>
      </c>
    </row>
    <row r="2500" spans="1:10" ht="25.5">
      <c r="A2500" s="3" t="s">
        <v>1811</v>
      </c>
      <c r="B2500" s="3" t="s">
        <v>3365</v>
      </c>
      <c r="C2500" s="4">
        <v>74</v>
      </c>
      <c r="D2500" s="3" t="s">
        <v>86</v>
      </c>
      <c r="E2500" s="3" t="s">
        <v>8</v>
      </c>
      <c r="F2500" s="5">
        <v>14913.72</v>
      </c>
      <c r="G2500" s="5">
        <v>0</v>
      </c>
      <c r="H2500" s="5">
        <f t="shared" si="78"/>
        <v>-14913.72</v>
      </c>
      <c r="I2500" s="9">
        <f t="shared" si="79"/>
        <v>-1</v>
      </c>
      <c r="J2500" s="3" t="s">
        <v>4603</v>
      </c>
    </row>
    <row r="2501" spans="1:10" ht="25.5">
      <c r="A2501" s="3" t="s">
        <v>1811</v>
      </c>
      <c r="B2501" s="3" t="s">
        <v>3366</v>
      </c>
      <c r="C2501" s="4">
        <v>270</v>
      </c>
      <c r="D2501" s="3" t="s">
        <v>312</v>
      </c>
      <c r="E2501" s="3" t="s">
        <v>30</v>
      </c>
      <c r="F2501" s="5">
        <v>11499.24</v>
      </c>
      <c r="G2501" s="5">
        <v>14859.84</v>
      </c>
      <c r="H2501" s="5">
        <f t="shared" si="78"/>
        <v>3360.6000000000004</v>
      </c>
      <c r="I2501" s="9">
        <f t="shared" si="79"/>
        <v>0.29224540056560255</v>
      </c>
      <c r="J2501" s="3" t="s">
        <v>4603</v>
      </c>
    </row>
    <row r="2502" spans="1:10" ht="25.5">
      <c r="A2502" s="3" t="s">
        <v>1811</v>
      </c>
      <c r="B2502" s="3" t="s">
        <v>3367</v>
      </c>
      <c r="C2502" s="4">
        <v>53</v>
      </c>
      <c r="D2502" s="3" t="s">
        <v>340</v>
      </c>
      <c r="E2502" s="3" t="s">
        <v>13</v>
      </c>
      <c r="F2502" s="5">
        <v>0</v>
      </c>
      <c r="G2502" s="5">
        <v>4945.68</v>
      </c>
      <c r="H2502" s="5">
        <f t="shared" si="78"/>
        <v>4945.68</v>
      </c>
      <c r="I2502" s="9">
        <f t="shared" si="79"/>
        <v>0</v>
      </c>
      <c r="J2502" s="3" t="s">
        <v>4603</v>
      </c>
    </row>
    <row r="2503" spans="1:10">
      <c r="A2503" s="3" t="s">
        <v>1811</v>
      </c>
      <c r="B2503" s="3" t="s">
        <v>3368</v>
      </c>
      <c r="C2503" s="4">
        <v>232</v>
      </c>
      <c r="D2503" s="3" t="s">
        <v>95</v>
      </c>
      <c r="E2503" s="3" t="s">
        <v>13</v>
      </c>
      <c r="F2503" s="5">
        <v>13063.98</v>
      </c>
      <c r="G2503" s="5">
        <v>0</v>
      </c>
      <c r="H2503" s="5">
        <f t="shared" si="78"/>
        <v>-13063.98</v>
      </c>
      <c r="I2503" s="9">
        <f t="shared" si="79"/>
        <v>-1</v>
      </c>
      <c r="J2503" s="3" t="s">
        <v>4603</v>
      </c>
    </row>
    <row r="2504" spans="1:10" ht="38.25">
      <c r="A2504" s="3" t="s">
        <v>1811</v>
      </c>
      <c r="B2504" s="3" t="s">
        <v>3369</v>
      </c>
      <c r="C2504" s="4">
        <v>38</v>
      </c>
      <c r="D2504" s="3" t="s">
        <v>229</v>
      </c>
      <c r="E2504" s="3" t="s">
        <v>30</v>
      </c>
      <c r="F2504" s="5">
        <v>5051.04</v>
      </c>
      <c r="G2504" s="5">
        <v>0</v>
      </c>
      <c r="H2504" s="5">
        <f t="shared" si="78"/>
        <v>-5051.04</v>
      </c>
      <c r="I2504" s="9">
        <f t="shared" si="79"/>
        <v>-1</v>
      </c>
      <c r="J2504" s="3" t="s">
        <v>4603</v>
      </c>
    </row>
    <row r="2505" spans="1:10" ht="25.5">
      <c r="A2505" s="3" t="s">
        <v>1811</v>
      </c>
      <c r="B2505" s="3" t="s">
        <v>3370</v>
      </c>
      <c r="C2505" s="4">
        <v>299</v>
      </c>
      <c r="D2505" s="3" t="s">
        <v>246</v>
      </c>
      <c r="E2505" s="3" t="s">
        <v>30</v>
      </c>
      <c r="F2505" s="5">
        <v>13659.3</v>
      </c>
      <c r="G2505" s="5">
        <v>1917.6</v>
      </c>
      <c r="H2505" s="5">
        <f t="shared" si="78"/>
        <v>-11741.699999999999</v>
      </c>
      <c r="I2505" s="9">
        <f t="shared" si="79"/>
        <v>-0.85961213239331447</v>
      </c>
      <c r="J2505" s="3" t="s">
        <v>4603</v>
      </c>
    </row>
    <row r="2506" spans="1:10" ht="25.5">
      <c r="A2506" s="3" t="s">
        <v>1811</v>
      </c>
      <c r="B2506" s="3" t="s">
        <v>3371</v>
      </c>
      <c r="C2506" s="4">
        <v>197</v>
      </c>
      <c r="D2506" s="3" t="s">
        <v>23</v>
      </c>
      <c r="E2506" s="3" t="s">
        <v>22</v>
      </c>
      <c r="F2506" s="5">
        <v>9574.16</v>
      </c>
      <c r="G2506" s="5">
        <v>9275.39</v>
      </c>
      <c r="H2506" s="5">
        <f t="shared" si="78"/>
        <v>-298.77000000000044</v>
      </c>
      <c r="I2506" s="9">
        <f t="shared" si="79"/>
        <v>-3.1205870802242797E-2</v>
      </c>
      <c r="J2506" s="3" t="s">
        <v>4603</v>
      </c>
    </row>
    <row r="2507" spans="1:10">
      <c r="A2507" s="3" t="s">
        <v>1811</v>
      </c>
      <c r="B2507" s="3" t="s">
        <v>3372</v>
      </c>
      <c r="C2507" s="4">
        <v>315</v>
      </c>
      <c r="D2507" s="3" t="s">
        <v>79</v>
      </c>
      <c r="E2507" s="3" t="s">
        <v>8</v>
      </c>
      <c r="F2507" s="5">
        <v>7883.52</v>
      </c>
      <c r="G2507" s="5">
        <v>0</v>
      </c>
      <c r="H2507" s="5">
        <f t="shared" si="78"/>
        <v>-7883.52</v>
      </c>
      <c r="I2507" s="9">
        <f t="shared" si="79"/>
        <v>-1</v>
      </c>
      <c r="J2507" s="3" t="s">
        <v>4604</v>
      </c>
    </row>
    <row r="2508" spans="1:10" ht="38.25">
      <c r="A2508" s="3" t="s">
        <v>1811</v>
      </c>
      <c r="B2508" s="3" t="s">
        <v>3373</v>
      </c>
      <c r="C2508" s="4">
        <v>194</v>
      </c>
      <c r="D2508" s="3" t="s">
        <v>179</v>
      </c>
      <c r="E2508" s="3" t="s">
        <v>13</v>
      </c>
      <c r="F2508" s="5">
        <v>7222.68</v>
      </c>
      <c r="G2508" s="5">
        <v>10280.16</v>
      </c>
      <c r="H2508" s="5">
        <f t="shared" si="78"/>
        <v>3057.4799999999996</v>
      </c>
      <c r="I2508" s="9">
        <f t="shared" si="79"/>
        <v>0.42331655285849568</v>
      </c>
      <c r="J2508" s="3" t="s">
        <v>4603</v>
      </c>
    </row>
    <row r="2509" spans="1:10" ht="25.5">
      <c r="A2509" s="3" t="s">
        <v>1811</v>
      </c>
      <c r="B2509" s="3" t="s">
        <v>3374</v>
      </c>
      <c r="C2509" s="4">
        <v>273</v>
      </c>
      <c r="D2509" s="3" t="s">
        <v>771</v>
      </c>
      <c r="E2509" s="3" t="s">
        <v>13</v>
      </c>
      <c r="F2509" s="5">
        <v>0</v>
      </c>
      <c r="G2509" s="5">
        <v>3524.64</v>
      </c>
      <c r="H2509" s="5">
        <f t="shared" si="78"/>
        <v>3524.64</v>
      </c>
      <c r="I2509" s="9">
        <f t="shared" si="79"/>
        <v>0</v>
      </c>
      <c r="J2509" s="3" t="s">
        <v>4604</v>
      </c>
    </row>
    <row r="2510" spans="1:10" ht="25.5">
      <c r="A2510" s="3" t="s">
        <v>1811</v>
      </c>
      <c r="B2510" s="3" t="s">
        <v>3375</v>
      </c>
      <c r="C2510" s="4">
        <v>273</v>
      </c>
      <c r="D2510" s="3" t="s">
        <v>771</v>
      </c>
      <c r="E2510" s="3" t="s">
        <v>13</v>
      </c>
      <c r="F2510" s="5">
        <v>4509.21</v>
      </c>
      <c r="G2510" s="5">
        <v>0</v>
      </c>
      <c r="H2510" s="5">
        <f t="shared" si="78"/>
        <v>-4509.21</v>
      </c>
      <c r="I2510" s="9">
        <f t="shared" si="79"/>
        <v>-1</v>
      </c>
      <c r="J2510" s="3" t="s">
        <v>4603</v>
      </c>
    </row>
    <row r="2511" spans="1:10" ht="25.5">
      <c r="A2511" s="3" t="s">
        <v>1811</v>
      </c>
      <c r="B2511" s="3" t="s">
        <v>3376</v>
      </c>
      <c r="C2511" s="4">
        <v>316</v>
      </c>
      <c r="D2511" s="3" t="s">
        <v>167</v>
      </c>
      <c r="E2511" s="3" t="s">
        <v>18</v>
      </c>
      <c r="F2511" s="5">
        <v>15092.7</v>
      </c>
      <c r="G2511" s="5">
        <v>0</v>
      </c>
      <c r="H2511" s="5">
        <f t="shared" si="78"/>
        <v>-15092.7</v>
      </c>
      <c r="I2511" s="9">
        <f t="shared" si="79"/>
        <v>-1</v>
      </c>
      <c r="J2511" s="3" t="s">
        <v>4603</v>
      </c>
    </row>
    <row r="2512" spans="1:10" ht="38.25">
      <c r="A2512" s="3" t="s">
        <v>1811</v>
      </c>
      <c r="B2512" s="3" t="s">
        <v>3377</v>
      </c>
      <c r="C2512" s="4">
        <v>11</v>
      </c>
      <c r="D2512" s="3" t="s">
        <v>55</v>
      </c>
      <c r="E2512" s="3" t="s">
        <v>18</v>
      </c>
      <c r="F2512" s="5">
        <v>5687.04</v>
      </c>
      <c r="G2512" s="5">
        <v>0</v>
      </c>
      <c r="H2512" s="5">
        <f t="shared" si="78"/>
        <v>-5687.04</v>
      </c>
      <c r="I2512" s="9">
        <f t="shared" si="79"/>
        <v>-1</v>
      </c>
      <c r="J2512" s="3" t="s">
        <v>4603</v>
      </c>
    </row>
    <row r="2513" spans="1:10" ht="25.5">
      <c r="A2513" s="3" t="s">
        <v>1811</v>
      </c>
      <c r="B2513" s="3" t="s">
        <v>3378</v>
      </c>
      <c r="C2513" s="4">
        <v>23</v>
      </c>
      <c r="D2513" s="3" t="s">
        <v>71</v>
      </c>
      <c r="E2513" s="3" t="s">
        <v>8</v>
      </c>
      <c r="F2513" s="5">
        <v>6884.01</v>
      </c>
      <c r="G2513" s="5">
        <v>7363.26</v>
      </c>
      <c r="H2513" s="5">
        <f t="shared" si="78"/>
        <v>479.25</v>
      </c>
      <c r="I2513" s="9">
        <f t="shared" si="79"/>
        <v>6.9617853547568886E-2</v>
      </c>
      <c r="J2513" s="3" t="s">
        <v>4603</v>
      </c>
    </row>
    <row r="2514" spans="1:10">
      <c r="A2514" s="3" t="s">
        <v>1811</v>
      </c>
      <c r="B2514" s="3" t="s">
        <v>3379</v>
      </c>
      <c r="C2514" s="4">
        <v>217</v>
      </c>
      <c r="D2514" s="3" t="s">
        <v>253</v>
      </c>
      <c r="E2514" s="3" t="s">
        <v>13</v>
      </c>
      <c r="F2514" s="5">
        <v>3120.6</v>
      </c>
      <c r="G2514" s="5">
        <v>4672.26</v>
      </c>
      <c r="H2514" s="5">
        <f t="shared" si="78"/>
        <v>1551.6600000000003</v>
      </c>
      <c r="I2514" s="9">
        <f t="shared" si="79"/>
        <v>0.49723130167275542</v>
      </c>
      <c r="J2514" s="3" t="s">
        <v>4603</v>
      </c>
    </row>
    <row r="2515" spans="1:10" ht="38.25">
      <c r="A2515" s="3" t="s">
        <v>1811</v>
      </c>
      <c r="B2515" s="3" t="s">
        <v>3380</v>
      </c>
      <c r="C2515" s="4">
        <v>292</v>
      </c>
      <c r="D2515" s="3" t="s">
        <v>619</v>
      </c>
      <c r="E2515" s="3" t="s">
        <v>30</v>
      </c>
      <c r="F2515" s="5">
        <v>2243.4899999999998</v>
      </c>
      <c r="G2515" s="5">
        <v>2003.4</v>
      </c>
      <c r="H2515" s="5">
        <f t="shared" si="78"/>
        <v>-240.08999999999969</v>
      </c>
      <c r="I2515" s="9">
        <f t="shared" si="79"/>
        <v>-0.10701630049610189</v>
      </c>
      <c r="J2515" s="3" t="s">
        <v>4603</v>
      </c>
    </row>
    <row r="2516" spans="1:10" ht="25.5">
      <c r="A2516" s="3" t="s">
        <v>1811</v>
      </c>
      <c r="B2516" s="3" t="s">
        <v>3381</v>
      </c>
      <c r="C2516" s="4">
        <v>328</v>
      </c>
      <c r="D2516" s="3" t="s">
        <v>158</v>
      </c>
      <c r="E2516" s="3" t="s">
        <v>22</v>
      </c>
      <c r="F2516" s="5">
        <v>0</v>
      </c>
      <c r="G2516" s="5">
        <v>11617.44</v>
      </c>
      <c r="H2516" s="5">
        <f t="shared" si="78"/>
        <v>11617.44</v>
      </c>
      <c r="I2516" s="9">
        <f t="shared" si="79"/>
        <v>0</v>
      </c>
      <c r="J2516" s="3" t="s">
        <v>4603</v>
      </c>
    </row>
    <row r="2517" spans="1:10" ht="25.5">
      <c r="A2517" s="3" t="s">
        <v>1811</v>
      </c>
      <c r="B2517" s="3" t="s">
        <v>3382</v>
      </c>
      <c r="C2517" s="4">
        <v>178</v>
      </c>
      <c r="D2517" s="3" t="s">
        <v>92</v>
      </c>
      <c r="E2517" s="3" t="s">
        <v>8</v>
      </c>
      <c r="F2517" s="5">
        <v>3371.52</v>
      </c>
      <c r="G2517" s="5">
        <v>5087.88</v>
      </c>
      <c r="H2517" s="5">
        <f t="shared" si="78"/>
        <v>1716.3600000000001</v>
      </c>
      <c r="I2517" s="9">
        <f t="shared" si="79"/>
        <v>0.50907602505694771</v>
      </c>
      <c r="J2517" s="3" t="s">
        <v>4603</v>
      </c>
    </row>
    <row r="2518" spans="1:10" ht="38.25">
      <c r="A2518" s="3" t="s">
        <v>1811</v>
      </c>
      <c r="B2518" s="3" t="s">
        <v>3383</v>
      </c>
      <c r="C2518" s="4">
        <v>371</v>
      </c>
      <c r="D2518" s="3" t="s">
        <v>29</v>
      </c>
      <c r="E2518" s="3" t="s">
        <v>30</v>
      </c>
      <c r="F2518" s="5">
        <v>2303.52</v>
      </c>
      <c r="G2518" s="5">
        <v>4908</v>
      </c>
      <c r="H2518" s="5">
        <f t="shared" si="78"/>
        <v>2604.48</v>
      </c>
      <c r="I2518" s="9">
        <f t="shared" si="79"/>
        <v>1.1306522192123358</v>
      </c>
      <c r="J2518" s="3" t="s">
        <v>4603</v>
      </c>
    </row>
    <row r="2519" spans="1:10" ht="25.5">
      <c r="A2519" s="3" t="s">
        <v>1811</v>
      </c>
      <c r="B2519" s="3" t="s">
        <v>3384</v>
      </c>
      <c r="C2519" s="4">
        <v>299</v>
      </c>
      <c r="D2519" s="3" t="s">
        <v>246</v>
      </c>
      <c r="E2519" s="3" t="s">
        <v>30</v>
      </c>
      <c r="F2519" s="5">
        <v>0</v>
      </c>
      <c r="G2519" s="5">
        <v>3234.24</v>
      </c>
      <c r="H2519" s="5">
        <f t="shared" si="78"/>
        <v>3234.24</v>
      </c>
      <c r="I2519" s="9">
        <f t="shared" si="79"/>
        <v>0</v>
      </c>
      <c r="J2519" s="3" t="s">
        <v>4603</v>
      </c>
    </row>
    <row r="2520" spans="1:10" ht="38.25">
      <c r="A2520" s="3" t="s">
        <v>1811</v>
      </c>
      <c r="B2520" s="3" t="s">
        <v>3385</v>
      </c>
      <c r="C2520" s="4">
        <v>292</v>
      </c>
      <c r="D2520" s="3" t="s">
        <v>619</v>
      </c>
      <c r="E2520" s="3" t="s">
        <v>30</v>
      </c>
      <c r="F2520" s="5">
        <v>2209.8000000000002</v>
      </c>
      <c r="G2520" s="5">
        <v>0</v>
      </c>
      <c r="H2520" s="5">
        <f t="shared" si="78"/>
        <v>-2209.8000000000002</v>
      </c>
      <c r="I2520" s="9">
        <f t="shared" si="79"/>
        <v>-1</v>
      </c>
      <c r="J2520" s="3" t="s">
        <v>4603</v>
      </c>
    </row>
    <row r="2521" spans="1:10" ht="25.5">
      <c r="A2521" s="3" t="s">
        <v>1811</v>
      </c>
      <c r="B2521" s="3" t="s">
        <v>3386</v>
      </c>
      <c r="C2521" s="4">
        <v>296</v>
      </c>
      <c r="D2521" s="3" t="s">
        <v>137</v>
      </c>
      <c r="E2521" s="3" t="s">
        <v>18</v>
      </c>
      <c r="F2521" s="5">
        <v>0</v>
      </c>
      <c r="G2521" s="5">
        <v>4565.1049999999996</v>
      </c>
      <c r="H2521" s="5">
        <f t="shared" si="78"/>
        <v>4565.1049999999996</v>
      </c>
      <c r="I2521" s="9">
        <f t="shared" si="79"/>
        <v>0</v>
      </c>
      <c r="J2521" s="3" t="s">
        <v>4603</v>
      </c>
    </row>
    <row r="2522" spans="1:10" ht="25.5">
      <c r="A2522" s="3" t="s">
        <v>1811</v>
      </c>
      <c r="B2522" s="3" t="s">
        <v>3387</v>
      </c>
      <c r="C2522" s="4">
        <v>61</v>
      </c>
      <c r="D2522" s="3" t="s">
        <v>114</v>
      </c>
      <c r="E2522" s="3" t="s">
        <v>30</v>
      </c>
      <c r="F2522" s="5">
        <v>7726.8</v>
      </c>
      <c r="G2522" s="5">
        <v>9508.3799999999992</v>
      </c>
      <c r="H2522" s="5">
        <f t="shared" si="78"/>
        <v>1781.579999999999</v>
      </c>
      <c r="I2522" s="9">
        <f t="shared" si="79"/>
        <v>0.23057151731635339</v>
      </c>
      <c r="J2522" s="3" t="s">
        <v>4603</v>
      </c>
    </row>
    <row r="2523" spans="1:10" ht="25.5">
      <c r="A2523" s="3" t="s">
        <v>1811</v>
      </c>
      <c r="B2523" s="3" t="s">
        <v>3388</v>
      </c>
      <c r="C2523" s="4">
        <v>335</v>
      </c>
      <c r="D2523" s="3" t="s">
        <v>7</v>
      </c>
      <c r="E2523" s="3" t="s">
        <v>8</v>
      </c>
      <c r="F2523" s="5">
        <v>0</v>
      </c>
      <c r="G2523" s="5">
        <v>3808.5</v>
      </c>
      <c r="H2523" s="5">
        <f t="shared" si="78"/>
        <v>3808.5</v>
      </c>
      <c r="I2523" s="9">
        <f t="shared" si="79"/>
        <v>0</v>
      </c>
      <c r="J2523" s="3" t="s">
        <v>4603</v>
      </c>
    </row>
    <row r="2524" spans="1:10" ht="25.5">
      <c r="A2524" s="3" t="s">
        <v>1811</v>
      </c>
      <c r="B2524" s="3" t="s">
        <v>3389</v>
      </c>
      <c r="C2524" s="4">
        <v>267</v>
      </c>
      <c r="D2524" s="3" t="s">
        <v>417</v>
      </c>
      <c r="E2524" s="3" t="s">
        <v>13</v>
      </c>
      <c r="F2524" s="5">
        <v>6046.92</v>
      </c>
      <c r="G2524" s="5">
        <v>0</v>
      </c>
      <c r="H2524" s="5">
        <f t="shared" si="78"/>
        <v>-6046.92</v>
      </c>
      <c r="I2524" s="9">
        <f t="shared" si="79"/>
        <v>-1</v>
      </c>
      <c r="J2524" s="3" t="s">
        <v>4603</v>
      </c>
    </row>
    <row r="2525" spans="1:10" ht="25.5">
      <c r="A2525" s="3" t="s">
        <v>1811</v>
      </c>
      <c r="B2525" s="3" t="s">
        <v>3390</v>
      </c>
      <c r="C2525" s="4">
        <v>187</v>
      </c>
      <c r="D2525" s="3" t="s">
        <v>460</v>
      </c>
      <c r="E2525" s="3" t="s">
        <v>8</v>
      </c>
      <c r="F2525" s="5">
        <v>8359.74</v>
      </c>
      <c r="G2525" s="5">
        <v>0</v>
      </c>
      <c r="H2525" s="5">
        <f t="shared" si="78"/>
        <v>-8359.74</v>
      </c>
      <c r="I2525" s="9">
        <f t="shared" si="79"/>
        <v>-1</v>
      </c>
      <c r="J2525" s="3" t="s">
        <v>4603</v>
      </c>
    </row>
    <row r="2526" spans="1:10" ht="38.25">
      <c r="A2526" s="3" t="s">
        <v>1811</v>
      </c>
      <c r="B2526" s="3" t="s">
        <v>3391</v>
      </c>
      <c r="C2526" s="4">
        <v>371</v>
      </c>
      <c r="D2526" s="3" t="s">
        <v>29</v>
      </c>
      <c r="E2526" s="3" t="s">
        <v>30</v>
      </c>
      <c r="F2526" s="5">
        <v>2111.52</v>
      </c>
      <c r="G2526" s="5">
        <v>0</v>
      </c>
      <c r="H2526" s="5">
        <f t="shared" si="78"/>
        <v>-2111.52</v>
      </c>
      <c r="I2526" s="9">
        <f t="shared" si="79"/>
        <v>-1</v>
      </c>
      <c r="J2526" s="3" t="s">
        <v>4603</v>
      </c>
    </row>
    <row r="2527" spans="1:10" ht="25.5">
      <c r="A2527" s="3" t="s">
        <v>1811</v>
      </c>
      <c r="B2527" s="3" t="s">
        <v>3392</v>
      </c>
      <c r="C2527" s="4">
        <v>93</v>
      </c>
      <c r="D2527" s="3" t="s">
        <v>42</v>
      </c>
      <c r="E2527" s="3" t="s">
        <v>8</v>
      </c>
      <c r="F2527" s="5">
        <v>0</v>
      </c>
      <c r="G2527" s="5">
        <v>19000.59</v>
      </c>
      <c r="H2527" s="5">
        <f t="shared" si="78"/>
        <v>19000.59</v>
      </c>
      <c r="I2527" s="9">
        <f t="shared" si="79"/>
        <v>0</v>
      </c>
      <c r="J2527" s="3" t="s">
        <v>4603</v>
      </c>
    </row>
    <row r="2528" spans="1:10" ht="25.5">
      <c r="A2528" s="3" t="s">
        <v>1811</v>
      </c>
      <c r="B2528" s="3" t="s">
        <v>3393</v>
      </c>
      <c r="C2528" s="4">
        <v>316</v>
      </c>
      <c r="D2528" s="3" t="s">
        <v>167</v>
      </c>
      <c r="E2528" s="3" t="s">
        <v>18</v>
      </c>
      <c r="F2528" s="5">
        <v>12195.38</v>
      </c>
      <c r="G2528" s="5">
        <v>10426.950000000001</v>
      </c>
      <c r="H2528" s="5">
        <f t="shared" si="78"/>
        <v>-1768.4299999999985</v>
      </c>
      <c r="I2528" s="9">
        <f t="shared" si="79"/>
        <v>-0.14500819162666512</v>
      </c>
      <c r="J2528" s="3" t="s">
        <v>4603</v>
      </c>
    </row>
    <row r="2529" spans="1:10" ht="25.5">
      <c r="A2529" s="3" t="s">
        <v>1811</v>
      </c>
      <c r="B2529" s="3" t="s">
        <v>3394</v>
      </c>
      <c r="C2529" s="4">
        <v>273</v>
      </c>
      <c r="D2529" s="3" t="s">
        <v>771</v>
      </c>
      <c r="E2529" s="3" t="s">
        <v>13</v>
      </c>
      <c r="F2529" s="5">
        <v>7352.34</v>
      </c>
      <c r="G2529" s="5">
        <v>0</v>
      </c>
      <c r="H2529" s="5">
        <f t="shared" si="78"/>
        <v>-7352.34</v>
      </c>
      <c r="I2529" s="9">
        <f t="shared" si="79"/>
        <v>-1</v>
      </c>
      <c r="J2529" s="3" t="s">
        <v>4604</v>
      </c>
    </row>
    <row r="2530" spans="1:10" ht="25.5">
      <c r="A2530" s="3" t="s">
        <v>1811</v>
      </c>
      <c r="B2530" s="3" t="s">
        <v>3395</v>
      </c>
      <c r="C2530" s="4">
        <v>217</v>
      </c>
      <c r="D2530" s="3" t="s">
        <v>253</v>
      </c>
      <c r="E2530" s="3" t="s">
        <v>13</v>
      </c>
      <c r="F2530" s="5">
        <v>12506.16</v>
      </c>
      <c r="G2530" s="5">
        <v>0</v>
      </c>
      <c r="H2530" s="5">
        <f t="shared" si="78"/>
        <v>-12506.16</v>
      </c>
      <c r="I2530" s="9">
        <f t="shared" si="79"/>
        <v>-1</v>
      </c>
      <c r="J2530" s="3" t="s">
        <v>4603</v>
      </c>
    </row>
    <row r="2531" spans="1:10" ht="25.5">
      <c r="A2531" s="3" t="s">
        <v>1811</v>
      </c>
      <c r="B2531" s="3" t="s">
        <v>3396</v>
      </c>
      <c r="C2531" s="4">
        <v>273</v>
      </c>
      <c r="D2531" s="3" t="s">
        <v>771</v>
      </c>
      <c r="E2531" s="3" t="s">
        <v>13</v>
      </c>
      <c r="F2531" s="5">
        <v>6408.3</v>
      </c>
      <c r="G2531" s="5">
        <v>15244.26</v>
      </c>
      <c r="H2531" s="5">
        <f t="shared" si="78"/>
        <v>8835.9599999999991</v>
      </c>
      <c r="I2531" s="9">
        <f t="shared" si="79"/>
        <v>1.3788305790927389</v>
      </c>
      <c r="J2531" s="3" t="s">
        <v>4603</v>
      </c>
    </row>
    <row r="2532" spans="1:10" ht="38.25">
      <c r="A2532" s="3" t="s">
        <v>1811</v>
      </c>
      <c r="B2532" s="3" t="s">
        <v>3397</v>
      </c>
      <c r="C2532" s="4">
        <v>231</v>
      </c>
      <c r="D2532" s="3" t="s">
        <v>89</v>
      </c>
      <c r="E2532" s="3" t="s">
        <v>8</v>
      </c>
      <c r="F2532" s="5">
        <v>5831.16</v>
      </c>
      <c r="G2532" s="5">
        <v>0</v>
      </c>
      <c r="H2532" s="5">
        <f t="shared" si="78"/>
        <v>-5831.16</v>
      </c>
      <c r="I2532" s="9">
        <f t="shared" si="79"/>
        <v>-1</v>
      </c>
      <c r="J2532" s="3" t="s">
        <v>4603</v>
      </c>
    </row>
    <row r="2533" spans="1:10" ht="25.5">
      <c r="A2533" s="3" t="s">
        <v>1811</v>
      </c>
      <c r="B2533" s="3" t="s">
        <v>3398</v>
      </c>
      <c r="C2533" s="4">
        <v>194</v>
      </c>
      <c r="D2533" s="3" t="s">
        <v>179</v>
      </c>
      <c r="E2533" s="3" t="s">
        <v>13</v>
      </c>
      <c r="F2533" s="5">
        <v>0</v>
      </c>
      <c r="G2533" s="5">
        <v>3747.6</v>
      </c>
      <c r="H2533" s="5">
        <f t="shared" si="78"/>
        <v>3747.6</v>
      </c>
      <c r="I2533" s="9">
        <f t="shared" si="79"/>
        <v>0</v>
      </c>
      <c r="J2533" s="3" t="s">
        <v>4603</v>
      </c>
    </row>
    <row r="2534" spans="1:10" ht="25.5">
      <c r="A2534" s="3" t="s">
        <v>1811</v>
      </c>
      <c r="B2534" s="3" t="s">
        <v>3399</v>
      </c>
      <c r="C2534" s="4">
        <v>327</v>
      </c>
      <c r="D2534" s="3" t="s">
        <v>76</v>
      </c>
      <c r="E2534" s="3" t="s">
        <v>8</v>
      </c>
      <c r="F2534" s="5">
        <v>0</v>
      </c>
      <c r="G2534" s="5">
        <v>24155.695</v>
      </c>
      <c r="H2534" s="5">
        <f t="shared" si="78"/>
        <v>24155.695</v>
      </c>
      <c r="I2534" s="9">
        <f t="shared" si="79"/>
        <v>0</v>
      </c>
      <c r="J2534" s="3" t="s">
        <v>4603</v>
      </c>
    </row>
    <row r="2535" spans="1:10" ht="25.5">
      <c r="A2535" s="3" t="s">
        <v>1811</v>
      </c>
      <c r="B2535" s="3" t="s">
        <v>3400</v>
      </c>
      <c r="C2535" s="4">
        <v>23</v>
      </c>
      <c r="D2535" s="3" t="s">
        <v>71</v>
      </c>
      <c r="E2535" s="3" t="s">
        <v>8</v>
      </c>
      <c r="F2535" s="5">
        <v>0</v>
      </c>
      <c r="G2535" s="5">
        <v>4502.6400000000003</v>
      </c>
      <c r="H2535" s="5">
        <f t="shared" si="78"/>
        <v>4502.6400000000003</v>
      </c>
      <c r="I2535" s="9">
        <f t="shared" si="79"/>
        <v>0</v>
      </c>
      <c r="J2535" s="3" t="s">
        <v>4603</v>
      </c>
    </row>
    <row r="2536" spans="1:10" ht="25.5">
      <c r="A2536" s="3" t="s">
        <v>1811</v>
      </c>
      <c r="B2536" s="3" t="s">
        <v>3401</v>
      </c>
      <c r="C2536" s="4">
        <v>299</v>
      </c>
      <c r="D2536" s="3" t="s">
        <v>246</v>
      </c>
      <c r="E2536" s="3" t="s">
        <v>30</v>
      </c>
      <c r="F2536" s="5">
        <v>6388.92</v>
      </c>
      <c r="G2536" s="5">
        <v>0</v>
      </c>
      <c r="H2536" s="5">
        <f t="shared" si="78"/>
        <v>-6388.92</v>
      </c>
      <c r="I2536" s="9">
        <f t="shared" si="79"/>
        <v>-1</v>
      </c>
      <c r="J2536" s="3" t="s">
        <v>4603</v>
      </c>
    </row>
    <row r="2537" spans="1:10" ht="25.5">
      <c r="A2537" s="3" t="s">
        <v>1811</v>
      </c>
      <c r="B2537" s="3" t="s">
        <v>3402</v>
      </c>
      <c r="C2537" s="4">
        <v>208</v>
      </c>
      <c r="D2537" s="3" t="s">
        <v>58</v>
      </c>
      <c r="E2537" s="3" t="s">
        <v>13</v>
      </c>
      <c r="F2537" s="5">
        <v>0</v>
      </c>
      <c r="G2537" s="5">
        <v>3542.28</v>
      </c>
      <c r="H2537" s="5">
        <f t="shared" si="78"/>
        <v>3542.28</v>
      </c>
      <c r="I2537" s="9">
        <f t="shared" si="79"/>
        <v>0</v>
      </c>
      <c r="J2537" s="3" t="s">
        <v>4604</v>
      </c>
    </row>
    <row r="2538" spans="1:10" ht="38.25">
      <c r="A2538" s="3" t="s">
        <v>1811</v>
      </c>
      <c r="B2538" s="3" t="s">
        <v>3403</v>
      </c>
      <c r="C2538" s="4">
        <v>38</v>
      </c>
      <c r="D2538" s="3" t="s">
        <v>229</v>
      </c>
      <c r="E2538" s="3" t="s">
        <v>30</v>
      </c>
      <c r="F2538" s="5">
        <v>0</v>
      </c>
      <c r="G2538" s="5">
        <v>7935.81</v>
      </c>
      <c r="H2538" s="5">
        <f t="shared" si="78"/>
        <v>7935.81</v>
      </c>
      <c r="I2538" s="9">
        <f t="shared" si="79"/>
        <v>0</v>
      </c>
      <c r="J2538" s="3" t="s">
        <v>4603</v>
      </c>
    </row>
    <row r="2539" spans="1:10" ht="25.5">
      <c r="A2539" s="3" t="s">
        <v>1811</v>
      </c>
      <c r="B2539" s="3" t="s">
        <v>3404</v>
      </c>
      <c r="C2539" s="4">
        <v>328</v>
      </c>
      <c r="D2539" s="3" t="s">
        <v>158</v>
      </c>
      <c r="E2539" s="3" t="s">
        <v>22</v>
      </c>
      <c r="F2539" s="5">
        <v>6718.8</v>
      </c>
      <c r="G2539" s="5">
        <v>0</v>
      </c>
      <c r="H2539" s="5">
        <f t="shared" si="78"/>
        <v>-6718.8</v>
      </c>
      <c r="I2539" s="9">
        <f t="shared" si="79"/>
        <v>-1</v>
      </c>
      <c r="J2539" s="3" t="s">
        <v>4603</v>
      </c>
    </row>
    <row r="2540" spans="1:10" ht="51">
      <c r="A2540" s="3" t="s">
        <v>1811</v>
      </c>
      <c r="B2540" s="3" t="s">
        <v>3405</v>
      </c>
      <c r="C2540" s="4">
        <v>282</v>
      </c>
      <c r="D2540" s="3" t="s">
        <v>298</v>
      </c>
      <c r="E2540" s="3" t="s">
        <v>9</v>
      </c>
      <c r="F2540" s="5">
        <v>27029.16</v>
      </c>
      <c r="G2540" s="5">
        <v>0</v>
      </c>
      <c r="H2540" s="5">
        <f t="shared" si="78"/>
        <v>-27029.16</v>
      </c>
      <c r="I2540" s="9">
        <f t="shared" si="79"/>
        <v>-1</v>
      </c>
      <c r="J2540" s="3" t="s">
        <v>4603</v>
      </c>
    </row>
    <row r="2541" spans="1:10" ht="25.5">
      <c r="A2541" s="3" t="s">
        <v>1811</v>
      </c>
      <c r="B2541" s="3" t="s">
        <v>3406</v>
      </c>
      <c r="C2541" s="4">
        <v>23</v>
      </c>
      <c r="D2541" s="3" t="s">
        <v>71</v>
      </c>
      <c r="E2541" s="3" t="s">
        <v>8</v>
      </c>
      <c r="F2541" s="5">
        <v>8722.56</v>
      </c>
      <c r="G2541" s="5">
        <v>0</v>
      </c>
      <c r="H2541" s="5">
        <f t="shared" si="78"/>
        <v>-8722.56</v>
      </c>
      <c r="I2541" s="9">
        <f t="shared" si="79"/>
        <v>-1</v>
      </c>
      <c r="J2541" s="3" t="s">
        <v>4603</v>
      </c>
    </row>
    <row r="2542" spans="1:10">
      <c r="A2542" s="3" t="s">
        <v>1811</v>
      </c>
      <c r="B2542" s="3" t="s">
        <v>3407</v>
      </c>
      <c r="C2542" s="4">
        <v>231</v>
      </c>
      <c r="D2542" s="3" t="s">
        <v>89</v>
      </c>
      <c r="E2542" s="3" t="s">
        <v>8</v>
      </c>
      <c r="F2542" s="5">
        <v>7459.44</v>
      </c>
      <c r="G2542" s="5">
        <v>10548.42</v>
      </c>
      <c r="H2542" s="5">
        <f t="shared" si="78"/>
        <v>3088.9800000000005</v>
      </c>
      <c r="I2542" s="9">
        <f t="shared" si="79"/>
        <v>0.41410347157427374</v>
      </c>
      <c r="J2542" s="3" t="s">
        <v>4603</v>
      </c>
    </row>
    <row r="2543" spans="1:10" ht="25.5">
      <c r="A2543" s="3" t="s">
        <v>1811</v>
      </c>
      <c r="B2543" s="3" t="s">
        <v>3408</v>
      </c>
      <c r="C2543" s="4">
        <v>178</v>
      </c>
      <c r="D2543" s="3" t="s">
        <v>92</v>
      </c>
      <c r="E2543" s="3" t="s">
        <v>8</v>
      </c>
      <c r="F2543" s="5">
        <v>7330.8</v>
      </c>
      <c r="G2543" s="5">
        <v>8893.44</v>
      </c>
      <c r="H2543" s="5">
        <f t="shared" si="78"/>
        <v>1562.6400000000003</v>
      </c>
      <c r="I2543" s="9">
        <f t="shared" si="79"/>
        <v>0.21316091013259131</v>
      </c>
      <c r="J2543" s="3" t="s">
        <v>4603</v>
      </c>
    </row>
    <row r="2544" spans="1:10" ht="25.5">
      <c r="A2544" s="3" t="s">
        <v>1811</v>
      </c>
      <c r="B2544" s="3" t="s">
        <v>3409</v>
      </c>
      <c r="C2544" s="4">
        <v>299</v>
      </c>
      <c r="D2544" s="3" t="s">
        <v>246</v>
      </c>
      <c r="E2544" s="3" t="s">
        <v>30</v>
      </c>
      <c r="F2544" s="5">
        <v>0</v>
      </c>
      <c r="G2544" s="5">
        <v>2420.2800000000002</v>
      </c>
      <c r="H2544" s="5">
        <f t="shared" si="78"/>
        <v>2420.2800000000002</v>
      </c>
      <c r="I2544" s="9">
        <f t="shared" si="79"/>
        <v>0</v>
      </c>
      <c r="J2544" s="3" t="s">
        <v>4603</v>
      </c>
    </row>
    <row r="2545" spans="1:10" ht="25.5">
      <c r="A2545" s="3" t="s">
        <v>1811</v>
      </c>
      <c r="B2545" s="3" t="s">
        <v>3410</v>
      </c>
      <c r="C2545" s="4">
        <v>273</v>
      </c>
      <c r="D2545" s="3" t="s">
        <v>771</v>
      </c>
      <c r="E2545" s="3" t="s">
        <v>13</v>
      </c>
      <c r="F2545" s="5">
        <v>3739.68</v>
      </c>
      <c r="G2545" s="5">
        <v>0</v>
      </c>
      <c r="H2545" s="5">
        <f t="shared" si="78"/>
        <v>-3739.68</v>
      </c>
      <c r="I2545" s="9">
        <f t="shared" si="79"/>
        <v>-1</v>
      </c>
      <c r="J2545" s="3" t="s">
        <v>4604</v>
      </c>
    </row>
    <row r="2546" spans="1:10" ht="38.25">
      <c r="A2546" s="3" t="s">
        <v>1811</v>
      </c>
      <c r="B2546" s="3" t="s">
        <v>3411</v>
      </c>
      <c r="C2546" s="4">
        <v>11</v>
      </c>
      <c r="D2546" s="3" t="s">
        <v>55</v>
      </c>
      <c r="E2546" s="3" t="s">
        <v>18</v>
      </c>
      <c r="F2546" s="5">
        <v>28023.27</v>
      </c>
      <c r="G2546" s="5">
        <v>43904.52</v>
      </c>
      <c r="H2546" s="5">
        <f t="shared" si="78"/>
        <v>15881.249999999996</v>
      </c>
      <c r="I2546" s="9">
        <f t="shared" si="79"/>
        <v>0.5667165180937126</v>
      </c>
      <c r="J2546" s="3" t="s">
        <v>4603</v>
      </c>
    </row>
    <row r="2547" spans="1:10" ht="25.5">
      <c r="A2547" s="3" t="s">
        <v>1811</v>
      </c>
      <c r="B2547" s="3" t="s">
        <v>3412</v>
      </c>
      <c r="C2547" s="4">
        <v>187</v>
      </c>
      <c r="D2547" s="3" t="s">
        <v>460</v>
      </c>
      <c r="E2547" s="3" t="s">
        <v>8</v>
      </c>
      <c r="F2547" s="5">
        <v>23075.58</v>
      </c>
      <c r="G2547" s="5">
        <v>0</v>
      </c>
      <c r="H2547" s="5">
        <f t="shared" si="78"/>
        <v>-23075.58</v>
      </c>
      <c r="I2547" s="9">
        <f t="shared" si="79"/>
        <v>-1</v>
      </c>
      <c r="J2547" s="3" t="s">
        <v>4603</v>
      </c>
    </row>
    <row r="2548" spans="1:10">
      <c r="A2548" s="3" t="s">
        <v>1811</v>
      </c>
      <c r="B2548" s="3" t="s">
        <v>3413</v>
      </c>
      <c r="C2548" s="4">
        <v>334</v>
      </c>
      <c r="D2548" s="3" t="s">
        <v>585</v>
      </c>
      <c r="E2548" s="3" t="s">
        <v>8</v>
      </c>
      <c r="F2548" s="5">
        <v>2963.7</v>
      </c>
      <c r="G2548" s="5">
        <v>9626.64</v>
      </c>
      <c r="H2548" s="5">
        <f t="shared" si="78"/>
        <v>6662.94</v>
      </c>
      <c r="I2548" s="9">
        <f t="shared" si="79"/>
        <v>2.2481830144751491</v>
      </c>
      <c r="J2548" s="3" t="s">
        <v>4603</v>
      </c>
    </row>
    <row r="2549" spans="1:10" ht="25.5">
      <c r="A2549" s="3" t="s">
        <v>1811</v>
      </c>
      <c r="B2549" s="3" t="s">
        <v>3414</v>
      </c>
      <c r="C2549" s="4">
        <v>299</v>
      </c>
      <c r="D2549" s="3" t="s">
        <v>246</v>
      </c>
      <c r="E2549" s="3" t="s">
        <v>30</v>
      </c>
      <c r="F2549" s="5">
        <v>5579.16</v>
      </c>
      <c r="G2549" s="5">
        <v>8167.65</v>
      </c>
      <c r="H2549" s="5">
        <f t="shared" si="78"/>
        <v>2588.4899999999998</v>
      </c>
      <c r="I2549" s="9">
        <f t="shared" si="79"/>
        <v>0.46395693975437169</v>
      </c>
      <c r="J2549" s="3" t="s">
        <v>4603</v>
      </c>
    </row>
    <row r="2550" spans="1:10" ht="25.5">
      <c r="A2550" s="3" t="s">
        <v>1811</v>
      </c>
      <c r="B2550" s="3" t="s">
        <v>3415</v>
      </c>
      <c r="C2550" s="4">
        <v>267</v>
      </c>
      <c r="D2550" s="3" t="s">
        <v>417</v>
      </c>
      <c r="E2550" s="3" t="s">
        <v>13</v>
      </c>
      <c r="F2550" s="5">
        <v>6772.68</v>
      </c>
      <c r="G2550" s="5">
        <v>0</v>
      </c>
      <c r="H2550" s="5">
        <f t="shared" si="78"/>
        <v>-6772.68</v>
      </c>
      <c r="I2550" s="9">
        <f t="shared" si="79"/>
        <v>-1</v>
      </c>
      <c r="J2550" s="3" t="s">
        <v>4603</v>
      </c>
    </row>
    <row r="2551" spans="1:10" ht="25.5">
      <c r="A2551" s="3" t="s">
        <v>1811</v>
      </c>
      <c r="B2551" s="3" t="s">
        <v>3416</v>
      </c>
      <c r="C2551" s="4">
        <v>317</v>
      </c>
      <c r="D2551" s="3" t="s">
        <v>54</v>
      </c>
      <c r="E2551" s="3" t="s">
        <v>18</v>
      </c>
      <c r="F2551" s="5">
        <v>14621.58</v>
      </c>
      <c r="G2551" s="5">
        <v>0</v>
      </c>
      <c r="H2551" s="5">
        <f t="shared" si="78"/>
        <v>-14621.58</v>
      </c>
      <c r="I2551" s="9">
        <f t="shared" si="79"/>
        <v>-1</v>
      </c>
      <c r="J2551" s="3" t="s">
        <v>4603</v>
      </c>
    </row>
    <row r="2552" spans="1:10" ht="38.25">
      <c r="A2552" s="3" t="s">
        <v>1811</v>
      </c>
      <c r="B2552" s="3" t="s">
        <v>3417</v>
      </c>
      <c r="C2552" s="4">
        <v>45</v>
      </c>
      <c r="D2552" s="3" t="s">
        <v>16</v>
      </c>
      <c r="E2552" s="3" t="s">
        <v>8</v>
      </c>
      <c r="F2552" s="5">
        <v>17613.66</v>
      </c>
      <c r="G2552" s="5">
        <v>38667.57</v>
      </c>
      <c r="H2552" s="5">
        <f t="shared" si="78"/>
        <v>21053.91</v>
      </c>
      <c r="I2552" s="9">
        <f t="shared" si="79"/>
        <v>1.1953171572518149</v>
      </c>
      <c r="J2552" s="3" t="s">
        <v>4603</v>
      </c>
    </row>
    <row r="2553" spans="1:10" ht="38.25">
      <c r="A2553" s="3" t="s">
        <v>1811</v>
      </c>
      <c r="B2553" s="3" t="s">
        <v>3418</v>
      </c>
      <c r="C2553" s="4">
        <v>45</v>
      </c>
      <c r="D2553" s="3" t="s">
        <v>16</v>
      </c>
      <c r="E2553" s="3" t="s">
        <v>8</v>
      </c>
      <c r="F2553" s="5">
        <v>47038.47</v>
      </c>
      <c r="G2553" s="5">
        <v>12297.3</v>
      </c>
      <c r="H2553" s="5">
        <f t="shared" si="78"/>
        <v>-34741.17</v>
      </c>
      <c r="I2553" s="9">
        <f t="shared" si="79"/>
        <v>-0.7385693029556446</v>
      </c>
      <c r="J2553" s="3" t="s">
        <v>4603</v>
      </c>
    </row>
    <row r="2554" spans="1:10" ht="25.5">
      <c r="A2554" s="3" t="s">
        <v>1811</v>
      </c>
      <c r="B2554" s="3" t="s">
        <v>3419</v>
      </c>
      <c r="C2554" s="4">
        <v>327</v>
      </c>
      <c r="D2554" s="3" t="s">
        <v>76</v>
      </c>
      <c r="E2554" s="3" t="s">
        <v>8</v>
      </c>
      <c r="F2554" s="5">
        <v>0</v>
      </c>
      <c r="G2554" s="5">
        <v>11103.42</v>
      </c>
      <c r="H2554" s="5">
        <f t="shared" si="78"/>
        <v>11103.42</v>
      </c>
      <c r="I2554" s="9">
        <f t="shared" si="79"/>
        <v>0</v>
      </c>
      <c r="J2554" s="3" t="s">
        <v>4603</v>
      </c>
    </row>
    <row r="2555" spans="1:10" ht="51">
      <c r="A2555" s="3" t="s">
        <v>1811</v>
      </c>
      <c r="B2555" s="3" t="s">
        <v>3420</v>
      </c>
      <c r="C2555" s="4">
        <v>282</v>
      </c>
      <c r="D2555" s="3" t="s">
        <v>298</v>
      </c>
      <c r="E2555" s="3" t="s">
        <v>9</v>
      </c>
      <c r="F2555" s="5">
        <v>2999.4</v>
      </c>
      <c r="G2555" s="5">
        <v>0</v>
      </c>
      <c r="H2555" s="5">
        <f t="shared" si="78"/>
        <v>-2999.4</v>
      </c>
      <c r="I2555" s="9">
        <f t="shared" si="79"/>
        <v>-1</v>
      </c>
      <c r="J2555" s="3" t="s">
        <v>4604</v>
      </c>
    </row>
    <row r="2556" spans="1:10" ht="25.5">
      <c r="A2556" s="3" t="s">
        <v>1811</v>
      </c>
      <c r="B2556" s="3" t="s">
        <v>3421</v>
      </c>
      <c r="C2556" s="4">
        <v>61</v>
      </c>
      <c r="D2556" s="3" t="s">
        <v>114</v>
      </c>
      <c r="E2556" s="3" t="s">
        <v>30</v>
      </c>
      <c r="F2556" s="5">
        <v>11204.01</v>
      </c>
      <c r="G2556" s="5">
        <v>13239.96</v>
      </c>
      <c r="H2556" s="5">
        <f t="shared" si="78"/>
        <v>2035.9499999999989</v>
      </c>
      <c r="I2556" s="9">
        <f t="shared" si="79"/>
        <v>0.18171618911443299</v>
      </c>
      <c r="J2556" s="3" t="s">
        <v>4603</v>
      </c>
    </row>
    <row r="2557" spans="1:10" ht="25.5">
      <c r="A2557" s="3" t="s">
        <v>1811</v>
      </c>
      <c r="B2557" s="3" t="s">
        <v>3422</v>
      </c>
      <c r="C2557" s="4">
        <v>74</v>
      </c>
      <c r="D2557" s="3" t="s">
        <v>86</v>
      </c>
      <c r="E2557" s="3" t="s">
        <v>8</v>
      </c>
      <c r="F2557" s="5">
        <v>3875.4</v>
      </c>
      <c r="G2557" s="5">
        <v>0</v>
      </c>
      <c r="H2557" s="5">
        <f t="shared" si="78"/>
        <v>-3875.4</v>
      </c>
      <c r="I2557" s="9">
        <f t="shared" si="79"/>
        <v>-1</v>
      </c>
      <c r="J2557" s="3" t="s">
        <v>4603</v>
      </c>
    </row>
    <row r="2558" spans="1:10" ht="38.25">
      <c r="A2558" s="3" t="s">
        <v>1811</v>
      </c>
      <c r="B2558" s="3" t="s">
        <v>3423</v>
      </c>
      <c r="C2558" s="4">
        <v>143</v>
      </c>
      <c r="D2558" s="3" t="s">
        <v>21</v>
      </c>
      <c r="E2558" s="3" t="s">
        <v>22</v>
      </c>
      <c r="F2558" s="5">
        <v>15393.6</v>
      </c>
      <c r="G2558" s="5">
        <v>13955.04</v>
      </c>
      <c r="H2558" s="5">
        <f t="shared" si="78"/>
        <v>-1438.5599999999995</v>
      </c>
      <c r="I2558" s="9">
        <f t="shared" si="79"/>
        <v>-9.3451824134705319E-2</v>
      </c>
      <c r="J2558" s="3" t="s">
        <v>4604</v>
      </c>
    </row>
    <row r="2559" spans="1:10" ht="25.5">
      <c r="A2559" s="3" t="s">
        <v>1811</v>
      </c>
      <c r="B2559" s="3" t="s">
        <v>3424</v>
      </c>
      <c r="C2559" s="4">
        <v>328</v>
      </c>
      <c r="D2559" s="3" t="s">
        <v>158</v>
      </c>
      <c r="E2559" s="3" t="s">
        <v>22</v>
      </c>
      <c r="F2559" s="5">
        <v>0</v>
      </c>
      <c r="G2559" s="5">
        <v>5430.72</v>
      </c>
      <c r="H2559" s="5">
        <f t="shared" si="78"/>
        <v>5430.72</v>
      </c>
      <c r="I2559" s="9">
        <f t="shared" si="79"/>
        <v>0</v>
      </c>
      <c r="J2559" s="3" t="s">
        <v>4603</v>
      </c>
    </row>
    <row r="2560" spans="1:10" ht="38.25">
      <c r="A2560" s="3" t="s">
        <v>1811</v>
      </c>
      <c r="B2560" s="3" t="s">
        <v>3425</v>
      </c>
      <c r="C2560" s="4">
        <v>11</v>
      </c>
      <c r="D2560" s="3" t="s">
        <v>55</v>
      </c>
      <c r="E2560" s="3" t="s">
        <v>18</v>
      </c>
      <c r="F2560" s="5">
        <v>15687.72</v>
      </c>
      <c r="G2560" s="5">
        <v>9730.92</v>
      </c>
      <c r="H2560" s="5">
        <f t="shared" si="78"/>
        <v>-5956.7999999999993</v>
      </c>
      <c r="I2560" s="9">
        <f t="shared" si="79"/>
        <v>-0.37971100963046256</v>
      </c>
      <c r="J2560" s="3" t="s">
        <v>4603</v>
      </c>
    </row>
    <row r="2561" spans="1:10" ht="25.5">
      <c r="A2561" s="3" t="s">
        <v>1811</v>
      </c>
      <c r="B2561" s="3" t="s">
        <v>3426</v>
      </c>
      <c r="C2561" s="4">
        <v>266</v>
      </c>
      <c r="D2561" s="3" t="s">
        <v>111</v>
      </c>
      <c r="E2561" s="3" t="s">
        <v>18</v>
      </c>
      <c r="F2561" s="5">
        <v>3108.48</v>
      </c>
      <c r="G2561" s="5">
        <v>0</v>
      </c>
      <c r="H2561" s="5">
        <f t="shared" si="78"/>
        <v>-3108.48</v>
      </c>
      <c r="I2561" s="9">
        <f t="shared" si="79"/>
        <v>-1</v>
      </c>
      <c r="J2561" s="3" t="s">
        <v>4603</v>
      </c>
    </row>
    <row r="2562" spans="1:10" ht="38.25">
      <c r="A2562" s="3" t="s">
        <v>1811</v>
      </c>
      <c r="B2562" s="3" t="s">
        <v>3427</v>
      </c>
      <c r="C2562" s="4">
        <v>45</v>
      </c>
      <c r="D2562" s="3" t="s">
        <v>16</v>
      </c>
      <c r="E2562" s="3" t="s">
        <v>8</v>
      </c>
      <c r="F2562" s="5">
        <v>2228.6999999999998</v>
      </c>
      <c r="G2562" s="5">
        <v>0</v>
      </c>
      <c r="H2562" s="5">
        <f t="shared" si="78"/>
        <v>-2228.6999999999998</v>
      </c>
      <c r="I2562" s="9">
        <f t="shared" si="79"/>
        <v>-1</v>
      </c>
      <c r="J2562" s="3" t="s">
        <v>4603</v>
      </c>
    </row>
    <row r="2563" spans="1:10" ht="25.5">
      <c r="A2563" s="3" t="s">
        <v>1811</v>
      </c>
      <c r="B2563" s="3" t="s">
        <v>3428</v>
      </c>
      <c r="C2563" s="4">
        <v>218</v>
      </c>
      <c r="D2563" s="3" t="s">
        <v>155</v>
      </c>
      <c r="E2563" s="3" t="s">
        <v>13</v>
      </c>
      <c r="F2563" s="5">
        <v>15447.48</v>
      </c>
      <c r="G2563" s="5">
        <v>27189.78</v>
      </c>
      <c r="H2563" s="5">
        <f t="shared" ref="H2563:H2626" si="80">G2563-F2563</f>
        <v>11742.3</v>
      </c>
      <c r="I2563" s="9">
        <f t="shared" ref="I2563:I2626" si="81">IFERROR(G2563/F2563-1,0)</f>
        <v>0.76014340203062236</v>
      </c>
      <c r="J2563" s="3" t="s">
        <v>4604</v>
      </c>
    </row>
    <row r="2564" spans="1:10" ht="25.5">
      <c r="A2564" s="3" t="s">
        <v>1811</v>
      </c>
      <c r="B2564" s="3" t="s">
        <v>3429</v>
      </c>
      <c r="C2564" s="4">
        <v>31</v>
      </c>
      <c r="D2564" s="3" t="s">
        <v>172</v>
      </c>
      <c r="E2564" s="3" t="s">
        <v>13</v>
      </c>
      <c r="F2564" s="5">
        <v>0</v>
      </c>
      <c r="G2564" s="5">
        <v>3076.02</v>
      </c>
      <c r="H2564" s="5">
        <f t="shared" si="80"/>
        <v>3076.02</v>
      </c>
      <c r="I2564" s="9">
        <f t="shared" si="81"/>
        <v>0</v>
      </c>
      <c r="J2564" s="3" t="s">
        <v>4603</v>
      </c>
    </row>
    <row r="2565" spans="1:10" ht="38.25">
      <c r="A2565" s="3" t="s">
        <v>1811</v>
      </c>
      <c r="B2565" s="3" t="s">
        <v>3430</v>
      </c>
      <c r="C2565" s="4">
        <v>11</v>
      </c>
      <c r="D2565" s="3" t="s">
        <v>55</v>
      </c>
      <c r="E2565" s="3" t="s">
        <v>18</v>
      </c>
      <c r="F2565" s="5">
        <v>3398.4</v>
      </c>
      <c r="G2565" s="5">
        <v>7353.96</v>
      </c>
      <c r="H2565" s="5">
        <f t="shared" si="80"/>
        <v>3955.56</v>
      </c>
      <c r="I2565" s="9">
        <f t="shared" si="81"/>
        <v>1.1639477401129943</v>
      </c>
      <c r="J2565" s="3" t="s">
        <v>4603</v>
      </c>
    </row>
    <row r="2566" spans="1:10" ht="25.5">
      <c r="A2566" s="3" t="s">
        <v>1811</v>
      </c>
      <c r="B2566" s="3" t="s">
        <v>3431</v>
      </c>
      <c r="C2566" s="4">
        <v>197</v>
      </c>
      <c r="D2566" s="3" t="s">
        <v>23</v>
      </c>
      <c r="E2566" s="3" t="s">
        <v>22</v>
      </c>
      <c r="F2566" s="5">
        <v>0</v>
      </c>
      <c r="G2566" s="5">
        <v>28490.14</v>
      </c>
      <c r="H2566" s="5">
        <f t="shared" si="80"/>
        <v>28490.14</v>
      </c>
      <c r="I2566" s="9">
        <f t="shared" si="81"/>
        <v>0</v>
      </c>
      <c r="J2566" s="3" t="s">
        <v>4603</v>
      </c>
    </row>
    <row r="2567" spans="1:10" ht="38.25">
      <c r="A2567" s="3" t="s">
        <v>1811</v>
      </c>
      <c r="B2567" s="3" t="s">
        <v>3432</v>
      </c>
      <c r="C2567" s="4">
        <v>38</v>
      </c>
      <c r="D2567" s="3" t="s">
        <v>229</v>
      </c>
      <c r="E2567" s="3" t="s">
        <v>30</v>
      </c>
      <c r="F2567" s="5">
        <v>0</v>
      </c>
      <c r="G2567" s="5">
        <v>7158.69</v>
      </c>
      <c r="H2567" s="5">
        <f t="shared" si="80"/>
        <v>7158.69</v>
      </c>
      <c r="I2567" s="9">
        <f t="shared" si="81"/>
        <v>0</v>
      </c>
      <c r="J2567" s="3" t="s">
        <v>4603</v>
      </c>
    </row>
    <row r="2568" spans="1:10" ht="38.25">
      <c r="A2568" s="3" t="s">
        <v>1811</v>
      </c>
      <c r="B2568" s="3" t="s">
        <v>3433</v>
      </c>
      <c r="C2568" s="4">
        <v>45</v>
      </c>
      <c r="D2568" s="3" t="s">
        <v>16</v>
      </c>
      <c r="E2568" s="3" t="s">
        <v>8</v>
      </c>
      <c r="F2568" s="5">
        <v>0</v>
      </c>
      <c r="G2568" s="5">
        <v>4526.82</v>
      </c>
      <c r="H2568" s="5">
        <f t="shared" si="80"/>
        <v>4526.82</v>
      </c>
      <c r="I2568" s="9">
        <f t="shared" si="81"/>
        <v>0</v>
      </c>
      <c r="J2568" s="3" t="s">
        <v>4603</v>
      </c>
    </row>
    <row r="2569" spans="1:10" ht="25.5">
      <c r="A2569" s="3" t="s">
        <v>1811</v>
      </c>
      <c r="B2569" s="3" t="s">
        <v>3434</v>
      </c>
      <c r="C2569" s="4">
        <v>261</v>
      </c>
      <c r="D2569" s="3" t="s">
        <v>17</v>
      </c>
      <c r="E2569" s="3" t="s">
        <v>18</v>
      </c>
      <c r="F2569" s="5">
        <v>0</v>
      </c>
      <c r="G2569" s="5">
        <v>17807.939999999999</v>
      </c>
      <c r="H2569" s="5">
        <f t="shared" si="80"/>
        <v>17807.939999999999</v>
      </c>
      <c r="I2569" s="9">
        <f t="shared" si="81"/>
        <v>0</v>
      </c>
      <c r="J2569" s="3" t="s">
        <v>4603</v>
      </c>
    </row>
    <row r="2570" spans="1:10" ht="25.5">
      <c r="A2570" s="3" t="s">
        <v>1811</v>
      </c>
      <c r="B2570" s="3" t="s">
        <v>3435</v>
      </c>
      <c r="C2570" s="4">
        <v>74</v>
      </c>
      <c r="D2570" s="3" t="s">
        <v>86</v>
      </c>
      <c r="E2570" s="3" t="s">
        <v>8</v>
      </c>
      <c r="F2570" s="5">
        <v>557143.68000000005</v>
      </c>
      <c r="G2570" s="5">
        <v>793933.44</v>
      </c>
      <c r="H2570" s="5">
        <f t="shared" si="80"/>
        <v>236789.75999999989</v>
      </c>
      <c r="I2570" s="9">
        <f t="shared" si="81"/>
        <v>0.42500663383635584</v>
      </c>
      <c r="J2570" s="3" t="s">
        <v>4603</v>
      </c>
    </row>
    <row r="2571" spans="1:10">
      <c r="A2571" s="3" t="s">
        <v>1811</v>
      </c>
      <c r="B2571" s="3" t="s">
        <v>3436</v>
      </c>
      <c r="C2571" s="4">
        <v>315</v>
      </c>
      <c r="D2571" s="3" t="s">
        <v>79</v>
      </c>
      <c r="E2571" s="3" t="s">
        <v>8</v>
      </c>
      <c r="F2571" s="5">
        <v>5592.6</v>
      </c>
      <c r="G2571" s="5">
        <v>0</v>
      </c>
      <c r="H2571" s="5">
        <f t="shared" si="80"/>
        <v>-5592.6</v>
      </c>
      <c r="I2571" s="9">
        <f t="shared" si="81"/>
        <v>-1</v>
      </c>
      <c r="J2571" s="3" t="s">
        <v>4603</v>
      </c>
    </row>
    <row r="2572" spans="1:10" ht="38.25">
      <c r="A2572" s="3" t="s">
        <v>1811</v>
      </c>
      <c r="B2572" s="3" t="s">
        <v>3437</v>
      </c>
      <c r="C2572" s="4">
        <v>317</v>
      </c>
      <c r="D2572" s="3" t="s">
        <v>54</v>
      </c>
      <c r="E2572" s="3" t="s">
        <v>18</v>
      </c>
      <c r="F2572" s="5">
        <v>8422.56</v>
      </c>
      <c r="G2572" s="5">
        <v>0</v>
      </c>
      <c r="H2572" s="5">
        <f t="shared" si="80"/>
        <v>-8422.56</v>
      </c>
      <c r="I2572" s="9">
        <f t="shared" si="81"/>
        <v>-1</v>
      </c>
      <c r="J2572" s="3" t="s">
        <v>4603</v>
      </c>
    </row>
    <row r="2573" spans="1:10" ht="25.5">
      <c r="A2573" s="3" t="s">
        <v>1811</v>
      </c>
      <c r="B2573" s="3" t="s">
        <v>3438</v>
      </c>
      <c r="C2573" s="4">
        <v>299</v>
      </c>
      <c r="D2573" s="3" t="s">
        <v>246</v>
      </c>
      <c r="E2573" s="3" t="s">
        <v>30</v>
      </c>
      <c r="F2573" s="5">
        <v>18271.03</v>
      </c>
      <c r="G2573" s="5">
        <v>21360.797999999999</v>
      </c>
      <c r="H2573" s="5">
        <f t="shared" si="80"/>
        <v>3089.768</v>
      </c>
      <c r="I2573" s="9">
        <f t="shared" si="81"/>
        <v>0.16910748874037207</v>
      </c>
      <c r="J2573" s="3" t="s">
        <v>4603</v>
      </c>
    </row>
    <row r="2574" spans="1:10" ht="25.5">
      <c r="A2574" s="3" t="s">
        <v>1811</v>
      </c>
      <c r="B2574" s="3" t="s">
        <v>3439</v>
      </c>
      <c r="C2574" s="4">
        <v>297</v>
      </c>
      <c r="D2574" s="3" t="s">
        <v>209</v>
      </c>
      <c r="E2574" s="3" t="s">
        <v>22</v>
      </c>
      <c r="F2574" s="5">
        <v>9643.25</v>
      </c>
      <c r="G2574" s="5">
        <v>9171.91</v>
      </c>
      <c r="H2574" s="5">
        <f t="shared" si="80"/>
        <v>-471.34000000000015</v>
      </c>
      <c r="I2574" s="9">
        <f t="shared" si="81"/>
        <v>-4.8877712389495231E-2</v>
      </c>
      <c r="J2574" s="3" t="s">
        <v>4603</v>
      </c>
    </row>
    <row r="2575" spans="1:10" ht="25.5">
      <c r="A2575" s="3" t="s">
        <v>1811</v>
      </c>
      <c r="B2575" s="3" t="s">
        <v>3440</v>
      </c>
      <c r="C2575" s="4">
        <v>264</v>
      </c>
      <c r="D2575" s="3" t="s">
        <v>632</v>
      </c>
      <c r="E2575" s="3" t="s">
        <v>8</v>
      </c>
      <c r="F2575" s="5">
        <v>2791.44</v>
      </c>
      <c r="G2575" s="5">
        <v>0</v>
      </c>
      <c r="H2575" s="5">
        <f t="shared" si="80"/>
        <v>-2791.44</v>
      </c>
      <c r="I2575" s="9">
        <f t="shared" si="81"/>
        <v>-1</v>
      </c>
      <c r="J2575" s="3" t="s">
        <v>4603</v>
      </c>
    </row>
    <row r="2576" spans="1:10" ht="25.5">
      <c r="A2576" s="3" t="s">
        <v>1811</v>
      </c>
      <c r="B2576" s="3" t="s">
        <v>3441</v>
      </c>
      <c r="C2576" s="4">
        <v>93</v>
      </c>
      <c r="D2576" s="3" t="s">
        <v>42</v>
      </c>
      <c r="E2576" s="3" t="s">
        <v>8</v>
      </c>
      <c r="F2576" s="5">
        <v>5255.04</v>
      </c>
      <c r="G2576" s="5">
        <v>0</v>
      </c>
      <c r="H2576" s="5">
        <f t="shared" si="80"/>
        <v>-5255.04</v>
      </c>
      <c r="I2576" s="9">
        <f t="shared" si="81"/>
        <v>-1</v>
      </c>
      <c r="J2576" s="3" t="s">
        <v>4603</v>
      </c>
    </row>
    <row r="2577" spans="1:10" ht="38.25">
      <c r="A2577" s="3" t="s">
        <v>1811</v>
      </c>
      <c r="B2577" s="3" t="s">
        <v>3442</v>
      </c>
      <c r="C2577" s="4">
        <v>143</v>
      </c>
      <c r="D2577" s="3" t="s">
        <v>21</v>
      </c>
      <c r="E2577" s="3" t="s">
        <v>22</v>
      </c>
      <c r="F2577" s="5">
        <v>43913.1</v>
      </c>
      <c r="G2577" s="5">
        <v>56667.12</v>
      </c>
      <c r="H2577" s="5">
        <f t="shared" si="80"/>
        <v>12754.020000000004</v>
      </c>
      <c r="I2577" s="9">
        <f t="shared" si="81"/>
        <v>0.29043770537721092</v>
      </c>
      <c r="J2577" s="3" t="s">
        <v>4603</v>
      </c>
    </row>
    <row r="2578" spans="1:10" ht="25.5">
      <c r="A2578" s="3" t="s">
        <v>1811</v>
      </c>
      <c r="B2578" s="3" t="s">
        <v>3443</v>
      </c>
      <c r="C2578" s="4">
        <v>261</v>
      </c>
      <c r="D2578" s="3" t="s">
        <v>17</v>
      </c>
      <c r="E2578" s="3" t="s">
        <v>18</v>
      </c>
      <c r="F2578" s="5">
        <v>5927.16</v>
      </c>
      <c r="G2578" s="5">
        <v>0</v>
      </c>
      <c r="H2578" s="5">
        <f t="shared" si="80"/>
        <v>-5927.16</v>
      </c>
      <c r="I2578" s="9">
        <f t="shared" si="81"/>
        <v>-1</v>
      </c>
      <c r="J2578" s="3" t="s">
        <v>4603</v>
      </c>
    </row>
    <row r="2579" spans="1:10" ht="38.25">
      <c r="A2579" s="3" t="s">
        <v>1811</v>
      </c>
      <c r="B2579" s="3" t="s">
        <v>3443</v>
      </c>
      <c r="C2579" s="4">
        <v>45</v>
      </c>
      <c r="D2579" s="3" t="s">
        <v>16</v>
      </c>
      <c r="E2579" s="3" t="s">
        <v>8</v>
      </c>
      <c r="F2579" s="5">
        <v>5927.16</v>
      </c>
      <c r="G2579" s="5">
        <v>0</v>
      </c>
      <c r="H2579" s="5">
        <f t="shared" si="80"/>
        <v>-5927.16</v>
      </c>
      <c r="I2579" s="9">
        <f t="shared" si="81"/>
        <v>-1</v>
      </c>
      <c r="J2579" s="3" t="s">
        <v>4603</v>
      </c>
    </row>
    <row r="2580" spans="1:10" ht="25.5">
      <c r="A2580" s="3" t="s">
        <v>1811</v>
      </c>
      <c r="B2580" s="3" t="s">
        <v>3444</v>
      </c>
      <c r="C2580" s="4">
        <v>23</v>
      </c>
      <c r="D2580" s="3" t="s">
        <v>71</v>
      </c>
      <c r="E2580" s="3" t="s">
        <v>8</v>
      </c>
      <c r="F2580" s="5">
        <v>4922.22</v>
      </c>
      <c r="G2580" s="5">
        <v>4726.5</v>
      </c>
      <c r="H2580" s="5">
        <f t="shared" si="80"/>
        <v>-195.72000000000025</v>
      </c>
      <c r="I2580" s="9">
        <f t="shared" si="81"/>
        <v>-3.9762546168192414E-2</v>
      </c>
      <c r="J2580" s="3" t="s">
        <v>4603</v>
      </c>
    </row>
    <row r="2581" spans="1:10" ht="38.25">
      <c r="A2581" s="3" t="s">
        <v>1811</v>
      </c>
      <c r="B2581" s="3" t="s">
        <v>3445</v>
      </c>
      <c r="C2581" s="4">
        <v>45</v>
      </c>
      <c r="D2581" s="3" t="s">
        <v>16</v>
      </c>
      <c r="E2581" s="3" t="s">
        <v>8</v>
      </c>
      <c r="F2581" s="5">
        <v>19412.79</v>
      </c>
      <c r="G2581" s="5">
        <v>0</v>
      </c>
      <c r="H2581" s="5">
        <f t="shared" si="80"/>
        <v>-19412.79</v>
      </c>
      <c r="I2581" s="9">
        <f t="shared" si="81"/>
        <v>-1</v>
      </c>
      <c r="J2581" s="3" t="s">
        <v>4603</v>
      </c>
    </row>
    <row r="2582" spans="1:10" ht="25.5">
      <c r="A2582" s="3" t="s">
        <v>1811</v>
      </c>
      <c r="B2582" s="3" t="s">
        <v>3446</v>
      </c>
      <c r="C2582" s="4">
        <v>194</v>
      </c>
      <c r="D2582" s="3" t="s">
        <v>179</v>
      </c>
      <c r="E2582" s="3" t="s">
        <v>13</v>
      </c>
      <c r="F2582" s="5">
        <v>5363.28</v>
      </c>
      <c r="G2582" s="5">
        <v>8977.7999999999993</v>
      </c>
      <c r="H2582" s="5">
        <f t="shared" si="80"/>
        <v>3614.5199999999995</v>
      </c>
      <c r="I2582" s="9">
        <f t="shared" si="81"/>
        <v>0.67393833624200106</v>
      </c>
      <c r="J2582" s="3" t="s">
        <v>4603</v>
      </c>
    </row>
    <row r="2583" spans="1:10" ht="25.5">
      <c r="A2583" s="3" t="s">
        <v>1811</v>
      </c>
      <c r="B2583" s="3" t="s">
        <v>3447</v>
      </c>
      <c r="C2583" s="4">
        <v>316</v>
      </c>
      <c r="D2583" s="3" t="s">
        <v>167</v>
      </c>
      <c r="E2583" s="3" t="s">
        <v>18</v>
      </c>
      <c r="F2583" s="5">
        <v>0</v>
      </c>
      <c r="G2583" s="5">
        <v>16417.349999999999</v>
      </c>
      <c r="H2583" s="5">
        <f t="shared" si="80"/>
        <v>16417.349999999999</v>
      </c>
      <c r="I2583" s="9">
        <f t="shared" si="81"/>
        <v>0</v>
      </c>
      <c r="J2583" s="3" t="s">
        <v>4603</v>
      </c>
    </row>
    <row r="2584" spans="1:10" ht="38.25">
      <c r="A2584" s="3" t="s">
        <v>1811</v>
      </c>
      <c r="B2584" s="3" t="s">
        <v>3448</v>
      </c>
      <c r="C2584" s="4">
        <v>45</v>
      </c>
      <c r="D2584" s="3" t="s">
        <v>16</v>
      </c>
      <c r="E2584" s="3" t="s">
        <v>8</v>
      </c>
      <c r="F2584" s="5">
        <v>11857.23</v>
      </c>
      <c r="G2584" s="5">
        <v>0</v>
      </c>
      <c r="H2584" s="5">
        <f t="shared" si="80"/>
        <v>-11857.23</v>
      </c>
      <c r="I2584" s="9">
        <f t="shared" si="81"/>
        <v>-1</v>
      </c>
      <c r="J2584" s="3" t="s">
        <v>4604</v>
      </c>
    </row>
    <row r="2585" spans="1:10">
      <c r="A2585" s="3" t="s">
        <v>1811</v>
      </c>
      <c r="B2585" s="3" t="s">
        <v>3449</v>
      </c>
      <c r="C2585" s="4">
        <v>232</v>
      </c>
      <c r="D2585" s="3" t="s">
        <v>95</v>
      </c>
      <c r="E2585" s="3" t="s">
        <v>13</v>
      </c>
      <c r="F2585" s="5">
        <v>5348.16</v>
      </c>
      <c r="G2585" s="5">
        <v>0</v>
      </c>
      <c r="H2585" s="5">
        <f t="shared" si="80"/>
        <v>-5348.16</v>
      </c>
      <c r="I2585" s="9">
        <f t="shared" si="81"/>
        <v>-1</v>
      </c>
      <c r="J2585" s="3" t="s">
        <v>4603</v>
      </c>
    </row>
    <row r="2586" spans="1:10" ht="25.5">
      <c r="A2586" s="3" t="s">
        <v>1811</v>
      </c>
      <c r="B2586" s="3" t="s">
        <v>3450</v>
      </c>
      <c r="C2586" s="4">
        <v>315</v>
      </c>
      <c r="D2586" s="3" t="s">
        <v>79</v>
      </c>
      <c r="E2586" s="3" t="s">
        <v>8</v>
      </c>
      <c r="F2586" s="5">
        <v>6679.89</v>
      </c>
      <c r="G2586" s="5">
        <v>0</v>
      </c>
      <c r="H2586" s="5">
        <f t="shared" si="80"/>
        <v>-6679.89</v>
      </c>
      <c r="I2586" s="9">
        <f t="shared" si="81"/>
        <v>-1</v>
      </c>
      <c r="J2586" s="3" t="s">
        <v>4604</v>
      </c>
    </row>
    <row r="2587" spans="1:10">
      <c r="A2587" s="3" t="s">
        <v>1811</v>
      </c>
      <c r="B2587" s="3" t="s">
        <v>3451</v>
      </c>
      <c r="C2587" s="4">
        <v>315</v>
      </c>
      <c r="D2587" s="3" t="s">
        <v>79</v>
      </c>
      <c r="E2587" s="3" t="s">
        <v>8</v>
      </c>
      <c r="F2587" s="5">
        <v>6253.95</v>
      </c>
      <c r="G2587" s="5">
        <v>11475.3</v>
      </c>
      <c r="H2587" s="5">
        <f t="shared" si="80"/>
        <v>5221.3499999999995</v>
      </c>
      <c r="I2587" s="9">
        <f t="shared" si="81"/>
        <v>0.83488835056244448</v>
      </c>
      <c r="J2587" s="3" t="s">
        <v>4603</v>
      </c>
    </row>
    <row r="2588" spans="1:10" ht="38.25">
      <c r="A2588" s="3" t="s">
        <v>1811</v>
      </c>
      <c r="B2588" s="3" t="s">
        <v>3452</v>
      </c>
      <c r="C2588" s="4">
        <v>371</v>
      </c>
      <c r="D2588" s="3" t="s">
        <v>29</v>
      </c>
      <c r="E2588" s="3" t="s">
        <v>30</v>
      </c>
      <c r="F2588" s="5">
        <v>5339.16</v>
      </c>
      <c r="G2588" s="5">
        <v>2454.39</v>
      </c>
      <c r="H2588" s="5">
        <f t="shared" si="80"/>
        <v>-2884.77</v>
      </c>
      <c r="I2588" s="9">
        <f t="shared" si="81"/>
        <v>-0.54030409277863933</v>
      </c>
      <c r="J2588" s="3" t="s">
        <v>4603</v>
      </c>
    </row>
    <row r="2589" spans="1:10" ht="25.5">
      <c r="A2589" s="3" t="s">
        <v>1811</v>
      </c>
      <c r="B2589" s="3" t="s">
        <v>3453</v>
      </c>
      <c r="C2589" s="4">
        <v>194</v>
      </c>
      <c r="D2589" s="3" t="s">
        <v>179</v>
      </c>
      <c r="E2589" s="3" t="s">
        <v>13</v>
      </c>
      <c r="F2589" s="5">
        <v>0</v>
      </c>
      <c r="G2589" s="5">
        <v>8465.64</v>
      </c>
      <c r="H2589" s="5">
        <f t="shared" si="80"/>
        <v>8465.64</v>
      </c>
      <c r="I2589" s="9">
        <f t="shared" si="81"/>
        <v>0</v>
      </c>
      <c r="J2589" s="3" t="s">
        <v>4603</v>
      </c>
    </row>
    <row r="2590" spans="1:10" ht="38.25">
      <c r="A2590" s="3" t="s">
        <v>1811</v>
      </c>
      <c r="B2590" s="3" t="s">
        <v>3454</v>
      </c>
      <c r="C2590" s="4">
        <v>34</v>
      </c>
      <c r="D2590" s="3" t="s">
        <v>136</v>
      </c>
      <c r="E2590" s="3" t="s">
        <v>30</v>
      </c>
      <c r="F2590" s="5">
        <v>16738.14</v>
      </c>
      <c r="G2590" s="5">
        <v>0</v>
      </c>
      <c r="H2590" s="5">
        <f t="shared" si="80"/>
        <v>-16738.14</v>
      </c>
      <c r="I2590" s="9">
        <f t="shared" si="81"/>
        <v>-1</v>
      </c>
      <c r="J2590" s="3" t="s">
        <v>4603</v>
      </c>
    </row>
    <row r="2591" spans="1:10" ht="25.5">
      <c r="A2591" s="3" t="s">
        <v>1811</v>
      </c>
      <c r="B2591" s="3" t="s">
        <v>3455</v>
      </c>
      <c r="C2591" s="4">
        <v>93</v>
      </c>
      <c r="D2591" s="3" t="s">
        <v>42</v>
      </c>
      <c r="E2591" s="3" t="s">
        <v>8</v>
      </c>
      <c r="F2591" s="5">
        <v>53495.61</v>
      </c>
      <c r="G2591" s="5">
        <v>53694.48</v>
      </c>
      <c r="H2591" s="5">
        <f t="shared" si="80"/>
        <v>198.87000000000262</v>
      </c>
      <c r="I2591" s="9">
        <f t="shared" si="81"/>
        <v>3.7175013052472838E-3</v>
      </c>
      <c r="J2591" s="3" t="s">
        <v>4603</v>
      </c>
    </row>
    <row r="2592" spans="1:10" ht="25.5">
      <c r="A2592" s="3" t="s">
        <v>1811</v>
      </c>
      <c r="B2592" s="3" t="s">
        <v>3456</v>
      </c>
      <c r="C2592" s="4">
        <v>328</v>
      </c>
      <c r="D2592" s="3" t="s">
        <v>158</v>
      </c>
      <c r="E2592" s="3" t="s">
        <v>22</v>
      </c>
      <c r="F2592" s="5">
        <v>4031.4</v>
      </c>
      <c r="G2592" s="5">
        <v>16635.12</v>
      </c>
      <c r="H2592" s="5">
        <f t="shared" si="80"/>
        <v>12603.72</v>
      </c>
      <c r="I2592" s="9">
        <f t="shared" si="81"/>
        <v>3.126387855335615</v>
      </c>
      <c r="J2592" s="3" t="s">
        <v>4603</v>
      </c>
    </row>
    <row r="2593" spans="1:10" ht="38.25">
      <c r="A2593" s="3" t="s">
        <v>1811</v>
      </c>
      <c r="B2593" s="3" t="s">
        <v>3457</v>
      </c>
      <c r="C2593" s="4">
        <v>45</v>
      </c>
      <c r="D2593" s="3" t="s">
        <v>16</v>
      </c>
      <c r="E2593" s="3" t="s">
        <v>8</v>
      </c>
      <c r="F2593" s="5">
        <v>8728.74</v>
      </c>
      <c r="G2593" s="5">
        <v>14173.68</v>
      </c>
      <c r="H2593" s="5">
        <f t="shared" si="80"/>
        <v>5444.9400000000005</v>
      </c>
      <c r="I2593" s="9">
        <f t="shared" si="81"/>
        <v>0.62379449954976329</v>
      </c>
      <c r="J2593" s="3" t="s">
        <v>4603</v>
      </c>
    </row>
    <row r="2594" spans="1:10" ht="25.5">
      <c r="A2594" s="3" t="s">
        <v>1811</v>
      </c>
      <c r="B2594" s="3" t="s">
        <v>3458</v>
      </c>
      <c r="C2594" s="4">
        <v>31</v>
      </c>
      <c r="D2594" s="3" t="s">
        <v>172</v>
      </c>
      <c r="E2594" s="3" t="s">
        <v>13</v>
      </c>
      <c r="F2594" s="5">
        <v>2983.8</v>
      </c>
      <c r="G2594" s="5">
        <v>0</v>
      </c>
      <c r="H2594" s="5">
        <f t="shared" si="80"/>
        <v>-2983.8</v>
      </c>
      <c r="I2594" s="9">
        <f t="shared" si="81"/>
        <v>-1</v>
      </c>
      <c r="J2594" s="3" t="s">
        <v>4603</v>
      </c>
    </row>
    <row r="2595" spans="1:10" ht="25.5">
      <c r="A2595" s="3" t="s">
        <v>1811</v>
      </c>
      <c r="B2595" s="3" t="s">
        <v>3459</v>
      </c>
      <c r="C2595" s="4">
        <v>74</v>
      </c>
      <c r="D2595" s="3" t="s">
        <v>86</v>
      </c>
      <c r="E2595" s="3" t="s">
        <v>8</v>
      </c>
      <c r="F2595" s="5">
        <v>11761.29</v>
      </c>
      <c r="G2595" s="5">
        <v>9876.7199999999993</v>
      </c>
      <c r="H2595" s="5">
        <f t="shared" si="80"/>
        <v>-1884.5700000000015</v>
      </c>
      <c r="I2595" s="9">
        <f t="shared" si="81"/>
        <v>-0.16023497422476629</v>
      </c>
      <c r="J2595" s="3" t="s">
        <v>4603</v>
      </c>
    </row>
    <row r="2596" spans="1:10" ht="25.5">
      <c r="A2596" s="3" t="s">
        <v>1811</v>
      </c>
      <c r="B2596" s="3" t="s">
        <v>3460</v>
      </c>
      <c r="C2596" s="4">
        <v>315</v>
      </c>
      <c r="D2596" s="3" t="s">
        <v>79</v>
      </c>
      <c r="E2596" s="3" t="s">
        <v>8</v>
      </c>
      <c r="F2596" s="5">
        <v>11952.36</v>
      </c>
      <c r="G2596" s="5">
        <v>23871.21</v>
      </c>
      <c r="H2596" s="5">
        <f t="shared" si="80"/>
        <v>11918.849999999999</v>
      </c>
      <c r="I2596" s="9">
        <f t="shared" si="81"/>
        <v>0.99719636958726121</v>
      </c>
      <c r="J2596" s="3" t="s">
        <v>4603</v>
      </c>
    </row>
    <row r="2597" spans="1:10" ht="38.25">
      <c r="A2597" s="3" t="s">
        <v>1811</v>
      </c>
      <c r="B2597" s="3" t="s">
        <v>3461</v>
      </c>
      <c r="C2597" s="4">
        <v>45</v>
      </c>
      <c r="D2597" s="3" t="s">
        <v>16</v>
      </c>
      <c r="E2597" s="3" t="s">
        <v>8</v>
      </c>
      <c r="F2597" s="5">
        <v>17571.419999999998</v>
      </c>
      <c r="G2597" s="5">
        <v>31938.75</v>
      </c>
      <c r="H2597" s="5">
        <f t="shared" si="80"/>
        <v>14367.330000000002</v>
      </c>
      <c r="I2597" s="9">
        <f t="shared" si="81"/>
        <v>0.81765332568454929</v>
      </c>
      <c r="J2597" s="3" t="s">
        <v>4603</v>
      </c>
    </row>
    <row r="2598" spans="1:10" ht="25.5">
      <c r="A2598" s="3" t="s">
        <v>1811</v>
      </c>
      <c r="B2598" s="3" t="s">
        <v>3462</v>
      </c>
      <c r="C2598" s="4">
        <v>208</v>
      </c>
      <c r="D2598" s="3" t="s">
        <v>58</v>
      </c>
      <c r="E2598" s="3" t="s">
        <v>13</v>
      </c>
      <c r="F2598" s="5">
        <v>0</v>
      </c>
      <c r="G2598" s="5">
        <v>30993.780999999999</v>
      </c>
      <c r="H2598" s="5">
        <f t="shared" si="80"/>
        <v>30993.780999999999</v>
      </c>
      <c r="I2598" s="9">
        <f t="shared" si="81"/>
        <v>0</v>
      </c>
      <c r="J2598" s="3" t="s">
        <v>4603</v>
      </c>
    </row>
    <row r="2599" spans="1:10" ht="38.25">
      <c r="A2599" s="3" t="s">
        <v>1811</v>
      </c>
      <c r="B2599" s="3" t="s">
        <v>3463</v>
      </c>
      <c r="C2599" s="4">
        <v>38</v>
      </c>
      <c r="D2599" s="3" t="s">
        <v>229</v>
      </c>
      <c r="E2599" s="3" t="s">
        <v>30</v>
      </c>
      <c r="F2599" s="5">
        <v>17747.88</v>
      </c>
      <c r="G2599" s="5">
        <v>14971.98</v>
      </c>
      <c r="H2599" s="5">
        <f t="shared" si="80"/>
        <v>-2775.9000000000015</v>
      </c>
      <c r="I2599" s="9">
        <f t="shared" si="81"/>
        <v>-0.15640741316709383</v>
      </c>
      <c r="J2599" s="3" t="s">
        <v>4603</v>
      </c>
    </row>
    <row r="2600" spans="1:10" ht="25.5">
      <c r="A2600" s="3" t="s">
        <v>1811</v>
      </c>
      <c r="B2600" s="3" t="s">
        <v>3464</v>
      </c>
      <c r="C2600" s="4">
        <v>74</v>
      </c>
      <c r="D2600" s="3" t="s">
        <v>86</v>
      </c>
      <c r="E2600" s="3" t="s">
        <v>8</v>
      </c>
      <c r="F2600" s="5">
        <v>0</v>
      </c>
      <c r="G2600" s="5">
        <v>18864.87</v>
      </c>
      <c r="H2600" s="5">
        <f t="shared" si="80"/>
        <v>18864.87</v>
      </c>
      <c r="I2600" s="9">
        <f t="shared" si="81"/>
        <v>0</v>
      </c>
      <c r="J2600" s="3" t="s">
        <v>4603</v>
      </c>
    </row>
    <row r="2601" spans="1:10" ht="25.5">
      <c r="A2601" s="3" t="s">
        <v>1811</v>
      </c>
      <c r="B2601" s="3" t="s">
        <v>3465</v>
      </c>
      <c r="C2601" s="4">
        <v>299</v>
      </c>
      <c r="D2601" s="3" t="s">
        <v>246</v>
      </c>
      <c r="E2601" s="3" t="s">
        <v>30</v>
      </c>
      <c r="F2601" s="5">
        <v>2198.58</v>
      </c>
      <c r="G2601" s="5">
        <v>1854.36</v>
      </c>
      <c r="H2601" s="5">
        <f t="shared" si="80"/>
        <v>-344.22</v>
      </c>
      <c r="I2601" s="9">
        <f t="shared" si="81"/>
        <v>-0.15656469175558774</v>
      </c>
      <c r="J2601" s="3" t="s">
        <v>4603</v>
      </c>
    </row>
    <row r="2602" spans="1:10" ht="25.5">
      <c r="A2602" s="3" t="s">
        <v>1811</v>
      </c>
      <c r="B2602" s="3" t="s">
        <v>3466</v>
      </c>
      <c r="C2602" s="4">
        <v>19</v>
      </c>
      <c r="D2602" s="3" t="s">
        <v>53</v>
      </c>
      <c r="E2602" s="3" t="s">
        <v>22</v>
      </c>
      <c r="F2602" s="5">
        <v>11830.2</v>
      </c>
      <c r="G2602" s="5">
        <v>6435.99</v>
      </c>
      <c r="H2602" s="5">
        <f t="shared" si="80"/>
        <v>-5394.2100000000009</v>
      </c>
      <c r="I2602" s="9">
        <f t="shared" si="81"/>
        <v>-0.45596946797180105</v>
      </c>
      <c r="J2602" s="3" t="s">
        <v>4603</v>
      </c>
    </row>
    <row r="2603" spans="1:10" ht="38.25">
      <c r="A2603" s="3" t="s">
        <v>1811</v>
      </c>
      <c r="B2603" s="3" t="s">
        <v>3467</v>
      </c>
      <c r="C2603" s="4">
        <v>143</v>
      </c>
      <c r="D2603" s="3" t="s">
        <v>21</v>
      </c>
      <c r="E2603" s="3" t="s">
        <v>22</v>
      </c>
      <c r="F2603" s="5">
        <v>29396.34</v>
      </c>
      <c r="G2603" s="5">
        <v>24362.52</v>
      </c>
      <c r="H2603" s="5">
        <f t="shared" si="80"/>
        <v>-5033.82</v>
      </c>
      <c r="I2603" s="9">
        <f t="shared" si="81"/>
        <v>-0.17123968494037012</v>
      </c>
      <c r="J2603" s="3" t="s">
        <v>4603</v>
      </c>
    </row>
    <row r="2604" spans="1:10" ht="25.5">
      <c r="A2604" s="3" t="s">
        <v>1811</v>
      </c>
      <c r="B2604" s="3" t="s">
        <v>3468</v>
      </c>
      <c r="C2604" s="4">
        <v>23</v>
      </c>
      <c r="D2604" s="3" t="s">
        <v>71</v>
      </c>
      <c r="E2604" s="3" t="s">
        <v>8</v>
      </c>
      <c r="F2604" s="5">
        <v>7462.92</v>
      </c>
      <c r="G2604" s="5">
        <v>12880.14</v>
      </c>
      <c r="H2604" s="5">
        <f t="shared" si="80"/>
        <v>5417.2199999999993</v>
      </c>
      <c r="I2604" s="9">
        <f t="shared" si="81"/>
        <v>0.72588477432425913</v>
      </c>
      <c r="J2604" s="3" t="s">
        <v>4603</v>
      </c>
    </row>
    <row r="2605" spans="1:10" ht="25.5">
      <c r="A2605" s="3" t="s">
        <v>1811</v>
      </c>
      <c r="B2605" s="3" t="s">
        <v>3469</v>
      </c>
      <c r="C2605" s="4">
        <v>316</v>
      </c>
      <c r="D2605" s="3" t="s">
        <v>167</v>
      </c>
      <c r="E2605" s="3" t="s">
        <v>18</v>
      </c>
      <c r="F2605" s="5">
        <v>14722.8</v>
      </c>
      <c r="G2605" s="5">
        <v>0</v>
      </c>
      <c r="H2605" s="5">
        <f t="shared" si="80"/>
        <v>-14722.8</v>
      </c>
      <c r="I2605" s="9">
        <f t="shared" si="81"/>
        <v>-1</v>
      </c>
      <c r="J2605" s="3" t="s">
        <v>4603</v>
      </c>
    </row>
    <row r="2606" spans="1:10" ht="25.5">
      <c r="A2606" s="3" t="s">
        <v>1811</v>
      </c>
      <c r="B2606" s="3" t="s">
        <v>3470</v>
      </c>
      <c r="C2606" s="4">
        <v>23</v>
      </c>
      <c r="D2606" s="3" t="s">
        <v>71</v>
      </c>
      <c r="E2606" s="3" t="s">
        <v>8</v>
      </c>
      <c r="F2606" s="5">
        <v>5489.22</v>
      </c>
      <c r="G2606" s="5">
        <v>10390.436</v>
      </c>
      <c r="H2606" s="5">
        <f t="shared" si="80"/>
        <v>4901.2159999999994</v>
      </c>
      <c r="I2606" s="9">
        <f t="shared" si="81"/>
        <v>0.89288022706322567</v>
      </c>
      <c r="J2606" s="3" t="s">
        <v>4603</v>
      </c>
    </row>
    <row r="2607" spans="1:10" ht="25.5">
      <c r="A2607" s="3" t="s">
        <v>1811</v>
      </c>
      <c r="B2607" s="3" t="s">
        <v>3471</v>
      </c>
      <c r="C2607" s="4">
        <v>187</v>
      </c>
      <c r="D2607" s="3" t="s">
        <v>460</v>
      </c>
      <c r="E2607" s="3" t="s">
        <v>8</v>
      </c>
      <c r="F2607" s="5">
        <v>10357.74</v>
      </c>
      <c r="G2607" s="5">
        <v>0</v>
      </c>
      <c r="H2607" s="5">
        <f t="shared" si="80"/>
        <v>-10357.74</v>
      </c>
      <c r="I2607" s="9">
        <f t="shared" si="81"/>
        <v>-1</v>
      </c>
      <c r="J2607" s="3" t="s">
        <v>4603</v>
      </c>
    </row>
    <row r="2608" spans="1:10">
      <c r="A2608" s="3" t="s">
        <v>1811</v>
      </c>
      <c r="B2608" s="3" t="s">
        <v>3472</v>
      </c>
      <c r="C2608" s="4">
        <v>167</v>
      </c>
      <c r="D2608" s="3" t="s">
        <v>335</v>
      </c>
      <c r="E2608" s="3" t="s">
        <v>30</v>
      </c>
      <c r="F2608" s="5">
        <v>5287.32</v>
      </c>
      <c r="G2608" s="5">
        <v>8890.2000000000007</v>
      </c>
      <c r="H2608" s="5">
        <f t="shared" si="80"/>
        <v>3602.880000000001</v>
      </c>
      <c r="I2608" s="9">
        <f t="shared" si="81"/>
        <v>0.68141894192142738</v>
      </c>
      <c r="J2608" s="3" t="s">
        <v>4603</v>
      </c>
    </row>
    <row r="2609" spans="1:10" ht="38.25">
      <c r="A2609" s="3" t="s">
        <v>1811</v>
      </c>
      <c r="B2609" s="3" t="s">
        <v>3473</v>
      </c>
      <c r="C2609" s="4">
        <v>45</v>
      </c>
      <c r="D2609" s="3" t="s">
        <v>16</v>
      </c>
      <c r="E2609" s="3" t="s">
        <v>8</v>
      </c>
      <c r="F2609" s="5">
        <v>11239.26</v>
      </c>
      <c r="G2609" s="5">
        <v>0</v>
      </c>
      <c r="H2609" s="5">
        <f t="shared" si="80"/>
        <v>-11239.26</v>
      </c>
      <c r="I2609" s="9">
        <f t="shared" si="81"/>
        <v>-1</v>
      </c>
      <c r="J2609" s="3" t="s">
        <v>4603</v>
      </c>
    </row>
    <row r="2610" spans="1:10" ht="25.5">
      <c r="A2610" s="3" t="s">
        <v>1811</v>
      </c>
      <c r="B2610" s="3" t="s">
        <v>3474</v>
      </c>
      <c r="C2610" s="4">
        <v>317</v>
      </c>
      <c r="D2610" s="3" t="s">
        <v>54</v>
      </c>
      <c r="E2610" s="3" t="s">
        <v>18</v>
      </c>
      <c r="F2610" s="5">
        <v>0</v>
      </c>
      <c r="G2610" s="5">
        <v>3744.36</v>
      </c>
      <c r="H2610" s="5">
        <f t="shared" si="80"/>
        <v>3744.36</v>
      </c>
      <c r="I2610" s="9">
        <f t="shared" si="81"/>
        <v>0</v>
      </c>
      <c r="J2610" s="3" t="s">
        <v>4603</v>
      </c>
    </row>
    <row r="2611" spans="1:10" ht="25.5">
      <c r="A2611" s="3" t="s">
        <v>1811</v>
      </c>
      <c r="B2611" s="3" t="s">
        <v>3475</v>
      </c>
      <c r="C2611" s="4">
        <v>74</v>
      </c>
      <c r="D2611" s="3" t="s">
        <v>86</v>
      </c>
      <c r="E2611" s="3" t="s">
        <v>8</v>
      </c>
      <c r="F2611" s="5">
        <v>0</v>
      </c>
      <c r="G2611" s="5">
        <v>3100.83</v>
      </c>
      <c r="H2611" s="5">
        <f t="shared" si="80"/>
        <v>3100.83</v>
      </c>
      <c r="I2611" s="9">
        <f t="shared" si="81"/>
        <v>0</v>
      </c>
      <c r="J2611" s="3" t="s">
        <v>4603</v>
      </c>
    </row>
    <row r="2612" spans="1:10" ht="25.5">
      <c r="A2612" s="3" t="s">
        <v>1811</v>
      </c>
      <c r="B2612" s="3" t="s">
        <v>3476</v>
      </c>
      <c r="C2612" s="4">
        <v>328</v>
      </c>
      <c r="D2612" s="3" t="s">
        <v>158</v>
      </c>
      <c r="E2612" s="3" t="s">
        <v>22</v>
      </c>
      <c r="F2612" s="5">
        <v>6958.8</v>
      </c>
      <c r="G2612" s="5">
        <v>0</v>
      </c>
      <c r="H2612" s="5">
        <f t="shared" si="80"/>
        <v>-6958.8</v>
      </c>
      <c r="I2612" s="9">
        <f t="shared" si="81"/>
        <v>-1</v>
      </c>
      <c r="J2612" s="3" t="s">
        <v>4603</v>
      </c>
    </row>
    <row r="2613" spans="1:10" ht="25.5">
      <c r="A2613" s="3" t="s">
        <v>1811</v>
      </c>
      <c r="B2613" s="3" t="s">
        <v>3477</v>
      </c>
      <c r="C2613" s="4">
        <v>299</v>
      </c>
      <c r="D2613" s="3" t="s">
        <v>246</v>
      </c>
      <c r="E2613" s="3" t="s">
        <v>30</v>
      </c>
      <c r="F2613" s="5">
        <v>5701.8</v>
      </c>
      <c r="G2613" s="5">
        <v>0</v>
      </c>
      <c r="H2613" s="5">
        <f t="shared" si="80"/>
        <v>-5701.8</v>
      </c>
      <c r="I2613" s="9">
        <f t="shared" si="81"/>
        <v>-1</v>
      </c>
      <c r="J2613" s="3" t="s">
        <v>4603</v>
      </c>
    </row>
    <row r="2614" spans="1:10" ht="38.25">
      <c r="A2614" s="3" t="s">
        <v>1811</v>
      </c>
      <c r="B2614" s="3" t="s">
        <v>3478</v>
      </c>
      <c r="C2614" s="4">
        <v>38</v>
      </c>
      <c r="D2614" s="3" t="s">
        <v>229</v>
      </c>
      <c r="E2614" s="3" t="s">
        <v>30</v>
      </c>
      <c r="F2614" s="5">
        <v>8830.74</v>
      </c>
      <c r="G2614" s="5">
        <v>0</v>
      </c>
      <c r="H2614" s="5">
        <f t="shared" si="80"/>
        <v>-8830.74</v>
      </c>
      <c r="I2614" s="9">
        <f t="shared" si="81"/>
        <v>-1</v>
      </c>
      <c r="J2614" s="3" t="s">
        <v>4603</v>
      </c>
    </row>
    <row r="2615" spans="1:10">
      <c r="A2615" s="3" t="s">
        <v>1811</v>
      </c>
      <c r="B2615" s="3" t="s">
        <v>3479</v>
      </c>
      <c r="C2615" s="4">
        <v>315</v>
      </c>
      <c r="D2615" s="3" t="s">
        <v>79</v>
      </c>
      <c r="E2615" s="3" t="s">
        <v>8</v>
      </c>
      <c r="F2615" s="5">
        <v>3392.04</v>
      </c>
      <c r="G2615" s="5">
        <v>2663.17</v>
      </c>
      <c r="H2615" s="5">
        <f t="shared" si="80"/>
        <v>-728.86999999999989</v>
      </c>
      <c r="I2615" s="9">
        <f t="shared" si="81"/>
        <v>-0.21487659343639809</v>
      </c>
      <c r="J2615" s="3" t="s">
        <v>4603</v>
      </c>
    </row>
    <row r="2616" spans="1:10" ht="25.5">
      <c r="A2616" s="3" t="s">
        <v>1811</v>
      </c>
      <c r="B2616" s="3" t="s">
        <v>3480</v>
      </c>
      <c r="C2616" s="4">
        <v>19</v>
      </c>
      <c r="D2616" s="3" t="s">
        <v>53</v>
      </c>
      <c r="E2616" s="3" t="s">
        <v>22</v>
      </c>
      <c r="F2616" s="5">
        <v>15896.38</v>
      </c>
      <c r="G2616" s="5">
        <v>25315.21</v>
      </c>
      <c r="H2616" s="5">
        <f t="shared" si="80"/>
        <v>9418.83</v>
      </c>
      <c r="I2616" s="9">
        <f t="shared" si="81"/>
        <v>0.59251414472980635</v>
      </c>
      <c r="J2616" s="3" t="s">
        <v>4603</v>
      </c>
    </row>
    <row r="2617" spans="1:10" ht="38.25">
      <c r="A2617" s="3" t="s">
        <v>1811</v>
      </c>
      <c r="B2617" s="3" t="s">
        <v>3481</v>
      </c>
      <c r="C2617" s="4">
        <v>11</v>
      </c>
      <c r="D2617" s="3" t="s">
        <v>55</v>
      </c>
      <c r="E2617" s="3" t="s">
        <v>18</v>
      </c>
      <c r="F2617" s="5">
        <v>0</v>
      </c>
      <c r="G2617" s="5">
        <v>11506.74</v>
      </c>
      <c r="H2617" s="5">
        <f t="shared" si="80"/>
        <v>11506.74</v>
      </c>
      <c r="I2617" s="9">
        <f t="shared" si="81"/>
        <v>0</v>
      </c>
      <c r="J2617" s="3" t="s">
        <v>4603</v>
      </c>
    </row>
    <row r="2618" spans="1:10" ht="25.5">
      <c r="A2618" s="3" t="s">
        <v>1811</v>
      </c>
      <c r="B2618" s="3" t="s">
        <v>3482</v>
      </c>
      <c r="C2618" s="4">
        <v>197</v>
      </c>
      <c r="D2618" s="3" t="s">
        <v>23</v>
      </c>
      <c r="E2618" s="3" t="s">
        <v>22</v>
      </c>
      <c r="F2618" s="5">
        <v>20732.52</v>
      </c>
      <c r="G2618" s="5">
        <v>0</v>
      </c>
      <c r="H2618" s="5">
        <f t="shared" si="80"/>
        <v>-20732.52</v>
      </c>
      <c r="I2618" s="9">
        <f t="shared" si="81"/>
        <v>-1</v>
      </c>
      <c r="J2618" s="3" t="s">
        <v>4603</v>
      </c>
    </row>
    <row r="2619" spans="1:10" ht="25.5">
      <c r="A2619" s="3" t="s">
        <v>1811</v>
      </c>
      <c r="B2619" s="3" t="s">
        <v>3483</v>
      </c>
      <c r="C2619" s="4">
        <v>178</v>
      </c>
      <c r="D2619" s="3" t="s">
        <v>92</v>
      </c>
      <c r="E2619" s="3" t="s">
        <v>8</v>
      </c>
      <c r="F2619" s="5">
        <v>4463.28</v>
      </c>
      <c r="G2619" s="5">
        <v>8341.7999999999993</v>
      </c>
      <c r="H2619" s="5">
        <f t="shared" si="80"/>
        <v>3878.5199999999995</v>
      </c>
      <c r="I2619" s="9">
        <f t="shared" si="81"/>
        <v>0.86898424477066194</v>
      </c>
      <c r="J2619" s="3" t="s">
        <v>4603</v>
      </c>
    </row>
    <row r="2620" spans="1:10" ht="25.5">
      <c r="A2620" s="3" t="s">
        <v>1811</v>
      </c>
      <c r="B2620" s="3" t="s">
        <v>3484</v>
      </c>
      <c r="C2620" s="4">
        <v>74</v>
      </c>
      <c r="D2620" s="3" t="s">
        <v>86</v>
      </c>
      <c r="E2620" s="3" t="s">
        <v>8</v>
      </c>
      <c r="F2620" s="5">
        <v>0</v>
      </c>
      <c r="G2620" s="5">
        <v>77471.097999999998</v>
      </c>
      <c r="H2620" s="5">
        <f t="shared" si="80"/>
        <v>77471.097999999998</v>
      </c>
      <c r="I2620" s="9">
        <f t="shared" si="81"/>
        <v>0</v>
      </c>
      <c r="J2620" s="3" t="s">
        <v>4603</v>
      </c>
    </row>
    <row r="2621" spans="1:10" ht="25.5">
      <c r="A2621" s="3" t="s">
        <v>1811</v>
      </c>
      <c r="B2621" s="3" t="s">
        <v>3485</v>
      </c>
      <c r="C2621" s="4">
        <v>328</v>
      </c>
      <c r="D2621" s="3" t="s">
        <v>158</v>
      </c>
      <c r="E2621" s="3" t="s">
        <v>22</v>
      </c>
      <c r="F2621" s="5">
        <v>0</v>
      </c>
      <c r="G2621" s="5">
        <v>4117.92</v>
      </c>
      <c r="H2621" s="5">
        <f t="shared" si="80"/>
        <v>4117.92</v>
      </c>
      <c r="I2621" s="9">
        <f t="shared" si="81"/>
        <v>0</v>
      </c>
      <c r="J2621" s="3" t="s">
        <v>4603</v>
      </c>
    </row>
    <row r="2622" spans="1:10" ht="25.5">
      <c r="A2622" s="3" t="s">
        <v>1811</v>
      </c>
      <c r="B2622" s="3" t="s">
        <v>3486</v>
      </c>
      <c r="C2622" s="4">
        <v>93</v>
      </c>
      <c r="D2622" s="3" t="s">
        <v>42</v>
      </c>
      <c r="E2622" s="3" t="s">
        <v>8</v>
      </c>
      <c r="F2622" s="5">
        <v>3635.28</v>
      </c>
      <c r="G2622" s="5">
        <v>0</v>
      </c>
      <c r="H2622" s="5">
        <f t="shared" si="80"/>
        <v>-3635.28</v>
      </c>
      <c r="I2622" s="9">
        <f t="shared" si="81"/>
        <v>-1</v>
      </c>
      <c r="J2622" s="3" t="s">
        <v>4604</v>
      </c>
    </row>
    <row r="2623" spans="1:10" ht="25.5">
      <c r="A2623" s="3" t="s">
        <v>1811</v>
      </c>
      <c r="B2623" s="3" t="s">
        <v>3487</v>
      </c>
      <c r="C2623" s="4">
        <v>299</v>
      </c>
      <c r="D2623" s="3" t="s">
        <v>246</v>
      </c>
      <c r="E2623" s="3" t="s">
        <v>30</v>
      </c>
      <c r="F2623" s="5">
        <v>2783.52</v>
      </c>
      <c r="G2623" s="5">
        <v>0</v>
      </c>
      <c r="H2623" s="5">
        <f t="shared" si="80"/>
        <v>-2783.52</v>
      </c>
      <c r="I2623" s="9">
        <f t="shared" si="81"/>
        <v>-1</v>
      </c>
      <c r="J2623" s="3" t="s">
        <v>4603</v>
      </c>
    </row>
    <row r="2624" spans="1:10" ht="38.25">
      <c r="A2624" s="3" t="s">
        <v>1811</v>
      </c>
      <c r="B2624" s="3" t="s">
        <v>3488</v>
      </c>
      <c r="C2624" s="4">
        <v>45</v>
      </c>
      <c r="D2624" s="3" t="s">
        <v>16</v>
      </c>
      <c r="E2624" s="3" t="s">
        <v>8</v>
      </c>
      <c r="F2624" s="5">
        <v>431.892</v>
      </c>
      <c r="G2624" s="5">
        <v>0</v>
      </c>
      <c r="H2624" s="5">
        <f t="shared" si="80"/>
        <v>-431.892</v>
      </c>
      <c r="I2624" s="9">
        <f t="shared" si="81"/>
        <v>-1</v>
      </c>
      <c r="J2624" s="3" t="s">
        <v>4603</v>
      </c>
    </row>
    <row r="2625" spans="1:10" ht="38.25">
      <c r="A2625" s="3" t="s">
        <v>1811</v>
      </c>
      <c r="B2625" s="3" t="s">
        <v>3489</v>
      </c>
      <c r="C2625" s="4">
        <v>331</v>
      </c>
      <c r="D2625" s="3" t="s">
        <v>1728</v>
      </c>
      <c r="E2625" s="3" t="s">
        <v>9</v>
      </c>
      <c r="F2625" s="5">
        <v>0</v>
      </c>
      <c r="G2625" s="5">
        <v>4957.9560000000001</v>
      </c>
      <c r="H2625" s="5">
        <f t="shared" si="80"/>
        <v>4957.9560000000001</v>
      </c>
      <c r="I2625" s="9">
        <f t="shared" si="81"/>
        <v>0</v>
      </c>
      <c r="J2625" s="3" t="s">
        <v>4603</v>
      </c>
    </row>
    <row r="2626" spans="1:10" ht="38.25">
      <c r="A2626" s="3" t="s">
        <v>1811</v>
      </c>
      <c r="B2626" s="3" t="s">
        <v>3490</v>
      </c>
      <c r="C2626" s="4">
        <v>34</v>
      </c>
      <c r="D2626" s="3" t="s">
        <v>136</v>
      </c>
      <c r="E2626" s="3" t="s">
        <v>30</v>
      </c>
      <c r="F2626" s="5">
        <v>25858.2</v>
      </c>
      <c r="G2626" s="5">
        <v>0</v>
      </c>
      <c r="H2626" s="5">
        <f t="shared" si="80"/>
        <v>-25858.2</v>
      </c>
      <c r="I2626" s="9">
        <f t="shared" si="81"/>
        <v>-1</v>
      </c>
      <c r="J2626" s="3" t="s">
        <v>4603</v>
      </c>
    </row>
    <row r="2627" spans="1:10" ht="38.25">
      <c r="A2627" s="3" t="s">
        <v>1811</v>
      </c>
      <c r="B2627" s="3" t="s">
        <v>3491</v>
      </c>
      <c r="C2627" s="4">
        <v>45</v>
      </c>
      <c r="D2627" s="3" t="s">
        <v>16</v>
      </c>
      <c r="E2627" s="3" t="s">
        <v>8</v>
      </c>
      <c r="F2627" s="5">
        <v>39282</v>
      </c>
      <c r="G2627" s="5">
        <v>0</v>
      </c>
      <c r="H2627" s="5">
        <f t="shared" ref="H2627:H2690" si="82">G2627-F2627</f>
        <v>-39282</v>
      </c>
      <c r="I2627" s="9">
        <f t="shared" ref="I2627:I2690" si="83">IFERROR(G2627/F2627-1,0)</f>
        <v>-1</v>
      </c>
      <c r="J2627" s="3" t="s">
        <v>4603</v>
      </c>
    </row>
    <row r="2628" spans="1:10">
      <c r="A2628" s="3" t="s">
        <v>1811</v>
      </c>
      <c r="B2628" s="3" t="s">
        <v>3492</v>
      </c>
      <c r="C2628" s="4">
        <v>334</v>
      </c>
      <c r="D2628" s="3" t="s">
        <v>585</v>
      </c>
      <c r="E2628" s="3" t="s">
        <v>8</v>
      </c>
      <c r="F2628" s="5">
        <v>5075.01</v>
      </c>
      <c r="G2628" s="5">
        <v>0</v>
      </c>
      <c r="H2628" s="5">
        <f t="shared" si="82"/>
        <v>-5075.01</v>
      </c>
      <c r="I2628" s="9">
        <f t="shared" si="83"/>
        <v>-1</v>
      </c>
      <c r="J2628" s="3" t="s">
        <v>4604</v>
      </c>
    </row>
    <row r="2629" spans="1:10" ht="25.5">
      <c r="A2629" s="3" t="s">
        <v>1811</v>
      </c>
      <c r="B2629" s="3" t="s">
        <v>3493</v>
      </c>
      <c r="C2629" s="4">
        <v>23</v>
      </c>
      <c r="D2629" s="3" t="s">
        <v>71</v>
      </c>
      <c r="E2629" s="3" t="s">
        <v>8</v>
      </c>
      <c r="F2629" s="5">
        <v>5879.1</v>
      </c>
      <c r="G2629" s="5">
        <v>0</v>
      </c>
      <c r="H2629" s="5">
        <f t="shared" si="82"/>
        <v>-5879.1</v>
      </c>
      <c r="I2629" s="9">
        <f t="shared" si="83"/>
        <v>-1</v>
      </c>
      <c r="J2629" s="3" t="s">
        <v>4603</v>
      </c>
    </row>
    <row r="2630" spans="1:10">
      <c r="A2630" s="3" t="s">
        <v>1811</v>
      </c>
      <c r="B2630" s="3" t="s">
        <v>3494</v>
      </c>
      <c r="C2630" s="4">
        <v>15</v>
      </c>
      <c r="D2630" s="3" t="s">
        <v>33</v>
      </c>
      <c r="E2630" s="3" t="s">
        <v>13</v>
      </c>
      <c r="F2630" s="5">
        <v>0</v>
      </c>
      <c r="G2630" s="5">
        <v>9018.9599999999991</v>
      </c>
      <c r="H2630" s="5">
        <f t="shared" si="82"/>
        <v>9018.9599999999991</v>
      </c>
      <c r="I2630" s="9">
        <f t="shared" si="83"/>
        <v>0</v>
      </c>
      <c r="J2630" s="3" t="s">
        <v>4603</v>
      </c>
    </row>
    <row r="2631" spans="1:10" ht="38.25">
      <c r="A2631" s="3" t="s">
        <v>1811</v>
      </c>
      <c r="B2631" s="3" t="s">
        <v>3495</v>
      </c>
      <c r="C2631" s="4">
        <v>34</v>
      </c>
      <c r="D2631" s="3" t="s">
        <v>136</v>
      </c>
      <c r="E2631" s="3" t="s">
        <v>30</v>
      </c>
      <c r="F2631" s="5">
        <v>0</v>
      </c>
      <c r="G2631" s="5">
        <v>5523.12</v>
      </c>
      <c r="H2631" s="5">
        <f t="shared" si="82"/>
        <v>5523.12</v>
      </c>
      <c r="I2631" s="9">
        <f t="shared" si="83"/>
        <v>0</v>
      </c>
      <c r="J2631" s="3" t="s">
        <v>4603</v>
      </c>
    </row>
    <row r="2632" spans="1:10" ht="25.5">
      <c r="A2632" s="3" t="s">
        <v>1811</v>
      </c>
      <c r="B2632" s="3" t="s">
        <v>3496</v>
      </c>
      <c r="C2632" s="4">
        <v>317</v>
      </c>
      <c r="D2632" s="3" t="s">
        <v>54</v>
      </c>
      <c r="E2632" s="3" t="s">
        <v>18</v>
      </c>
      <c r="F2632" s="5">
        <v>8822.52</v>
      </c>
      <c r="G2632" s="5">
        <v>0</v>
      </c>
      <c r="H2632" s="5">
        <f t="shared" si="82"/>
        <v>-8822.52</v>
      </c>
      <c r="I2632" s="9">
        <f t="shared" si="83"/>
        <v>-1</v>
      </c>
      <c r="J2632" s="3" t="s">
        <v>4603</v>
      </c>
    </row>
    <row r="2633" spans="1:10" ht="25.5">
      <c r="A2633" s="3" t="s">
        <v>1811</v>
      </c>
      <c r="B2633" s="3" t="s">
        <v>3497</v>
      </c>
      <c r="C2633" s="4">
        <v>335</v>
      </c>
      <c r="D2633" s="3" t="s">
        <v>7</v>
      </c>
      <c r="E2633" s="3" t="s">
        <v>8</v>
      </c>
      <c r="F2633" s="5">
        <v>0</v>
      </c>
      <c r="G2633" s="5">
        <v>5727</v>
      </c>
      <c r="H2633" s="5">
        <f t="shared" si="82"/>
        <v>5727</v>
      </c>
      <c r="I2633" s="9">
        <f t="shared" si="83"/>
        <v>0</v>
      </c>
      <c r="J2633" s="3" t="s">
        <v>4604</v>
      </c>
    </row>
    <row r="2634" spans="1:10" ht="25.5">
      <c r="A2634" s="3" t="s">
        <v>1811</v>
      </c>
      <c r="B2634" s="3" t="s">
        <v>3498</v>
      </c>
      <c r="C2634" s="4">
        <v>296</v>
      </c>
      <c r="D2634" s="3" t="s">
        <v>137</v>
      </c>
      <c r="E2634" s="3" t="s">
        <v>18</v>
      </c>
      <c r="F2634" s="5">
        <v>4286.16</v>
      </c>
      <c r="G2634" s="5">
        <v>0</v>
      </c>
      <c r="H2634" s="5">
        <f t="shared" si="82"/>
        <v>-4286.16</v>
      </c>
      <c r="I2634" s="9">
        <f t="shared" si="83"/>
        <v>-1</v>
      </c>
      <c r="J2634" s="3" t="s">
        <v>4603</v>
      </c>
    </row>
    <row r="2635" spans="1:10" ht="25.5">
      <c r="A2635" s="3" t="s">
        <v>1811</v>
      </c>
      <c r="B2635" s="3" t="s">
        <v>3499</v>
      </c>
      <c r="C2635" s="4">
        <v>261</v>
      </c>
      <c r="D2635" s="3" t="s">
        <v>17</v>
      </c>
      <c r="E2635" s="3" t="s">
        <v>18</v>
      </c>
      <c r="F2635" s="5">
        <v>0</v>
      </c>
      <c r="G2635" s="5">
        <v>4101.12</v>
      </c>
      <c r="H2635" s="5">
        <f t="shared" si="82"/>
        <v>4101.12</v>
      </c>
      <c r="I2635" s="9">
        <f t="shared" si="83"/>
        <v>0</v>
      </c>
      <c r="J2635" s="3" t="s">
        <v>4603</v>
      </c>
    </row>
    <row r="2636" spans="1:10" ht="25.5">
      <c r="A2636" s="3" t="s">
        <v>1811</v>
      </c>
      <c r="B2636" s="3" t="s">
        <v>3500</v>
      </c>
      <c r="C2636" s="4">
        <v>328</v>
      </c>
      <c r="D2636" s="3" t="s">
        <v>158</v>
      </c>
      <c r="E2636" s="3" t="s">
        <v>22</v>
      </c>
      <c r="F2636" s="5">
        <v>9769.2900000000009</v>
      </c>
      <c r="G2636" s="5">
        <v>0</v>
      </c>
      <c r="H2636" s="5">
        <f t="shared" si="82"/>
        <v>-9769.2900000000009</v>
      </c>
      <c r="I2636" s="9">
        <f t="shared" si="83"/>
        <v>-1</v>
      </c>
      <c r="J2636" s="3" t="s">
        <v>4604</v>
      </c>
    </row>
    <row r="2637" spans="1:10" ht="25.5">
      <c r="A2637" s="3" t="s">
        <v>1811</v>
      </c>
      <c r="B2637" s="3" t="s">
        <v>3501</v>
      </c>
      <c r="C2637" s="4">
        <v>335</v>
      </c>
      <c r="D2637" s="3" t="s">
        <v>7</v>
      </c>
      <c r="E2637" s="3" t="s">
        <v>8</v>
      </c>
      <c r="F2637" s="5">
        <v>0</v>
      </c>
      <c r="G2637" s="5">
        <v>4063.35</v>
      </c>
      <c r="H2637" s="5">
        <f t="shared" si="82"/>
        <v>4063.35</v>
      </c>
      <c r="I2637" s="9">
        <f t="shared" si="83"/>
        <v>0</v>
      </c>
      <c r="J2637" s="3" t="s">
        <v>4603</v>
      </c>
    </row>
    <row r="2638" spans="1:10" ht="25.5">
      <c r="A2638" s="3" t="s">
        <v>1811</v>
      </c>
      <c r="B2638" s="3" t="s">
        <v>3502</v>
      </c>
      <c r="C2638" s="4">
        <v>267</v>
      </c>
      <c r="D2638" s="3" t="s">
        <v>417</v>
      </c>
      <c r="E2638" s="3" t="s">
        <v>13</v>
      </c>
      <c r="F2638" s="5">
        <v>7358.82</v>
      </c>
      <c r="G2638" s="5">
        <v>3845.76</v>
      </c>
      <c r="H2638" s="5">
        <f t="shared" si="82"/>
        <v>-3513.0599999999995</v>
      </c>
      <c r="I2638" s="9">
        <f t="shared" si="83"/>
        <v>-0.47739447357049092</v>
      </c>
      <c r="J2638" s="3" t="s">
        <v>4603</v>
      </c>
    </row>
    <row r="2639" spans="1:10">
      <c r="A2639" s="3" t="s">
        <v>1811</v>
      </c>
      <c r="B2639" s="3" t="s">
        <v>3503</v>
      </c>
      <c r="C2639" s="4">
        <v>167</v>
      </c>
      <c r="D2639" s="3" t="s">
        <v>335</v>
      </c>
      <c r="E2639" s="3" t="s">
        <v>30</v>
      </c>
      <c r="F2639" s="5">
        <v>2111.52</v>
      </c>
      <c r="G2639" s="5">
        <v>10230.51</v>
      </c>
      <c r="H2639" s="5">
        <f t="shared" si="82"/>
        <v>8118.99</v>
      </c>
      <c r="I2639" s="9">
        <f t="shared" si="83"/>
        <v>3.8450926346897027</v>
      </c>
      <c r="J2639" s="3" t="s">
        <v>4603</v>
      </c>
    </row>
    <row r="2640" spans="1:10" ht="38.25">
      <c r="A2640" s="3" t="s">
        <v>1811</v>
      </c>
      <c r="B2640" s="3" t="s">
        <v>3504</v>
      </c>
      <c r="C2640" s="4">
        <v>34</v>
      </c>
      <c r="D2640" s="3" t="s">
        <v>136</v>
      </c>
      <c r="E2640" s="3" t="s">
        <v>30</v>
      </c>
      <c r="F2640" s="5">
        <v>16823.22</v>
      </c>
      <c r="G2640" s="5">
        <v>0</v>
      </c>
      <c r="H2640" s="5">
        <f t="shared" si="82"/>
        <v>-16823.22</v>
      </c>
      <c r="I2640" s="9">
        <f t="shared" si="83"/>
        <v>-1</v>
      </c>
      <c r="J2640" s="3" t="s">
        <v>4603</v>
      </c>
    </row>
    <row r="2641" spans="1:10" ht="25.5">
      <c r="A2641" s="3" t="s">
        <v>1811</v>
      </c>
      <c r="B2641" s="3" t="s">
        <v>3505</v>
      </c>
      <c r="C2641" s="4">
        <v>39</v>
      </c>
      <c r="D2641" s="3" t="s">
        <v>26</v>
      </c>
      <c r="E2641" s="3" t="s">
        <v>9</v>
      </c>
      <c r="F2641" s="5">
        <v>0</v>
      </c>
      <c r="G2641" s="5">
        <v>3834.96</v>
      </c>
      <c r="H2641" s="5">
        <f t="shared" si="82"/>
        <v>3834.96</v>
      </c>
      <c r="I2641" s="9">
        <f t="shared" si="83"/>
        <v>0</v>
      </c>
      <c r="J2641" s="3" t="s">
        <v>4603</v>
      </c>
    </row>
    <row r="2642" spans="1:10" ht="25.5">
      <c r="A2642" s="3" t="s">
        <v>1811</v>
      </c>
      <c r="B2642" s="3" t="s">
        <v>3506</v>
      </c>
      <c r="C2642" s="4">
        <v>240</v>
      </c>
      <c r="D2642" s="3" t="s">
        <v>152</v>
      </c>
      <c r="E2642" s="3" t="s">
        <v>13</v>
      </c>
      <c r="F2642" s="5">
        <v>0</v>
      </c>
      <c r="G2642" s="5">
        <v>4417.6499999999996</v>
      </c>
      <c r="H2642" s="5">
        <f t="shared" si="82"/>
        <v>4417.6499999999996</v>
      </c>
      <c r="I2642" s="9">
        <f t="shared" si="83"/>
        <v>0</v>
      </c>
      <c r="J2642" s="3" t="s">
        <v>4603</v>
      </c>
    </row>
    <row r="2643" spans="1:10" ht="38.25">
      <c r="A2643" s="3" t="s">
        <v>1811</v>
      </c>
      <c r="B2643" s="3" t="s">
        <v>3507</v>
      </c>
      <c r="C2643" s="4">
        <v>38</v>
      </c>
      <c r="D2643" s="3" t="s">
        <v>229</v>
      </c>
      <c r="E2643" s="3" t="s">
        <v>30</v>
      </c>
      <c r="F2643" s="5">
        <v>5245.99</v>
      </c>
      <c r="G2643" s="5">
        <v>7826.67</v>
      </c>
      <c r="H2643" s="5">
        <f t="shared" si="82"/>
        <v>2580.6800000000003</v>
      </c>
      <c r="I2643" s="9">
        <f t="shared" si="83"/>
        <v>0.49193383898939969</v>
      </c>
      <c r="J2643" s="3" t="s">
        <v>4603</v>
      </c>
    </row>
    <row r="2644" spans="1:10" ht="25.5">
      <c r="A2644" s="3" t="s">
        <v>1811</v>
      </c>
      <c r="B2644" s="3" t="s">
        <v>3508</v>
      </c>
      <c r="C2644" s="4">
        <v>327</v>
      </c>
      <c r="D2644" s="3" t="s">
        <v>76</v>
      </c>
      <c r="E2644" s="3" t="s">
        <v>8</v>
      </c>
      <c r="F2644" s="5">
        <v>0</v>
      </c>
      <c r="G2644" s="5">
        <v>15346.56</v>
      </c>
      <c r="H2644" s="5">
        <f t="shared" si="82"/>
        <v>15346.56</v>
      </c>
      <c r="I2644" s="9">
        <f t="shared" si="83"/>
        <v>0</v>
      </c>
      <c r="J2644" s="3" t="s">
        <v>4603</v>
      </c>
    </row>
    <row r="2645" spans="1:10" ht="25.5">
      <c r="A2645" s="3" t="s">
        <v>1811</v>
      </c>
      <c r="B2645" s="3" t="s">
        <v>3509</v>
      </c>
      <c r="C2645" s="4">
        <v>321</v>
      </c>
      <c r="D2645" s="3" t="s">
        <v>125</v>
      </c>
      <c r="E2645" s="3" t="s">
        <v>22</v>
      </c>
      <c r="F2645" s="5">
        <v>0</v>
      </c>
      <c r="G2645" s="5">
        <v>9981.48</v>
      </c>
      <c r="H2645" s="5">
        <f t="shared" si="82"/>
        <v>9981.48</v>
      </c>
      <c r="I2645" s="9">
        <f t="shared" si="83"/>
        <v>0</v>
      </c>
      <c r="J2645" s="3" t="s">
        <v>4603</v>
      </c>
    </row>
    <row r="2646" spans="1:10">
      <c r="A2646" s="3" t="s">
        <v>1811</v>
      </c>
      <c r="B2646" s="3" t="s">
        <v>3510</v>
      </c>
      <c r="C2646" s="4">
        <v>315</v>
      </c>
      <c r="D2646" s="3" t="s">
        <v>79</v>
      </c>
      <c r="E2646" s="3" t="s">
        <v>8</v>
      </c>
      <c r="F2646" s="5">
        <v>3915.72</v>
      </c>
      <c r="G2646" s="5">
        <v>1869.72</v>
      </c>
      <c r="H2646" s="5">
        <f t="shared" si="82"/>
        <v>-2045.9999999999998</v>
      </c>
      <c r="I2646" s="9">
        <f t="shared" si="83"/>
        <v>-0.52250927032576389</v>
      </c>
      <c r="J2646" s="3" t="s">
        <v>4603</v>
      </c>
    </row>
    <row r="2647" spans="1:10" ht="38.25">
      <c r="A2647" s="3" t="s">
        <v>1811</v>
      </c>
      <c r="B2647" s="3" t="s">
        <v>3511</v>
      </c>
      <c r="C2647" s="4">
        <v>45</v>
      </c>
      <c r="D2647" s="3" t="s">
        <v>16</v>
      </c>
      <c r="E2647" s="3" t="s">
        <v>8</v>
      </c>
      <c r="F2647" s="5">
        <v>3683.4</v>
      </c>
      <c r="G2647" s="5">
        <v>4950.3599999999997</v>
      </c>
      <c r="H2647" s="5">
        <f t="shared" si="82"/>
        <v>1266.9599999999996</v>
      </c>
      <c r="I2647" s="9">
        <f t="shared" si="83"/>
        <v>0.34396481511646826</v>
      </c>
      <c r="J2647" s="3" t="s">
        <v>4603</v>
      </c>
    </row>
    <row r="2648" spans="1:10" ht="25.5">
      <c r="A2648" s="3" t="s">
        <v>1811</v>
      </c>
      <c r="B2648" s="3" t="s">
        <v>3512</v>
      </c>
      <c r="C2648" s="4">
        <v>261</v>
      </c>
      <c r="D2648" s="3" t="s">
        <v>17</v>
      </c>
      <c r="E2648" s="3" t="s">
        <v>18</v>
      </c>
      <c r="F2648" s="5">
        <v>8248.3799999999992</v>
      </c>
      <c r="G2648" s="5">
        <v>0</v>
      </c>
      <c r="H2648" s="5">
        <f t="shared" si="82"/>
        <v>-8248.3799999999992</v>
      </c>
      <c r="I2648" s="9">
        <f t="shared" si="83"/>
        <v>-1</v>
      </c>
      <c r="J2648" s="3" t="s">
        <v>4603</v>
      </c>
    </row>
    <row r="2649" spans="1:10" ht="51">
      <c r="A2649" s="3" t="s">
        <v>1811</v>
      </c>
      <c r="B2649" s="3" t="s">
        <v>3513</v>
      </c>
      <c r="C2649" s="4">
        <v>282</v>
      </c>
      <c r="D2649" s="3" t="s">
        <v>298</v>
      </c>
      <c r="E2649" s="3" t="s">
        <v>9</v>
      </c>
      <c r="F2649" s="5">
        <v>10378.44</v>
      </c>
      <c r="G2649" s="5">
        <v>10120.32</v>
      </c>
      <c r="H2649" s="5">
        <f t="shared" si="82"/>
        <v>-258.1200000000008</v>
      </c>
      <c r="I2649" s="9">
        <f t="shared" si="83"/>
        <v>-2.4870789829685491E-2</v>
      </c>
      <c r="J2649" s="3" t="s">
        <v>4603</v>
      </c>
    </row>
    <row r="2650" spans="1:10" ht="25.5">
      <c r="A2650" s="3" t="s">
        <v>1811</v>
      </c>
      <c r="B2650" s="3" t="s">
        <v>3514</v>
      </c>
      <c r="C2650" s="4">
        <v>266</v>
      </c>
      <c r="D2650" s="3" t="s">
        <v>111</v>
      </c>
      <c r="E2650" s="3" t="s">
        <v>18</v>
      </c>
      <c r="F2650" s="5">
        <v>14912.22</v>
      </c>
      <c r="G2650" s="5">
        <v>2582.2800000000002</v>
      </c>
      <c r="H2650" s="5">
        <f t="shared" si="82"/>
        <v>-12329.939999999999</v>
      </c>
      <c r="I2650" s="9">
        <f t="shared" si="83"/>
        <v>-0.82683463629157827</v>
      </c>
      <c r="J2650" s="3" t="s">
        <v>4603</v>
      </c>
    </row>
    <row r="2651" spans="1:10" ht="25.5">
      <c r="A2651" s="3" t="s">
        <v>1811</v>
      </c>
      <c r="B2651" s="3" t="s">
        <v>3515</v>
      </c>
      <c r="C2651" s="4">
        <v>317</v>
      </c>
      <c r="D2651" s="3" t="s">
        <v>54</v>
      </c>
      <c r="E2651" s="3" t="s">
        <v>18</v>
      </c>
      <c r="F2651" s="5">
        <v>4711.68</v>
      </c>
      <c r="G2651" s="5">
        <v>0</v>
      </c>
      <c r="H2651" s="5">
        <f t="shared" si="82"/>
        <v>-4711.68</v>
      </c>
      <c r="I2651" s="9">
        <f t="shared" si="83"/>
        <v>-1</v>
      </c>
      <c r="J2651" s="3" t="s">
        <v>4603</v>
      </c>
    </row>
    <row r="2652" spans="1:10" ht="51">
      <c r="A2652" s="3" t="s">
        <v>1811</v>
      </c>
      <c r="B2652" s="3" t="s">
        <v>3516</v>
      </c>
      <c r="C2652" s="4">
        <v>282</v>
      </c>
      <c r="D2652" s="3" t="s">
        <v>298</v>
      </c>
      <c r="E2652" s="3" t="s">
        <v>9</v>
      </c>
      <c r="F2652" s="5">
        <v>13964.77</v>
      </c>
      <c r="G2652" s="5">
        <v>0</v>
      </c>
      <c r="H2652" s="5">
        <f t="shared" si="82"/>
        <v>-13964.77</v>
      </c>
      <c r="I2652" s="9">
        <f t="shared" si="83"/>
        <v>-1</v>
      </c>
      <c r="J2652" s="3" t="s">
        <v>4603</v>
      </c>
    </row>
    <row r="2653" spans="1:10" ht="25.5">
      <c r="A2653" s="3" t="s">
        <v>1811</v>
      </c>
      <c r="B2653" s="3" t="s">
        <v>3517</v>
      </c>
      <c r="C2653" s="4">
        <v>23</v>
      </c>
      <c r="D2653" s="3" t="s">
        <v>71</v>
      </c>
      <c r="E2653" s="3" t="s">
        <v>8</v>
      </c>
      <c r="F2653" s="5">
        <v>4535.04</v>
      </c>
      <c r="G2653" s="5">
        <v>0</v>
      </c>
      <c r="H2653" s="5">
        <f t="shared" si="82"/>
        <v>-4535.04</v>
      </c>
      <c r="I2653" s="9">
        <f t="shared" si="83"/>
        <v>-1</v>
      </c>
      <c r="J2653" s="3" t="s">
        <v>4604</v>
      </c>
    </row>
    <row r="2654" spans="1:10" ht="25.5">
      <c r="A2654" s="3" t="s">
        <v>1811</v>
      </c>
      <c r="B2654" s="3" t="s">
        <v>3518</v>
      </c>
      <c r="C2654" s="4">
        <v>23</v>
      </c>
      <c r="D2654" s="3" t="s">
        <v>71</v>
      </c>
      <c r="E2654" s="3" t="s">
        <v>8</v>
      </c>
      <c r="F2654" s="5">
        <v>6874.98</v>
      </c>
      <c r="G2654" s="5">
        <v>0</v>
      </c>
      <c r="H2654" s="5">
        <f t="shared" si="82"/>
        <v>-6874.98</v>
      </c>
      <c r="I2654" s="9">
        <f t="shared" si="83"/>
        <v>-1</v>
      </c>
      <c r="J2654" s="3" t="s">
        <v>4603</v>
      </c>
    </row>
    <row r="2655" spans="1:10" ht="25.5">
      <c r="A2655" s="3" t="s">
        <v>1811</v>
      </c>
      <c r="B2655" s="3" t="s">
        <v>3519</v>
      </c>
      <c r="C2655" s="4">
        <v>317</v>
      </c>
      <c r="D2655" s="3" t="s">
        <v>54</v>
      </c>
      <c r="E2655" s="3" t="s">
        <v>18</v>
      </c>
      <c r="F2655" s="5">
        <v>0</v>
      </c>
      <c r="G2655" s="5">
        <v>8906.52</v>
      </c>
      <c r="H2655" s="5">
        <f t="shared" si="82"/>
        <v>8906.52</v>
      </c>
      <c r="I2655" s="9">
        <f t="shared" si="83"/>
        <v>0</v>
      </c>
      <c r="J2655" s="3" t="s">
        <v>4603</v>
      </c>
    </row>
    <row r="2656" spans="1:10" ht="25.5">
      <c r="A2656" s="3" t="s">
        <v>1811</v>
      </c>
      <c r="B2656" s="3" t="s">
        <v>3520</v>
      </c>
      <c r="C2656" s="4">
        <v>194</v>
      </c>
      <c r="D2656" s="3" t="s">
        <v>179</v>
      </c>
      <c r="E2656" s="3" t="s">
        <v>13</v>
      </c>
      <c r="F2656" s="5">
        <v>8523.24</v>
      </c>
      <c r="G2656" s="5">
        <v>5747.46</v>
      </c>
      <c r="H2656" s="5">
        <f t="shared" si="82"/>
        <v>-2775.7799999999997</v>
      </c>
      <c r="I2656" s="9">
        <f t="shared" si="83"/>
        <v>-0.32567192757683694</v>
      </c>
      <c r="J2656" s="3" t="s">
        <v>4603</v>
      </c>
    </row>
    <row r="2657" spans="1:10" ht="25.5">
      <c r="A2657" s="3" t="s">
        <v>1811</v>
      </c>
      <c r="B2657" s="3" t="s">
        <v>3521</v>
      </c>
      <c r="C2657" s="4">
        <v>187</v>
      </c>
      <c r="D2657" s="3" t="s">
        <v>460</v>
      </c>
      <c r="E2657" s="3" t="s">
        <v>8</v>
      </c>
      <c r="F2657" s="5">
        <v>17570.400000000001</v>
      </c>
      <c r="G2657" s="5">
        <v>9850.3799999999992</v>
      </c>
      <c r="H2657" s="5">
        <f t="shared" si="82"/>
        <v>-7720.0200000000023</v>
      </c>
      <c r="I2657" s="9">
        <f t="shared" si="83"/>
        <v>-0.43937645130446668</v>
      </c>
      <c r="J2657" s="3" t="s">
        <v>4603</v>
      </c>
    </row>
    <row r="2658" spans="1:10">
      <c r="A2658" s="3" t="s">
        <v>1811</v>
      </c>
      <c r="B2658" s="3" t="s">
        <v>3522</v>
      </c>
      <c r="C2658" s="4">
        <v>334</v>
      </c>
      <c r="D2658" s="3" t="s">
        <v>585</v>
      </c>
      <c r="E2658" s="3" t="s">
        <v>8</v>
      </c>
      <c r="F2658" s="5">
        <v>9489.48</v>
      </c>
      <c r="G2658" s="5">
        <v>3177.18</v>
      </c>
      <c r="H2658" s="5">
        <f t="shared" si="82"/>
        <v>-6312.2999999999993</v>
      </c>
      <c r="I2658" s="9">
        <f t="shared" si="83"/>
        <v>-0.66518924113860822</v>
      </c>
      <c r="J2658" s="3" t="s">
        <v>4603</v>
      </c>
    </row>
    <row r="2659" spans="1:10" ht="25.5">
      <c r="A2659" s="3" t="s">
        <v>1811</v>
      </c>
      <c r="B2659" s="3" t="s">
        <v>3523</v>
      </c>
      <c r="C2659" s="4">
        <v>273</v>
      </c>
      <c r="D2659" s="3" t="s">
        <v>771</v>
      </c>
      <c r="E2659" s="3" t="s">
        <v>18</v>
      </c>
      <c r="F2659" s="5">
        <v>2955.15</v>
      </c>
      <c r="G2659" s="5">
        <v>0</v>
      </c>
      <c r="H2659" s="5">
        <f t="shared" si="82"/>
        <v>-2955.15</v>
      </c>
      <c r="I2659" s="9">
        <f t="shared" si="83"/>
        <v>-1</v>
      </c>
      <c r="J2659" s="3" t="s">
        <v>4603</v>
      </c>
    </row>
    <row r="2660" spans="1:10" ht="25.5">
      <c r="A2660" s="3" t="s">
        <v>1811</v>
      </c>
      <c r="B2660" s="3" t="s">
        <v>3524</v>
      </c>
      <c r="C2660" s="4">
        <v>315</v>
      </c>
      <c r="D2660" s="3" t="s">
        <v>79</v>
      </c>
      <c r="E2660" s="3" t="s">
        <v>8</v>
      </c>
      <c r="F2660" s="5">
        <v>4211.28</v>
      </c>
      <c r="G2660" s="5">
        <v>0</v>
      </c>
      <c r="H2660" s="5">
        <f t="shared" si="82"/>
        <v>-4211.28</v>
      </c>
      <c r="I2660" s="9">
        <f t="shared" si="83"/>
        <v>-1</v>
      </c>
      <c r="J2660" s="3" t="s">
        <v>4603</v>
      </c>
    </row>
    <row r="2661" spans="1:10" ht="25.5">
      <c r="A2661" s="3" t="s">
        <v>1811</v>
      </c>
      <c r="B2661" s="3" t="s">
        <v>3525</v>
      </c>
      <c r="C2661" s="4">
        <v>328</v>
      </c>
      <c r="D2661" s="3" t="s">
        <v>158</v>
      </c>
      <c r="E2661" s="3" t="s">
        <v>22</v>
      </c>
      <c r="F2661" s="5">
        <v>11935.29</v>
      </c>
      <c r="G2661" s="5">
        <v>8208.57</v>
      </c>
      <c r="H2661" s="5">
        <f t="shared" si="82"/>
        <v>-3726.7200000000012</v>
      </c>
      <c r="I2661" s="9">
        <f t="shared" si="83"/>
        <v>-0.31224377455428409</v>
      </c>
      <c r="J2661" s="3" t="s">
        <v>4604</v>
      </c>
    </row>
    <row r="2662" spans="1:10" ht="25.5">
      <c r="A2662" s="3" t="s">
        <v>1811</v>
      </c>
      <c r="B2662" s="3" t="s">
        <v>3526</v>
      </c>
      <c r="C2662" s="4">
        <v>302</v>
      </c>
      <c r="D2662" s="3" t="s">
        <v>303</v>
      </c>
      <c r="E2662" s="3" t="s">
        <v>30</v>
      </c>
      <c r="F2662" s="5">
        <v>21944.58</v>
      </c>
      <c r="G2662" s="5">
        <v>24255.96</v>
      </c>
      <c r="H2662" s="5">
        <f t="shared" si="82"/>
        <v>2311.3799999999974</v>
      </c>
      <c r="I2662" s="9">
        <f t="shared" si="83"/>
        <v>0.10532805822667823</v>
      </c>
      <c r="J2662" s="3" t="s">
        <v>4603</v>
      </c>
    </row>
    <row r="2663" spans="1:10" ht="25.5">
      <c r="A2663" s="3" t="s">
        <v>1811</v>
      </c>
      <c r="B2663" s="3" t="s">
        <v>3527</v>
      </c>
      <c r="C2663" s="4">
        <v>218</v>
      </c>
      <c r="D2663" s="3" t="s">
        <v>155</v>
      </c>
      <c r="E2663" s="3" t="s">
        <v>13</v>
      </c>
      <c r="F2663" s="5">
        <v>7828.77</v>
      </c>
      <c r="G2663" s="5">
        <v>0</v>
      </c>
      <c r="H2663" s="5">
        <f t="shared" si="82"/>
        <v>-7828.77</v>
      </c>
      <c r="I2663" s="9">
        <f t="shared" si="83"/>
        <v>-1</v>
      </c>
      <c r="J2663" s="3" t="s">
        <v>4603</v>
      </c>
    </row>
    <row r="2664" spans="1:10" ht="38.25">
      <c r="A2664" s="3" t="s">
        <v>1811</v>
      </c>
      <c r="B2664" s="3" t="s">
        <v>3528</v>
      </c>
      <c r="C2664" s="4">
        <v>292</v>
      </c>
      <c r="D2664" s="3" t="s">
        <v>619</v>
      </c>
      <c r="E2664" s="3" t="s">
        <v>30</v>
      </c>
      <c r="F2664" s="5">
        <v>5543.04</v>
      </c>
      <c r="G2664" s="5">
        <v>0</v>
      </c>
      <c r="H2664" s="5">
        <f t="shared" si="82"/>
        <v>-5543.04</v>
      </c>
      <c r="I2664" s="9">
        <f t="shared" si="83"/>
        <v>-1</v>
      </c>
      <c r="J2664" s="3" t="s">
        <v>4603</v>
      </c>
    </row>
    <row r="2665" spans="1:10" ht="25.5">
      <c r="A2665" s="3" t="s">
        <v>1811</v>
      </c>
      <c r="B2665" s="3" t="s">
        <v>3529</v>
      </c>
      <c r="C2665" s="4">
        <v>232</v>
      </c>
      <c r="D2665" s="3" t="s">
        <v>95</v>
      </c>
      <c r="E2665" s="3" t="s">
        <v>13</v>
      </c>
      <c r="F2665" s="5">
        <v>4956.24</v>
      </c>
      <c r="G2665" s="5">
        <v>8842.92</v>
      </c>
      <c r="H2665" s="5">
        <f t="shared" si="82"/>
        <v>3886.6800000000003</v>
      </c>
      <c r="I2665" s="9">
        <f t="shared" si="83"/>
        <v>0.78419931238196705</v>
      </c>
      <c r="J2665" s="3" t="s">
        <v>4603</v>
      </c>
    </row>
    <row r="2666" spans="1:10">
      <c r="A2666" s="3" t="s">
        <v>1811</v>
      </c>
      <c r="B2666" s="3" t="s">
        <v>3530</v>
      </c>
      <c r="C2666" s="4">
        <v>15</v>
      </c>
      <c r="D2666" s="3" t="s">
        <v>33</v>
      </c>
      <c r="E2666" s="3" t="s">
        <v>13</v>
      </c>
      <c r="F2666" s="5">
        <v>71015.88</v>
      </c>
      <c r="G2666" s="5">
        <v>0</v>
      </c>
      <c r="H2666" s="5">
        <f t="shared" si="82"/>
        <v>-71015.88</v>
      </c>
      <c r="I2666" s="9">
        <f t="shared" si="83"/>
        <v>-1</v>
      </c>
      <c r="J2666" s="3" t="s">
        <v>4603</v>
      </c>
    </row>
    <row r="2667" spans="1:10" ht="25.5">
      <c r="A2667" s="3" t="s">
        <v>1811</v>
      </c>
      <c r="B2667" s="3" t="s">
        <v>3531</v>
      </c>
      <c r="C2667" s="4">
        <v>328</v>
      </c>
      <c r="D2667" s="3" t="s">
        <v>158</v>
      </c>
      <c r="E2667" s="3" t="s">
        <v>22</v>
      </c>
      <c r="F2667" s="5">
        <v>5658.24</v>
      </c>
      <c r="G2667" s="5">
        <v>0</v>
      </c>
      <c r="H2667" s="5">
        <f t="shared" si="82"/>
        <v>-5658.24</v>
      </c>
      <c r="I2667" s="9">
        <f t="shared" si="83"/>
        <v>-1</v>
      </c>
      <c r="J2667" s="3" t="s">
        <v>4603</v>
      </c>
    </row>
    <row r="2668" spans="1:10" ht="25.5">
      <c r="A2668" s="3" t="s">
        <v>1811</v>
      </c>
      <c r="B2668" s="3" t="s">
        <v>3532</v>
      </c>
      <c r="C2668" s="4">
        <v>178</v>
      </c>
      <c r="D2668" s="3" t="s">
        <v>92</v>
      </c>
      <c r="E2668" s="3" t="s">
        <v>8</v>
      </c>
      <c r="F2668" s="5">
        <v>5747.16</v>
      </c>
      <c r="G2668" s="5">
        <v>19591.8</v>
      </c>
      <c r="H2668" s="5">
        <f t="shared" si="82"/>
        <v>13844.64</v>
      </c>
      <c r="I2668" s="9">
        <f t="shared" si="83"/>
        <v>2.4089532917127765</v>
      </c>
      <c r="J2668" s="3" t="s">
        <v>4603</v>
      </c>
    </row>
    <row r="2669" spans="1:10" ht="25.5">
      <c r="A2669" s="3" t="s">
        <v>1811</v>
      </c>
      <c r="B2669" s="3" t="s">
        <v>3533</v>
      </c>
      <c r="C2669" s="4">
        <v>337</v>
      </c>
      <c r="D2669" s="3" t="s">
        <v>218</v>
      </c>
      <c r="E2669" s="3" t="s">
        <v>13</v>
      </c>
      <c r="F2669" s="5">
        <v>0</v>
      </c>
      <c r="G2669" s="5">
        <v>28255.24</v>
      </c>
      <c r="H2669" s="5">
        <f t="shared" si="82"/>
        <v>28255.24</v>
      </c>
      <c r="I2669" s="9">
        <f t="shared" si="83"/>
        <v>0</v>
      </c>
      <c r="J2669" s="3" t="s">
        <v>4603</v>
      </c>
    </row>
    <row r="2670" spans="1:10" ht="25.5">
      <c r="A2670" s="3" t="s">
        <v>1811</v>
      </c>
      <c r="B2670" s="3" t="s">
        <v>3534</v>
      </c>
      <c r="C2670" s="4">
        <v>197</v>
      </c>
      <c r="D2670" s="3" t="s">
        <v>23</v>
      </c>
      <c r="E2670" s="3" t="s">
        <v>22</v>
      </c>
      <c r="F2670" s="5">
        <v>4922.22</v>
      </c>
      <c r="G2670" s="5">
        <v>0</v>
      </c>
      <c r="H2670" s="5">
        <f t="shared" si="82"/>
        <v>-4922.22</v>
      </c>
      <c r="I2670" s="9">
        <f t="shared" si="83"/>
        <v>-1</v>
      </c>
      <c r="J2670" s="3" t="s">
        <v>4603</v>
      </c>
    </row>
    <row r="2671" spans="1:10" ht="25.5">
      <c r="A2671" s="3" t="s">
        <v>1811</v>
      </c>
      <c r="B2671" s="3" t="s">
        <v>3535</v>
      </c>
      <c r="C2671" s="4">
        <v>296</v>
      </c>
      <c r="D2671" s="3" t="s">
        <v>137</v>
      </c>
      <c r="E2671" s="3" t="s">
        <v>18</v>
      </c>
      <c r="F2671" s="5">
        <v>2753.4</v>
      </c>
      <c r="G2671" s="5">
        <v>0</v>
      </c>
      <c r="H2671" s="5">
        <f t="shared" si="82"/>
        <v>-2753.4</v>
      </c>
      <c r="I2671" s="9">
        <f t="shared" si="83"/>
        <v>-1</v>
      </c>
      <c r="J2671" s="3" t="s">
        <v>4604</v>
      </c>
    </row>
    <row r="2672" spans="1:10" ht="25.5">
      <c r="A2672" s="3" t="s">
        <v>1811</v>
      </c>
      <c r="B2672" s="3" t="s">
        <v>3535</v>
      </c>
      <c r="C2672" s="4">
        <v>296</v>
      </c>
      <c r="D2672" s="3" t="s">
        <v>137</v>
      </c>
      <c r="E2672" s="3" t="s">
        <v>13</v>
      </c>
      <c r="F2672" s="5">
        <v>2753.4</v>
      </c>
      <c r="G2672" s="5">
        <v>0</v>
      </c>
      <c r="H2672" s="5">
        <f t="shared" si="82"/>
        <v>-2753.4</v>
      </c>
      <c r="I2672" s="9">
        <f t="shared" si="83"/>
        <v>-1</v>
      </c>
      <c r="J2672" s="3" t="s">
        <v>4604</v>
      </c>
    </row>
    <row r="2673" spans="1:10" ht="25.5">
      <c r="A2673" s="3" t="s">
        <v>1811</v>
      </c>
      <c r="B2673" s="3" t="s">
        <v>3536</v>
      </c>
      <c r="C2673" s="4">
        <v>15</v>
      </c>
      <c r="D2673" s="3" t="s">
        <v>33</v>
      </c>
      <c r="E2673" s="3" t="s">
        <v>13</v>
      </c>
      <c r="F2673" s="5">
        <v>0</v>
      </c>
      <c r="G2673" s="5">
        <v>72946.44</v>
      </c>
      <c r="H2673" s="5">
        <f t="shared" si="82"/>
        <v>72946.44</v>
      </c>
      <c r="I2673" s="9">
        <f t="shared" si="83"/>
        <v>0</v>
      </c>
      <c r="J2673" s="3" t="s">
        <v>4603</v>
      </c>
    </row>
    <row r="2674" spans="1:10" ht="25.5">
      <c r="A2674" s="3" t="s">
        <v>1811</v>
      </c>
      <c r="B2674" s="3" t="s">
        <v>3537</v>
      </c>
      <c r="C2674" s="4">
        <v>232</v>
      </c>
      <c r="D2674" s="3" t="s">
        <v>95</v>
      </c>
      <c r="E2674" s="3" t="s">
        <v>13</v>
      </c>
      <c r="F2674" s="5">
        <v>8915.43</v>
      </c>
      <c r="G2674" s="5">
        <v>2607.96</v>
      </c>
      <c r="H2674" s="5">
        <f t="shared" si="82"/>
        <v>-6307.47</v>
      </c>
      <c r="I2674" s="9">
        <f t="shared" si="83"/>
        <v>-0.70747793432285377</v>
      </c>
      <c r="J2674" s="3" t="s">
        <v>4603</v>
      </c>
    </row>
    <row r="2675" spans="1:10" ht="25.5">
      <c r="A2675" s="3" t="s">
        <v>1811</v>
      </c>
      <c r="B2675" s="3" t="s">
        <v>3538</v>
      </c>
      <c r="C2675" s="4">
        <v>267</v>
      </c>
      <c r="D2675" s="3" t="s">
        <v>417</v>
      </c>
      <c r="E2675" s="3" t="s">
        <v>13</v>
      </c>
      <c r="F2675" s="5">
        <v>0</v>
      </c>
      <c r="G2675" s="5">
        <v>6807.72</v>
      </c>
      <c r="H2675" s="5">
        <f t="shared" si="82"/>
        <v>6807.72</v>
      </c>
      <c r="I2675" s="9">
        <f t="shared" si="83"/>
        <v>0</v>
      </c>
      <c r="J2675" s="3" t="s">
        <v>4603</v>
      </c>
    </row>
    <row r="2676" spans="1:10" ht="25.5">
      <c r="A2676" s="3" t="s">
        <v>1811</v>
      </c>
      <c r="B2676" s="3" t="s">
        <v>3539</v>
      </c>
      <c r="C2676" s="4">
        <v>208</v>
      </c>
      <c r="D2676" s="3" t="s">
        <v>58</v>
      </c>
      <c r="E2676" s="3" t="s">
        <v>13</v>
      </c>
      <c r="F2676" s="5">
        <v>17556</v>
      </c>
      <c r="G2676" s="5">
        <v>0</v>
      </c>
      <c r="H2676" s="5">
        <f t="shared" si="82"/>
        <v>-17556</v>
      </c>
      <c r="I2676" s="9">
        <f t="shared" si="83"/>
        <v>-1</v>
      </c>
      <c r="J2676" s="3" t="s">
        <v>4604</v>
      </c>
    </row>
    <row r="2677" spans="1:10" ht="25.5">
      <c r="A2677" s="3" t="s">
        <v>1811</v>
      </c>
      <c r="B2677" s="3" t="s">
        <v>3540</v>
      </c>
      <c r="C2677" s="4">
        <v>218</v>
      </c>
      <c r="D2677" s="3" t="s">
        <v>155</v>
      </c>
      <c r="E2677" s="3" t="s">
        <v>13</v>
      </c>
      <c r="F2677" s="5">
        <v>7210.68</v>
      </c>
      <c r="G2677" s="5">
        <v>0</v>
      </c>
      <c r="H2677" s="5">
        <f t="shared" si="82"/>
        <v>-7210.68</v>
      </c>
      <c r="I2677" s="9">
        <f t="shared" si="83"/>
        <v>-1</v>
      </c>
      <c r="J2677" s="3" t="s">
        <v>4603</v>
      </c>
    </row>
    <row r="2678" spans="1:10" ht="25.5">
      <c r="A2678" s="3" t="s">
        <v>1811</v>
      </c>
      <c r="B2678" s="3" t="s">
        <v>3541</v>
      </c>
      <c r="C2678" s="4">
        <v>218</v>
      </c>
      <c r="D2678" s="3" t="s">
        <v>155</v>
      </c>
      <c r="E2678" s="3" t="s">
        <v>13</v>
      </c>
      <c r="F2678" s="5">
        <v>3509.28</v>
      </c>
      <c r="G2678" s="5">
        <v>0</v>
      </c>
      <c r="H2678" s="5">
        <f t="shared" si="82"/>
        <v>-3509.28</v>
      </c>
      <c r="I2678" s="9">
        <f t="shared" si="83"/>
        <v>-1</v>
      </c>
      <c r="J2678" s="3" t="s">
        <v>4603</v>
      </c>
    </row>
    <row r="2679" spans="1:10">
      <c r="A2679" s="3" t="s">
        <v>1811</v>
      </c>
      <c r="B2679" s="3" t="s">
        <v>3542</v>
      </c>
      <c r="C2679" s="4">
        <v>15</v>
      </c>
      <c r="D2679" s="3" t="s">
        <v>33</v>
      </c>
      <c r="E2679" s="3" t="s">
        <v>13</v>
      </c>
      <c r="F2679" s="5">
        <v>117401.76</v>
      </c>
      <c r="G2679" s="5">
        <v>0</v>
      </c>
      <c r="H2679" s="5">
        <f t="shared" si="82"/>
        <v>-117401.76</v>
      </c>
      <c r="I2679" s="9">
        <f t="shared" si="83"/>
        <v>-1</v>
      </c>
      <c r="J2679" s="3" t="s">
        <v>4603</v>
      </c>
    </row>
    <row r="2680" spans="1:10" ht="25.5">
      <c r="A2680" s="3" t="s">
        <v>1811</v>
      </c>
      <c r="B2680" s="3" t="s">
        <v>3543</v>
      </c>
      <c r="C2680" s="4">
        <v>337</v>
      </c>
      <c r="D2680" s="3" t="s">
        <v>218</v>
      </c>
      <c r="E2680" s="3" t="s">
        <v>13</v>
      </c>
      <c r="F2680" s="5">
        <v>6143.28</v>
      </c>
      <c r="G2680" s="5">
        <v>0</v>
      </c>
      <c r="H2680" s="5">
        <f t="shared" si="82"/>
        <v>-6143.28</v>
      </c>
      <c r="I2680" s="9">
        <f t="shared" si="83"/>
        <v>-1</v>
      </c>
      <c r="J2680" s="3" t="s">
        <v>4604</v>
      </c>
    </row>
    <row r="2681" spans="1:10">
      <c r="A2681" s="3" t="s">
        <v>1811</v>
      </c>
      <c r="B2681" s="3" t="s">
        <v>3544</v>
      </c>
      <c r="C2681" s="4">
        <v>231</v>
      </c>
      <c r="D2681" s="3" t="s">
        <v>89</v>
      </c>
      <c r="E2681" s="3" t="s">
        <v>8</v>
      </c>
      <c r="F2681" s="5">
        <v>35892.54</v>
      </c>
      <c r="G2681" s="5">
        <v>32757.87</v>
      </c>
      <c r="H2681" s="5">
        <f t="shared" si="82"/>
        <v>-3134.6700000000019</v>
      </c>
      <c r="I2681" s="9">
        <f t="shared" si="83"/>
        <v>-8.7334861227430616E-2</v>
      </c>
      <c r="J2681" s="3" t="s">
        <v>4603</v>
      </c>
    </row>
    <row r="2682" spans="1:10" ht="25.5">
      <c r="A2682" s="3" t="s">
        <v>1811</v>
      </c>
      <c r="B2682" s="3" t="s">
        <v>3545</v>
      </c>
      <c r="C2682" s="4">
        <v>267</v>
      </c>
      <c r="D2682" s="3" t="s">
        <v>417</v>
      </c>
      <c r="E2682" s="3" t="s">
        <v>13</v>
      </c>
      <c r="F2682" s="5">
        <v>4607.3999999999996</v>
      </c>
      <c r="G2682" s="5">
        <v>7076.04</v>
      </c>
      <c r="H2682" s="5">
        <f t="shared" si="82"/>
        <v>2468.6400000000003</v>
      </c>
      <c r="I2682" s="9">
        <f t="shared" si="83"/>
        <v>0.5357989321526242</v>
      </c>
      <c r="J2682" s="3" t="s">
        <v>4603</v>
      </c>
    </row>
    <row r="2683" spans="1:10" ht="25.5">
      <c r="A2683" s="3" t="s">
        <v>1811</v>
      </c>
      <c r="B2683" s="3" t="s">
        <v>3546</v>
      </c>
      <c r="C2683" s="4">
        <v>93</v>
      </c>
      <c r="D2683" s="3" t="s">
        <v>42</v>
      </c>
      <c r="E2683" s="3" t="s">
        <v>8</v>
      </c>
      <c r="F2683" s="5">
        <v>0</v>
      </c>
      <c r="G2683" s="5">
        <v>10145.19</v>
      </c>
      <c r="H2683" s="5">
        <f t="shared" si="82"/>
        <v>10145.19</v>
      </c>
      <c r="I2683" s="9">
        <f t="shared" si="83"/>
        <v>0</v>
      </c>
      <c r="J2683" s="3" t="s">
        <v>4603</v>
      </c>
    </row>
    <row r="2684" spans="1:10" ht="25.5">
      <c r="A2684" s="3" t="s">
        <v>1811</v>
      </c>
      <c r="B2684" s="3" t="s">
        <v>3547</v>
      </c>
      <c r="C2684" s="4">
        <v>194</v>
      </c>
      <c r="D2684" s="3" t="s">
        <v>179</v>
      </c>
      <c r="E2684" s="3" t="s">
        <v>13</v>
      </c>
      <c r="F2684" s="5">
        <v>0</v>
      </c>
      <c r="G2684" s="5">
        <v>12005.73</v>
      </c>
      <c r="H2684" s="5">
        <f t="shared" si="82"/>
        <v>12005.73</v>
      </c>
      <c r="I2684" s="9">
        <f t="shared" si="83"/>
        <v>0</v>
      </c>
      <c r="J2684" s="3" t="s">
        <v>4603</v>
      </c>
    </row>
    <row r="2685" spans="1:10" ht="25.5">
      <c r="A2685" s="3" t="s">
        <v>1811</v>
      </c>
      <c r="B2685" s="3" t="s">
        <v>3548</v>
      </c>
      <c r="C2685" s="4">
        <v>39</v>
      </c>
      <c r="D2685" s="3" t="s">
        <v>26</v>
      </c>
      <c r="E2685" s="3" t="s">
        <v>9</v>
      </c>
      <c r="F2685" s="5">
        <v>0</v>
      </c>
      <c r="G2685" s="5">
        <v>4543.17</v>
      </c>
      <c r="H2685" s="5">
        <f t="shared" si="82"/>
        <v>4543.17</v>
      </c>
      <c r="I2685" s="9">
        <f t="shared" si="83"/>
        <v>0</v>
      </c>
      <c r="J2685" s="3" t="s">
        <v>4603</v>
      </c>
    </row>
    <row r="2686" spans="1:10">
      <c r="A2686" s="3" t="s">
        <v>1811</v>
      </c>
      <c r="B2686" s="3" t="s">
        <v>3549</v>
      </c>
      <c r="C2686" s="4">
        <v>334</v>
      </c>
      <c r="D2686" s="3" t="s">
        <v>585</v>
      </c>
      <c r="E2686" s="3" t="s">
        <v>8</v>
      </c>
      <c r="F2686" s="5">
        <v>3655.8</v>
      </c>
      <c r="G2686" s="5">
        <v>2999.76</v>
      </c>
      <c r="H2686" s="5">
        <f t="shared" si="82"/>
        <v>-656.04</v>
      </c>
      <c r="I2686" s="9">
        <f t="shared" si="83"/>
        <v>-0.1794518299688167</v>
      </c>
      <c r="J2686" s="3" t="s">
        <v>4603</v>
      </c>
    </row>
    <row r="2687" spans="1:10">
      <c r="A2687" s="3" t="s">
        <v>1811</v>
      </c>
      <c r="B2687" s="3" t="s">
        <v>3550</v>
      </c>
      <c r="C2687" s="4">
        <v>240</v>
      </c>
      <c r="D2687" s="3" t="s">
        <v>152</v>
      </c>
      <c r="E2687" s="3" t="s">
        <v>13</v>
      </c>
      <c r="F2687" s="5">
        <v>3695.16</v>
      </c>
      <c r="G2687" s="5">
        <v>6286.8</v>
      </c>
      <c r="H2687" s="5">
        <f t="shared" si="82"/>
        <v>2591.6400000000003</v>
      </c>
      <c r="I2687" s="9">
        <f t="shared" si="83"/>
        <v>0.70136069886013064</v>
      </c>
      <c r="J2687" s="3" t="s">
        <v>4603</v>
      </c>
    </row>
    <row r="2688" spans="1:10" ht="51">
      <c r="A2688" s="3" t="s">
        <v>1811</v>
      </c>
      <c r="B2688" s="3" t="s">
        <v>3551</v>
      </c>
      <c r="C2688" s="4">
        <v>282</v>
      </c>
      <c r="D2688" s="3" t="s">
        <v>298</v>
      </c>
      <c r="E2688" s="3" t="s">
        <v>9</v>
      </c>
      <c r="F2688" s="5">
        <v>0</v>
      </c>
      <c r="G2688" s="5">
        <v>3415.95</v>
      </c>
      <c r="H2688" s="5">
        <f t="shared" si="82"/>
        <v>3415.95</v>
      </c>
      <c r="I2688" s="9">
        <f t="shared" si="83"/>
        <v>0</v>
      </c>
      <c r="J2688" s="3" t="s">
        <v>4603</v>
      </c>
    </row>
    <row r="2689" spans="1:10" ht="38.25">
      <c r="A2689" s="3" t="s">
        <v>1811</v>
      </c>
      <c r="B2689" s="3" t="s">
        <v>3552</v>
      </c>
      <c r="C2689" s="4">
        <v>371</v>
      </c>
      <c r="D2689" s="3" t="s">
        <v>29</v>
      </c>
      <c r="E2689" s="3" t="s">
        <v>30</v>
      </c>
      <c r="F2689" s="5">
        <v>0</v>
      </c>
      <c r="G2689" s="5">
        <v>2109.4560000000001</v>
      </c>
      <c r="H2689" s="5">
        <f t="shared" si="82"/>
        <v>2109.4560000000001</v>
      </c>
      <c r="I2689" s="9">
        <f t="shared" si="83"/>
        <v>0</v>
      </c>
      <c r="J2689" s="3" t="s">
        <v>4603</v>
      </c>
    </row>
    <row r="2690" spans="1:10" ht="25.5">
      <c r="A2690" s="3" t="s">
        <v>1811</v>
      </c>
      <c r="B2690" s="3" t="s">
        <v>3553</v>
      </c>
      <c r="C2690" s="4">
        <v>266</v>
      </c>
      <c r="D2690" s="3" t="s">
        <v>111</v>
      </c>
      <c r="E2690" s="3" t="s">
        <v>18</v>
      </c>
      <c r="F2690" s="5">
        <v>5886.54</v>
      </c>
      <c r="G2690" s="5">
        <v>0</v>
      </c>
      <c r="H2690" s="5">
        <f t="shared" si="82"/>
        <v>-5886.54</v>
      </c>
      <c r="I2690" s="9">
        <f t="shared" si="83"/>
        <v>-1</v>
      </c>
      <c r="J2690" s="3" t="s">
        <v>4603</v>
      </c>
    </row>
    <row r="2691" spans="1:10" ht="25.5">
      <c r="A2691" s="3" t="s">
        <v>1811</v>
      </c>
      <c r="B2691" s="3" t="s">
        <v>3554</v>
      </c>
      <c r="C2691" s="4">
        <v>31</v>
      </c>
      <c r="D2691" s="3" t="s">
        <v>172</v>
      </c>
      <c r="E2691" s="3" t="s">
        <v>13</v>
      </c>
      <c r="F2691" s="5">
        <v>17668.919999999998</v>
      </c>
      <c r="G2691" s="5">
        <v>5890.92</v>
      </c>
      <c r="H2691" s="5">
        <f t="shared" ref="H2691:H2754" si="84">G2691-F2691</f>
        <v>-11777.999999999998</v>
      </c>
      <c r="I2691" s="9">
        <f t="shared" ref="I2691:I2754" si="85">IFERROR(G2691/F2691-1,0)</f>
        <v>-0.66659422307645277</v>
      </c>
      <c r="J2691" s="3" t="s">
        <v>4603</v>
      </c>
    </row>
    <row r="2692" spans="1:10" ht="25.5">
      <c r="A2692" s="3" t="s">
        <v>1811</v>
      </c>
      <c r="B2692" s="3" t="s">
        <v>3555</v>
      </c>
      <c r="C2692" s="4">
        <v>53</v>
      </c>
      <c r="D2692" s="3" t="s">
        <v>340</v>
      </c>
      <c r="E2692" s="3" t="s">
        <v>13</v>
      </c>
      <c r="F2692" s="5">
        <v>21881.279999999999</v>
      </c>
      <c r="G2692" s="5">
        <v>6442.17</v>
      </c>
      <c r="H2692" s="5">
        <f t="shared" si="84"/>
        <v>-15439.109999999999</v>
      </c>
      <c r="I2692" s="9">
        <f t="shared" si="85"/>
        <v>-0.70558532224805859</v>
      </c>
      <c r="J2692" s="3" t="s">
        <v>4603</v>
      </c>
    </row>
    <row r="2693" spans="1:10">
      <c r="A2693" s="3" t="s">
        <v>1811</v>
      </c>
      <c r="B2693" s="3" t="s">
        <v>3556</v>
      </c>
      <c r="C2693" s="4">
        <v>15</v>
      </c>
      <c r="D2693" s="3" t="s">
        <v>33</v>
      </c>
      <c r="E2693" s="3" t="s">
        <v>13</v>
      </c>
      <c r="F2693" s="5">
        <v>94036.68</v>
      </c>
      <c r="G2693" s="5">
        <v>0</v>
      </c>
      <c r="H2693" s="5">
        <f t="shared" si="84"/>
        <v>-94036.68</v>
      </c>
      <c r="I2693" s="9">
        <f t="shared" si="85"/>
        <v>-1</v>
      </c>
      <c r="J2693" s="3" t="s">
        <v>4603</v>
      </c>
    </row>
    <row r="2694" spans="1:10" ht="25.5">
      <c r="A2694" s="3" t="s">
        <v>1811</v>
      </c>
      <c r="B2694" s="3" t="s">
        <v>3557</v>
      </c>
      <c r="C2694" s="4">
        <v>296</v>
      </c>
      <c r="D2694" s="3" t="s">
        <v>137</v>
      </c>
      <c r="E2694" s="3" t="s">
        <v>18</v>
      </c>
      <c r="F2694" s="5">
        <v>610.44000000000005</v>
      </c>
      <c r="G2694" s="5">
        <v>0</v>
      </c>
      <c r="H2694" s="5">
        <f t="shared" si="84"/>
        <v>-610.44000000000005</v>
      </c>
      <c r="I2694" s="9">
        <f t="shared" si="85"/>
        <v>-1</v>
      </c>
      <c r="J2694" s="3" t="s">
        <v>4603</v>
      </c>
    </row>
    <row r="2695" spans="1:10" ht="25.5">
      <c r="A2695" s="3" t="s">
        <v>1811</v>
      </c>
      <c r="B2695" s="3" t="s">
        <v>3558</v>
      </c>
      <c r="C2695" s="4">
        <v>337</v>
      </c>
      <c r="D2695" s="3" t="s">
        <v>218</v>
      </c>
      <c r="E2695" s="3" t="s">
        <v>13</v>
      </c>
      <c r="F2695" s="5">
        <v>6485.76</v>
      </c>
      <c r="G2695" s="5">
        <v>0</v>
      </c>
      <c r="H2695" s="5">
        <f t="shared" si="84"/>
        <v>-6485.76</v>
      </c>
      <c r="I2695" s="9">
        <f t="shared" si="85"/>
        <v>-1</v>
      </c>
      <c r="J2695" s="3" t="s">
        <v>4604</v>
      </c>
    </row>
    <row r="2696" spans="1:10" ht="25.5">
      <c r="A2696" s="3" t="s">
        <v>1811</v>
      </c>
      <c r="B2696" s="3" t="s">
        <v>3559</v>
      </c>
      <c r="C2696" s="4">
        <v>218</v>
      </c>
      <c r="D2696" s="3" t="s">
        <v>155</v>
      </c>
      <c r="E2696" s="3" t="s">
        <v>13</v>
      </c>
      <c r="F2696" s="5">
        <v>6154.8</v>
      </c>
      <c r="G2696" s="5">
        <v>0</v>
      </c>
      <c r="H2696" s="5">
        <f t="shared" si="84"/>
        <v>-6154.8</v>
      </c>
      <c r="I2696" s="9">
        <f t="shared" si="85"/>
        <v>-1</v>
      </c>
      <c r="J2696" s="3" t="s">
        <v>4603</v>
      </c>
    </row>
    <row r="2697" spans="1:10" ht="25.5">
      <c r="A2697" s="3" t="s">
        <v>1811</v>
      </c>
      <c r="B2697" s="3" t="s">
        <v>3560</v>
      </c>
      <c r="C2697" s="4">
        <v>53</v>
      </c>
      <c r="D2697" s="3" t="s">
        <v>340</v>
      </c>
      <c r="E2697" s="3" t="s">
        <v>13</v>
      </c>
      <c r="F2697" s="5">
        <v>63221.279999999999</v>
      </c>
      <c r="G2697" s="5">
        <v>76857.72</v>
      </c>
      <c r="H2697" s="5">
        <f t="shared" si="84"/>
        <v>13636.440000000002</v>
      </c>
      <c r="I2697" s="9">
        <f t="shared" si="85"/>
        <v>0.21569382967254058</v>
      </c>
      <c r="J2697" s="3" t="s">
        <v>4603</v>
      </c>
    </row>
    <row r="2698" spans="1:10">
      <c r="A2698" s="3" t="s">
        <v>1811</v>
      </c>
      <c r="B2698" s="3" t="s">
        <v>3561</v>
      </c>
      <c r="C2698" s="4">
        <v>232</v>
      </c>
      <c r="D2698" s="3" t="s">
        <v>95</v>
      </c>
      <c r="E2698" s="3" t="s">
        <v>13</v>
      </c>
      <c r="F2698" s="5">
        <v>0</v>
      </c>
      <c r="G2698" s="5">
        <v>7035.48</v>
      </c>
      <c r="H2698" s="5">
        <f t="shared" si="84"/>
        <v>7035.48</v>
      </c>
      <c r="I2698" s="9">
        <f t="shared" si="85"/>
        <v>0</v>
      </c>
      <c r="J2698" s="3" t="s">
        <v>4603</v>
      </c>
    </row>
    <row r="2699" spans="1:10" ht="25.5">
      <c r="A2699" s="3" t="s">
        <v>1811</v>
      </c>
      <c r="B2699" s="3" t="s">
        <v>3562</v>
      </c>
      <c r="C2699" s="4">
        <v>321</v>
      </c>
      <c r="D2699" s="3" t="s">
        <v>125</v>
      </c>
      <c r="E2699" s="3" t="s">
        <v>22</v>
      </c>
      <c r="F2699" s="5">
        <v>0</v>
      </c>
      <c r="G2699" s="5">
        <v>12708.3</v>
      </c>
      <c r="H2699" s="5">
        <f t="shared" si="84"/>
        <v>12708.3</v>
      </c>
      <c r="I2699" s="9">
        <f t="shared" si="85"/>
        <v>0</v>
      </c>
      <c r="J2699" s="3" t="s">
        <v>4603</v>
      </c>
    </row>
    <row r="2700" spans="1:10" ht="38.25">
      <c r="A2700" s="3" t="s">
        <v>1811</v>
      </c>
      <c r="B2700" s="3" t="s">
        <v>3563</v>
      </c>
      <c r="C2700" s="4">
        <v>333</v>
      </c>
      <c r="D2700" s="3" t="s">
        <v>1881</v>
      </c>
      <c r="E2700" s="3" t="s">
        <v>22</v>
      </c>
      <c r="F2700" s="5">
        <v>0</v>
      </c>
      <c r="G2700" s="5">
        <v>14915.04</v>
      </c>
      <c r="H2700" s="5">
        <f t="shared" si="84"/>
        <v>14915.04</v>
      </c>
      <c r="I2700" s="9">
        <f t="shared" si="85"/>
        <v>0</v>
      </c>
      <c r="J2700" s="3" t="s">
        <v>4603</v>
      </c>
    </row>
    <row r="2701" spans="1:10" ht="25.5">
      <c r="A2701" s="3" t="s">
        <v>1811</v>
      </c>
      <c r="B2701" s="3" t="s">
        <v>3564</v>
      </c>
      <c r="C2701" s="4">
        <v>208</v>
      </c>
      <c r="D2701" s="3" t="s">
        <v>58</v>
      </c>
      <c r="E2701" s="3" t="s">
        <v>13</v>
      </c>
      <c r="F2701" s="5">
        <v>3839.4</v>
      </c>
      <c r="G2701" s="5">
        <v>0</v>
      </c>
      <c r="H2701" s="5">
        <f t="shared" si="84"/>
        <v>-3839.4</v>
      </c>
      <c r="I2701" s="9">
        <f t="shared" si="85"/>
        <v>-1</v>
      </c>
      <c r="J2701" s="3" t="s">
        <v>4603</v>
      </c>
    </row>
    <row r="2702" spans="1:10" ht="25.5">
      <c r="A2702" s="3" t="s">
        <v>1811</v>
      </c>
      <c r="B2702" s="3" t="s">
        <v>3565</v>
      </c>
      <c r="C2702" s="4">
        <v>53</v>
      </c>
      <c r="D2702" s="3" t="s">
        <v>340</v>
      </c>
      <c r="E2702" s="3" t="s">
        <v>13</v>
      </c>
      <c r="F2702" s="5">
        <v>3266.03</v>
      </c>
      <c r="G2702" s="5">
        <v>0</v>
      </c>
      <c r="H2702" s="5">
        <f t="shared" si="84"/>
        <v>-3266.03</v>
      </c>
      <c r="I2702" s="9">
        <f t="shared" si="85"/>
        <v>-1</v>
      </c>
      <c r="J2702" s="3" t="s">
        <v>4603</v>
      </c>
    </row>
    <row r="2703" spans="1:10">
      <c r="A2703" s="3" t="s">
        <v>1811</v>
      </c>
      <c r="B2703" s="3" t="s">
        <v>3566</v>
      </c>
      <c r="C2703" s="4">
        <v>15</v>
      </c>
      <c r="D2703" s="3" t="s">
        <v>33</v>
      </c>
      <c r="E2703" s="3" t="s">
        <v>13</v>
      </c>
      <c r="F2703" s="5">
        <v>9594.48</v>
      </c>
      <c r="G2703" s="5">
        <v>0</v>
      </c>
      <c r="H2703" s="5">
        <f t="shared" si="84"/>
        <v>-9594.48</v>
      </c>
      <c r="I2703" s="9">
        <f t="shared" si="85"/>
        <v>-1</v>
      </c>
      <c r="J2703" s="3" t="s">
        <v>4603</v>
      </c>
    </row>
    <row r="2704" spans="1:10" ht="25.5">
      <c r="A2704" s="3" t="s">
        <v>1811</v>
      </c>
      <c r="B2704" s="3" t="s">
        <v>3567</v>
      </c>
      <c r="C2704" s="4">
        <v>337</v>
      </c>
      <c r="D2704" s="3" t="s">
        <v>218</v>
      </c>
      <c r="E2704" s="3" t="s">
        <v>13</v>
      </c>
      <c r="F2704" s="5">
        <v>7538.52</v>
      </c>
      <c r="G2704" s="5">
        <v>8229</v>
      </c>
      <c r="H2704" s="5">
        <f t="shared" si="84"/>
        <v>690.47999999999956</v>
      </c>
      <c r="I2704" s="9">
        <f t="shared" si="85"/>
        <v>9.1593575396762272E-2</v>
      </c>
      <c r="J2704" s="3" t="s">
        <v>4603</v>
      </c>
    </row>
    <row r="2705" spans="1:10">
      <c r="A2705" s="3" t="s">
        <v>1811</v>
      </c>
      <c r="B2705" s="3" t="s">
        <v>3568</v>
      </c>
      <c r="C2705" s="4">
        <v>232</v>
      </c>
      <c r="D2705" s="3" t="s">
        <v>95</v>
      </c>
      <c r="E2705" s="3" t="s">
        <v>13</v>
      </c>
      <c r="F2705" s="5">
        <v>27041.759999999998</v>
      </c>
      <c r="G2705" s="5">
        <v>27509.825000000001</v>
      </c>
      <c r="H2705" s="5">
        <f t="shared" si="84"/>
        <v>468.06500000000233</v>
      </c>
      <c r="I2705" s="9">
        <f t="shared" si="85"/>
        <v>1.730896953452743E-2</v>
      </c>
      <c r="J2705" s="3" t="s">
        <v>4603</v>
      </c>
    </row>
    <row r="2706" spans="1:10" ht="25.5">
      <c r="A2706" s="3" t="s">
        <v>1811</v>
      </c>
      <c r="B2706" s="3" t="s">
        <v>3569</v>
      </c>
      <c r="C2706" s="4">
        <v>218</v>
      </c>
      <c r="D2706" s="3" t="s">
        <v>155</v>
      </c>
      <c r="E2706" s="3" t="s">
        <v>13</v>
      </c>
      <c r="F2706" s="5">
        <v>8611.4699999999993</v>
      </c>
      <c r="G2706" s="5">
        <v>0</v>
      </c>
      <c r="H2706" s="5">
        <f t="shared" si="84"/>
        <v>-8611.4699999999993</v>
      </c>
      <c r="I2706" s="9">
        <f t="shared" si="85"/>
        <v>-1</v>
      </c>
      <c r="J2706" s="3" t="s">
        <v>4603</v>
      </c>
    </row>
    <row r="2707" spans="1:10" ht="25.5">
      <c r="A2707" s="3" t="s">
        <v>1811</v>
      </c>
      <c r="B2707" s="3" t="s">
        <v>3570</v>
      </c>
      <c r="C2707" s="4">
        <v>208</v>
      </c>
      <c r="D2707" s="3" t="s">
        <v>58</v>
      </c>
      <c r="E2707" s="3" t="s">
        <v>13</v>
      </c>
      <c r="F2707" s="5">
        <v>15291.42</v>
      </c>
      <c r="G2707" s="5">
        <v>4308.84</v>
      </c>
      <c r="H2707" s="5">
        <f t="shared" si="84"/>
        <v>-10982.58</v>
      </c>
      <c r="I2707" s="9">
        <f t="shared" si="85"/>
        <v>-0.71821845191617262</v>
      </c>
      <c r="J2707" s="3" t="s">
        <v>4603</v>
      </c>
    </row>
    <row r="2708" spans="1:10">
      <c r="A2708" s="3" t="s">
        <v>1811</v>
      </c>
      <c r="B2708" s="3" t="s">
        <v>3571</v>
      </c>
      <c r="C2708" s="4">
        <v>217</v>
      </c>
      <c r="D2708" s="3" t="s">
        <v>253</v>
      </c>
      <c r="E2708" s="3" t="s">
        <v>13</v>
      </c>
      <c r="F2708" s="5">
        <v>0</v>
      </c>
      <c r="G2708" s="5">
        <v>25615.26</v>
      </c>
      <c r="H2708" s="5">
        <f t="shared" si="84"/>
        <v>25615.26</v>
      </c>
      <c r="I2708" s="9">
        <f t="shared" si="85"/>
        <v>0</v>
      </c>
      <c r="J2708" s="3" t="s">
        <v>4603</v>
      </c>
    </row>
    <row r="2709" spans="1:10" ht="25.5">
      <c r="A2709" s="3" t="s">
        <v>1811</v>
      </c>
      <c r="B2709" s="3" t="s">
        <v>3572</v>
      </c>
      <c r="C2709" s="4">
        <v>218</v>
      </c>
      <c r="D2709" s="3" t="s">
        <v>155</v>
      </c>
      <c r="E2709" s="3" t="s">
        <v>13</v>
      </c>
      <c r="F2709" s="5">
        <v>3263.28</v>
      </c>
      <c r="G2709" s="5">
        <v>4420.68</v>
      </c>
      <c r="H2709" s="5">
        <f t="shared" si="84"/>
        <v>1157.4000000000001</v>
      </c>
      <c r="I2709" s="9">
        <f t="shared" si="85"/>
        <v>0.35467382510847978</v>
      </c>
      <c r="J2709" s="3" t="s">
        <v>4603</v>
      </c>
    </row>
    <row r="2710" spans="1:10" ht="38.25">
      <c r="A2710" s="3" t="s">
        <v>1811</v>
      </c>
      <c r="B2710" s="3" t="s">
        <v>3573</v>
      </c>
      <c r="C2710" s="4">
        <v>338</v>
      </c>
      <c r="D2710" s="3" t="s">
        <v>2341</v>
      </c>
      <c r="E2710" s="3" t="s">
        <v>22</v>
      </c>
      <c r="F2710" s="5">
        <v>0</v>
      </c>
      <c r="G2710" s="5">
        <v>13680.328</v>
      </c>
      <c r="H2710" s="5">
        <f t="shared" si="84"/>
        <v>13680.328</v>
      </c>
      <c r="I2710" s="9">
        <f t="shared" si="85"/>
        <v>0</v>
      </c>
      <c r="J2710" s="3" t="s">
        <v>4603</v>
      </c>
    </row>
    <row r="2711" spans="1:10" ht="25.5">
      <c r="A2711" s="3" t="s">
        <v>1811</v>
      </c>
      <c r="B2711" s="3" t="s">
        <v>3574</v>
      </c>
      <c r="C2711" s="4">
        <v>261</v>
      </c>
      <c r="D2711" s="3" t="s">
        <v>17</v>
      </c>
      <c r="E2711" s="3" t="s">
        <v>18</v>
      </c>
      <c r="F2711" s="5">
        <v>16341.78</v>
      </c>
      <c r="G2711" s="5">
        <v>0</v>
      </c>
      <c r="H2711" s="5">
        <f t="shared" si="84"/>
        <v>-16341.78</v>
      </c>
      <c r="I2711" s="9">
        <f t="shared" si="85"/>
        <v>-1</v>
      </c>
      <c r="J2711" s="3" t="s">
        <v>4603</v>
      </c>
    </row>
    <row r="2712" spans="1:10" ht="25.5">
      <c r="A2712" s="3" t="s">
        <v>1811</v>
      </c>
      <c r="B2712" s="3" t="s">
        <v>3575</v>
      </c>
      <c r="C2712" s="4">
        <v>266</v>
      </c>
      <c r="D2712" s="3" t="s">
        <v>111</v>
      </c>
      <c r="E2712" s="3" t="s">
        <v>18</v>
      </c>
      <c r="F2712" s="5">
        <v>6517.08</v>
      </c>
      <c r="G2712" s="5">
        <v>0</v>
      </c>
      <c r="H2712" s="5">
        <f t="shared" si="84"/>
        <v>-6517.08</v>
      </c>
      <c r="I2712" s="9">
        <f t="shared" si="85"/>
        <v>-1</v>
      </c>
      <c r="J2712" s="3" t="s">
        <v>4603</v>
      </c>
    </row>
    <row r="2713" spans="1:10" ht="25.5">
      <c r="A2713" s="3" t="s">
        <v>1811</v>
      </c>
      <c r="B2713" s="3" t="s">
        <v>3576</v>
      </c>
      <c r="C2713" s="4">
        <v>53</v>
      </c>
      <c r="D2713" s="3" t="s">
        <v>340</v>
      </c>
      <c r="E2713" s="3" t="s">
        <v>13</v>
      </c>
      <c r="F2713" s="5">
        <v>6730.5</v>
      </c>
      <c r="G2713" s="5">
        <v>0</v>
      </c>
      <c r="H2713" s="5">
        <f t="shared" si="84"/>
        <v>-6730.5</v>
      </c>
      <c r="I2713" s="9">
        <f t="shared" si="85"/>
        <v>-1</v>
      </c>
      <c r="J2713" s="3" t="s">
        <v>4603</v>
      </c>
    </row>
    <row r="2714" spans="1:10" ht="25.5">
      <c r="A2714" s="3" t="s">
        <v>1811</v>
      </c>
      <c r="B2714" s="3" t="s">
        <v>3577</v>
      </c>
      <c r="C2714" s="4">
        <v>218</v>
      </c>
      <c r="D2714" s="3" t="s">
        <v>155</v>
      </c>
      <c r="E2714" s="3" t="s">
        <v>13</v>
      </c>
      <c r="F2714" s="5">
        <v>3959.1</v>
      </c>
      <c r="G2714" s="5">
        <v>0</v>
      </c>
      <c r="H2714" s="5">
        <f t="shared" si="84"/>
        <v>-3959.1</v>
      </c>
      <c r="I2714" s="9">
        <f t="shared" si="85"/>
        <v>-1</v>
      </c>
      <c r="J2714" s="3" t="s">
        <v>4603</v>
      </c>
    </row>
    <row r="2715" spans="1:10" ht="25.5">
      <c r="A2715" s="3" t="s">
        <v>1811</v>
      </c>
      <c r="B2715" s="3" t="s">
        <v>3578</v>
      </c>
      <c r="C2715" s="4">
        <v>39</v>
      </c>
      <c r="D2715" s="3" t="s">
        <v>26</v>
      </c>
      <c r="E2715" s="3" t="s">
        <v>9</v>
      </c>
      <c r="F2715" s="5">
        <v>8518.32</v>
      </c>
      <c r="G2715" s="5">
        <v>0</v>
      </c>
      <c r="H2715" s="5">
        <f t="shared" si="84"/>
        <v>-8518.32</v>
      </c>
      <c r="I2715" s="9">
        <f t="shared" si="85"/>
        <v>-1</v>
      </c>
      <c r="J2715" s="3" t="s">
        <v>4604</v>
      </c>
    </row>
    <row r="2716" spans="1:10" ht="25.5">
      <c r="A2716" s="3" t="s">
        <v>1811</v>
      </c>
      <c r="B2716" s="3" t="s">
        <v>3579</v>
      </c>
      <c r="C2716" s="4">
        <v>19</v>
      </c>
      <c r="D2716" s="3" t="s">
        <v>53</v>
      </c>
      <c r="E2716" s="3" t="s">
        <v>22</v>
      </c>
      <c r="F2716" s="5">
        <v>4487.28</v>
      </c>
      <c r="G2716" s="5">
        <v>3272.52</v>
      </c>
      <c r="H2716" s="5">
        <f t="shared" si="84"/>
        <v>-1214.7599999999998</v>
      </c>
      <c r="I2716" s="9">
        <f t="shared" si="85"/>
        <v>-0.27071187891105519</v>
      </c>
      <c r="J2716" s="3" t="s">
        <v>4603</v>
      </c>
    </row>
    <row r="2717" spans="1:10" ht="25.5">
      <c r="A2717" s="3" t="s">
        <v>1811</v>
      </c>
      <c r="B2717" s="3" t="s">
        <v>3580</v>
      </c>
      <c r="C2717" s="4">
        <v>208</v>
      </c>
      <c r="D2717" s="3" t="s">
        <v>58</v>
      </c>
      <c r="E2717" s="3" t="s">
        <v>13</v>
      </c>
      <c r="F2717" s="5">
        <v>0</v>
      </c>
      <c r="G2717" s="5">
        <v>6625.32</v>
      </c>
      <c r="H2717" s="5">
        <f t="shared" si="84"/>
        <v>6625.32</v>
      </c>
      <c r="I2717" s="9">
        <f t="shared" si="85"/>
        <v>0</v>
      </c>
      <c r="J2717" s="3" t="s">
        <v>4603</v>
      </c>
    </row>
    <row r="2718" spans="1:10" ht="25.5">
      <c r="A2718" s="3" t="s">
        <v>1811</v>
      </c>
      <c r="B2718" s="3" t="s">
        <v>3581</v>
      </c>
      <c r="C2718" s="4">
        <v>218</v>
      </c>
      <c r="D2718" s="3" t="s">
        <v>155</v>
      </c>
      <c r="E2718" s="3" t="s">
        <v>13</v>
      </c>
      <c r="F2718" s="5">
        <v>4657.4399999999996</v>
      </c>
      <c r="G2718" s="5">
        <v>0</v>
      </c>
      <c r="H2718" s="5">
        <f t="shared" si="84"/>
        <v>-4657.4399999999996</v>
      </c>
      <c r="I2718" s="9">
        <f t="shared" si="85"/>
        <v>-1</v>
      </c>
      <c r="J2718" s="3" t="s">
        <v>4604</v>
      </c>
    </row>
    <row r="2719" spans="1:10">
      <c r="A2719" s="3" t="s">
        <v>1811</v>
      </c>
      <c r="B2719" s="3" t="s">
        <v>3582</v>
      </c>
      <c r="C2719" s="4">
        <v>315</v>
      </c>
      <c r="D2719" s="3" t="s">
        <v>79</v>
      </c>
      <c r="E2719" s="3" t="s">
        <v>8</v>
      </c>
      <c r="F2719" s="5">
        <v>5766.12</v>
      </c>
      <c r="G2719" s="5">
        <v>0</v>
      </c>
      <c r="H2719" s="5">
        <f t="shared" si="84"/>
        <v>-5766.12</v>
      </c>
      <c r="I2719" s="9">
        <f t="shared" si="85"/>
        <v>-1</v>
      </c>
      <c r="J2719" s="3" t="s">
        <v>4603</v>
      </c>
    </row>
    <row r="2720" spans="1:10" ht="25.5">
      <c r="A2720" s="3" t="s">
        <v>1811</v>
      </c>
      <c r="B2720" s="3" t="s">
        <v>3583</v>
      </c>
      <c r="C2720" s="4">
        <v>321</v>
      </c>
      <c r="D2720" s="3" t="s">
        <v>125</v>
      </c>
      <c r="E2720" s="3" t="s">
        <v>22</v>
      </c>
      <c r="F2720" s="5">
        <v>4265.76</v>
      </c>
      <c r="G2720" s="5">
        <v>20517.66</v>
      </c>
      <c r="H2720" s="5">
        <f t="shared" si="84"/>
        <v>16251.9</v>
      </c>
      <c r="I2720" s="9">
        <f t="shared" si="85"/>
        <v>3.809848655339259</v>
      </c>
      <c r="J2720" s="3" t="s">
        <v>4603</v>
      </c>
    </row>
    <row r="2721" spans="1:10">
      <c r="A2721" s="3" t="s">
        <v>1811</v>
      </c>
      <c r="B2721" s="3" t="s">
        <v>3584</v>
      </c>
      <c r="C2721" s="4">
        <v>231</v>
      </c>
      <c r="D2721" s="3" t="s">
        <v>89</v>
      </c>
      <c r="E2721" s="3" t="s">
        <v>8</v>
      </c>
      <c r="F2721" s="5">
        <v>14047.2</v>
      </c>
      <c r="G2721" s="5">
        <v>25625.040000000001</v>
      </c>
      <c r="H2721" s="5">
        <f t="shared" si="84"/>
        <v>11577.84</v>
      </c>
      <c r="I2721" s="9">
        <f t="shared" si="85"/>
        <v>0.82420980693661372</v>
      </c>
      <c r="J2721" s="3" t="s">
        <v>4603</v>
      </c>
    </row>
    <row r="2722" spans="1:10" ht="25.5">
      <c r="A2722" s="3" t="s">
        <v>1811</v>
      </c>
      <c r="B2722" s="3" t="s">
        <v>3585</v>
      </c>
      <c r="C2722" s="4">
        <v>61</v>
      </c>
      <c r="D2722" s="3" t="s">
        <v>114</v>
      </c>
      <c r="E2722" s="3" t="s">
        <v>30</v>
      </c>
      <c r="F2722" s="5">
        <v>11418.12</v>
      </c>
      <c r="G2722" s="5">
        <v>14890.02</v>
      </c>
      <c r="H2722" s="5">
        <f t="shared" si="84"/>
        <v>3471.8999999999996</v>
      </c>
      <c r="I2722" s="9">
        <f t="shared" si="85"/>
        <v>0.30406932139441523</v>
      </c>
      <c r="J2722" s="3" t="s">
        <v>4603</v>
      </c>
    </row>
    <row r="2723" spans="1:10" ht="25.5">
      <c r="A2723" s="3" t="s">
        <v>1811</v>
      </c>
      <c r="B2723" s="3" t="s">
        <v>3586</v>
      </c>
      <c r="C2723" s="4">
        <v>218</v>
      </c>
      <c r="D2723" s="3" t="s">
        <v>155</v>
      </c>
      <c r="E2723" s="3" t="s">
        <v>13</v>
      </c>
      <c r="F2723" s="5">
        <v>3167.28</v>
      </c>
      <c r="G2723" s="5">
        <v>3302.52</v>
      </c>
      <c r="H2723" s="5">
        <f t="shared" si="84"/>
        <v>135.23999999999978</v>
      </c>
      <c r="I2723" s="9">
        <f t="shared" si="85"/>
        <v>4.2699098279912029E-2</v>
      </c>
      <c r="J2723" s="3" t="s">
        <v>4603</v>
      </c>
    </row>
    <row r="2724" spans="1:10">
      <c r="A2724" s="3" t="s">
        <v>1811</v>
      </c>
      <c r="B2724" s="3" t="s">
        <v>3587</v>
      </c>
      <c r="C2724" s="4">
        <v>231</v>
      </c>
      <c r="D2724" s="3" t="s">
        <v>89</v>
      </c>
      <c r="E2724" s="3" t="s">
        <v>8</v>
      </c>
      <c r="F2724" s="5">
        <v>0</v>
      </c>
      <c r="G2724" s="5">
        <v>3102.66</v>
      </c>
      <c r="H2724" s="5">
        <f t="shared" si="84"/>
        <v>3102.66</v>
      </c>
      <c r="I2724" s="9">
        <f t="shared" si="85"/>
        <v>0</v>
      </c>
      <c r="J2724" s="3" t="s">
        <v>4604</v>
      </c>
    </row>
    <row r="2725" spans="1:10" ht="25.5">
      <c r="A2725" s="3" t="s">
        <v>1811</v>
      </c>
      <c r="B2725" s="3" t="s">
        <v>3588</v>
      </c>
      <c r="C2725" s="4">
        <v>317</v>
      </c>
      <c r="D2725" s="3" t="s">
        <v>54</v>
      </c>
      <c r="E2725" s="3" t="s">
        <v>18</v>
      </c>
      <c r="F2725" s="5">
        <v>0</v>
      </c>
      <c r="G2725" s="5">
        <v>9037.26</v>
      </c>
      <c r="H2725" s="5">
        <f t="shared" si="84"/>
        <v>9037.26</v>
      </c>
      <c r="I2725" s="9">
        <f t="shared" si="85"/>
        <v>0</v>
      </c>
      <c r="J2725" s="3" t="s">
        <v>4603</v>
      </c>
    </row>
    <row r="2726" spans="1:10">
      <c r="A2726" s="3" t="s">
        <v>1811</v>
      </c>
      <c r="B2726" s="3" t="s">
        <v>3589</v>
      </c>
      <c r="C2726" s="4">
        <v>232</v>
      </c>
      <c r="D2726" s="3" t="s">
        <v>95</v>
      </c>
      <c r="E2726" s="3" t="s">
        <v>13</v>
      </c>
      <c r="F2726" s="5">
        <v>0</v>
      </c>
      <c r="G2726" s="5">
        <v>3476.76</v>
      </c>
      <c r="H2726" s="5">
        <f t="shared" si="84"/>
        <v>3476.76</v>
      </c>
      <c r="I2726" s="9">
        <f t="shared" si="85"/>
        <v>0</v>
      </c>
      <c r="J2726" s="3" t="s">
        <v>4603</v>
      </c>
    </row>
    <row r="2727" spans="1:10" ht="51">
      <c r="A2727" s="3" t="s">
        <v>1811</v>
      </c>
      <c r="B2727" s="3" t="s">
        <v>3590</v>
      </c>
      <c r="C2727" s="4">
        <v>282</v>
      </c>
      <c r="D2727" s="3" t="s">
        <v>298</v>
      </c>
      <c r="E2727" s="3" t="s">
        <v>9</v>
      </c>
      <c r="F2727" s="5">
        <v>2111.52</v>
      </c>
      <c r="G2727" s="5">
        <v>8788.11</v>
      </c>
      <c r="H2727" s="5">
        <f t="shared" si="84"/>
        <v>6676.59</v>
      </c>
      <c r="I2727" s="9">
        <f t="shared" si="85"/>
        <v>3.1619828370084111</v>
      </c>
      <c r="J2727" s="3" t="s">
        <v>4604</v>
      </c>
    </row>
    <row r="2728" spans="1:10" ht="25.5">
      <c r="A2728" s="3" t="s">
        <v>1811</v>
      </c>
      <c r="B2728" s="3" t="s">
        <v>3591</v>
      </c>
      <c r="C2728" s="4">
        <v>19</v>
      </c>
      <c r="D2728" s="3" t="s">
        <v>53</v>
      </c>
      <c r="E2728" s="3" t="s">
        <v>22</v>
      </c>
      <c r="F2728" s="5">
        <v>7726.8</v>
      </c>
      <c r="G2728" s="5">
        <v>0</v>
      </c>
      <c r="H2728" s="5">
        <f t="shared" si="84"/>
        <v>-7726.8</v>
      </c>
      <c r="I2728" s="9">
        <f t="shared" si="85"/>
        <v>-1</v>
      </c>
      <c r="J2728" s="3" t="s">
        <v>4603</v>
      </c>
    </row>
    <row r="2729" spans="1:10" ht="25.5">
      <c r="A2729" s="3" t="s">
        <v>1811</v>
      </c>
      <c r="B2729" s="3" t="s">
        <v>3592</v>
      </c>
      <c r="C2729" s="4">
        <v>302</v>
      </c>
      <c r="D2729" s="3" t="s">
        <v>303</v>
      </c>
      <c r="E2729" s="3" t="s">
        <v>30</v>
      </c>
      <c r="F2729" s="5">
        <v>2879.52</v>
      </c>
      <c r="G2729" s="5">
        <v>0</v>
      </c>
      <c r="H2729" s="5">
        <f t="shared" si="84"/>
        <v>-2879.52</v>
      </c>
      <c r="I2729" s="9">
        <f t="shared" si="85"/>
        <v>-1</v>
      </c>
      <c r="J2729" s="3" t="s">
        <v>4603</v>
      </c>
    </row>
    <row r="2730" spans="1:10" ht="38.25">
      <c r="A2730" s="3" t="s">
        <v>1811</v>
      </c>
      <c r="B2730" s="3" t="s">
        <v>3593</v>
      </c>
      <c r="C2730" s="4">
        <v>143</v>
      </c>
      <c r="D2730" s="3" t="s">
        <v>21</v>
      </c>
      <c r="E2730" s="3" t="s">
        <v>22</v>
      </c>
      <c r="F2730" s="5">
        <v>0</v>
      </c>
      <c r="G2730" s="5">
        <v>10236.48</v>
      </c>
      <c r="H2730" s="5">
        <f t="shared" si="84"/>
        <v>10236.48</v>
      </c>
      <c r="I2730" s="9">
        <f t="shared" si="85"/>
        <v>0</v>
      </c>
      <c r="J2730" s="3" t="s">
        <v>4603</v>
      </c>
    </row>
    <row r="2731" spans="1:10" ht="38.25">
      <c r="A2731" s="3" t="s">
        <v>1811</v>
      </c>
      <c r="B2731" s="3" t="s">
        <v>3594</v>
      </c>
      <c r="C2731" s="4">
        <v>292</v>
      </c>
      <c r="D2731" s="3" t="s">
        <v>619</v>
      </c>
      <c r="E2731" s="3" t="s">
        <v>30</v>
      </c>
      <c r="F2731" s="5">
        <v>4083.48</v>
      </c>
      <c r="G2731" s="5">
        <v>0</v>
      </c>
      <c r="H2731" s="5">
        <f t="shared" si="84"/>
        <v>-4083.48</v>
      </c>
      <c r="I2731" s="9">
        <f t="shared" si="85"/>
        <v>-1</v>
      </c>
      <c r="J2731" s="3" t="s">
        <v>4604</v>
      </c>
    </row>
    <row r="2732" spans="1:10" ht="25.5">
      <c r="A2732" s="3" t="s">
        <v>1811</v>
      </c>
      <c r="B2732" s="3" t="s">
        <v>3595</v>
      </c>
      <c r="C2732" s="4">
        <v>266</v>
      </c>
      <c r="D2732" s="3" t="s">
        <v>111</v>
      </c>
      <c r="E2732" s="3" t="s">
        <v>18</v>
      </c>
      <c r="F2732" s="5">
        <v>12271.77</v>
      </c>
      <c r="G2732" s="5">
        <v>0</v>
      </c>
      <c r="H2732" s="5">
        <f t="shared" si="84"/>
        <v>-12271.77</v>
      </c>
      <c r="I2732" s="9">
        <f t="shared" si="85"/>
        <v>-1</v>
      </c>
      <c r="J2732" s="3" t="s">
        <v>4603</v>
      </c>
    </row>
    <row r="2733" spans="1:10" ht="25.5">
      <c r="A2733" s="3" t="s">
        <v>1811</v>
      </c>
      <c r="B2733" s="3" t="s">
        <v>3596</v>
      </c>
      <c r="C2733" s="4">
        <v>315</v>
      </c>
      <c r="D2733" s="3" t="s">
        <v>79</v>
      </c>
      <c r="E2733" s="3" t="s">
        <v>8</v>
      </c>
      <c r="F2733" s="5">
        <v>75103.679999999993</v>
      </c>
      <c r="G2733" s="5">
        <v>0</v>
      </c>
      <c r="H2733" s="5">
        <f t="shared" si="84"/>
        <v>-75103.679999999993</v>
      </c>
      <c r="I2733" s="9">
        <f t="shared" si="85"/>
        <v>-1</v>
      </c>
      <c r="J2733" s="3" t="s">
        <v>4603</v>
      </c>
    </row>
    <row r="2734" spans="1:10" ht="25.5">
      <c r="A2734" s="3" t="s">
        <v>1811</v>
      </c>
      <c r="B2734" s="3" t="s">
        <v>3597</v>
      </c>
      <c r="C2734" s="4">
        <v>53</v>
      </c>
      <c r="D2734" s="3" t="s">
        <v>340</v>
      </c>
      <c r="E2734" s="3" t="s">
        <v>13</v>
      </c>
      <c r="F2734" s="5">
        <v>13485.48</v>
      </c>
      <c r="G2734" s="5">
        <v>0</v>
      </c>
      <c r="H2734" s="5">
        <f t="shared" si="84"/>
        <v>-13485.48</v>
      </c>
      <c r="I2734" s="9">
        <f t="shared" si="85"/>
        <v>-1</v>
      </c>
      <c r="J2734" s="3" t="s">
        <v>4603</v>
      </c>
    </row>
    <row r="2735" spans="1:10" ht="38.25">
      <c r="A2735" s="3" t="s">
        <v>1811</v>
      </c>
      <c r="B2735" s="3" t="s">
        <v>3598</v>
      </c>
      <c r="C2735" s="4">
        <v>34</v>
      </c>
      <c r="D2735" s="3" t="s">
        <v>136</v>
      </c>
      <c r="E2735" s="3" t="s">
        <v>30</v>
      </c>
      <c r="F2735" s="5">
        <v>3707.46</v>
      </c>
      <c r="G2735" s="5">
        <v>0</v>
      </c>
      <c r="H2735" s="5">
        <f t="shared" si="84"/>
        <v>-3707.46</v>
      </c>
      <c r="I2735" s="9">
        <f t="shared" si="85"/>
        <v>-1</v>
      </c>
      <c r="J2735" s="3" t="s">
        <v>4603</v>
      </c>
    </row>
    <row r="2736" spans="1:10" ht="25.5">
      <c r="A2736" s="3" t="s">
        <v>1811</v>
      </c>
      <c r="B2736" s="3" t="s">
        <v>3599</v>
      </c>
      <c r="C2736" s="4">
        <v>218</v>
      </c>
      <c r="D2736" s="3" t="s">
        <v>155</v>
      </c>
      <c r="E2736" s="3" t="s">
        <v>13</v>
      </c>
      <c r="F2736" s="5">
        <v>3227.28</v>
      </c>
      <c r="G2736" s="5">
        <v>0</v>
      </c>
      <c r="H2736" s="5">
        <f t="shared" si="84"/>
        <v>-3227.28</v>
      </c>
      <c r="I2736" s="9">
        <f t="shared" si="85"/>
        <v>-1</v>
      </c>
      <c r="J2736" s="3" t="s">
        <v>4603</v>
      </c>
    </row>
    <row r="2737" spans="1:10" ht="25.5">
      <c r="A2737" s="3" t="s">
        <v>1811</v>
      </c>
      <c r="B2737" s="3" t="s">
        <v>3600</v>
      </c>
      <c r="C2737" s="4">
        <v>232</v>
      </c>
      <c r="D2737" s="3" t="s">
        <v>95</v>
      </c>
      <c r="E2737" s="3" t="s">
        <v>13</v>
      </c>
      <c r="F2737" s="5">
        <v>0</v>
      </c>
      <c r="G2737" s="5">
        <v>19504.68</v>
      </c>
      <c r="H2737" s="5">
        <f t="shared" si="84"/>
        <v>19504.68</v>
      </c>
      <c r="I2737" s="9">
        <f t="shared" si="85"/>
        <v>0</v>
      </c>
      <c r="J2737" s="3" t="s">
        <v>4603</v>
      </c>
    </row>
    <row r="2738" spans="1:10" ht="25.5">
      <c r="A2738" s="3" t="s">
        <v>1811</v>
      </c>
      <c r="B2738" s="3" t="s">
        <v>3601</v>
      </c>
      <c r="C2738" s="4">
        <v>61</v>
      </c>
      <c r="D2738" s="3" t="s">
        <v>114</v>
      </c>
      <c r="E2738" s="3" t="s">
        <v>30</v>
      </c>
      <c r="F2738" s="5">
        <v>9729.6</v>
      </c>
      <c r="G2738" s="5">
        <v>0</v>
      </c>
      <c r="H2738" s="5">
        <f t="shared" si="84"/>
        <v>-9729.6</v>
      </c>
      <c r="I2738" s="9">
        <f t="shared" si="85"/>
        <v>-1</v>
      </c>
      <c r="J2738" s="3" t="s">
        <v>4603</v>
      </c>
    </row>
    <row r="2739" spans="1:10" ht="25.5">
      <c r="A2739" s="3" t="s">
        <v>1811</v>
      </c>
      <c r="B2739" s="3" t="s">
        <v>3602</v>
      </c>
      <c r="C2739" s="4">
        <v>334</v>
      </c>
      <c r="D2739" s="3" t="s">
        <v>585</v>
      </c>
      <c r="E2739" s="3" t="s">
        <v>8</v>
      </c>
      <c r="F2739" s="5">
        <v>5616.42</v>
      </c>
      <c r="G2739" s="5">
        <v>0</v>
      </c>
      <c r="H2739" s="5">
        <f t="shared" si="84"/>
        <v>-5616.42</v>
      </c>
      <c r="I2739" s="9">
        <f t="shared" si="85"/>
        <v>-1</v>
      </c>
      <c r="J2739" s="3" t="s">
        <v>4603</v>
      </c>
    </row>
    <row r="2740" spans="1:10" ht="25.5">
      <c r="A2740" s="3" t="s">
        <v>1811</v>
      </c>
      <c r="B2740" s="3" t="s">
        <v>3603</v>
      </c>
      <c r="C2740" s="4">
        <v>261</v>
      </c>
      <c r="D2740" s="3" t="s">
        <v>17</v>
      </c>
      <c r="E2740" s="3" t="s">
        <v>18</v>
      </c>
      <c r="F2740" s="5">
        <v>2120.2800000000002</v>
      </c>
      <c r="G2740" s="5">
        <v>3816.8690000000001</v>
      </c>
      <c r="H2740" s="5">
        <f t="shared" si="84"/>
        <v>1696.5889999999999</v>
      </c>
      <c r="I2740" s="9">
        <f t="shared" si="85"/>
        <v>0.80017214707491457</v>
      </c>
      <c r="J2740" s="3" t="s">
        <v>4603</v>
      </c>
    </row>
    <row r="2741" spans="1:10" ht="25.5">
      <c r="A2741" s="3" t="s">
        <v>1811</v>
      </c>
      <c r="B2741" s="3" t="s">
        <v>3604</v>
      </c>
      <c r="C2741" s="4">
        <v>267</v>
      </c>
      <c r="D2741" s="3" t="s">
        <v>417</v>
      </c>
      <c r="E2741" s="3" t="s">
        <v>13</v>
      </c>
      <c r="F2741" s="5">
        <v>24792.9</v>
      </c>
      <c r="G2741" s="5">
        <v>17021.52</v>
      </c>
      <c r="H2741" s="5">
        <f t="shared" si="84"/>
        <v>-7771.380000000001</v>
      </c>
      <c r="I2741" s="9">
        <f t="shared" si="85"/>
        <v>-0.31345183500114959</v>
      </c>
      <c r="J2741" s="3" t="s">
        <v>4604</v>
      </c>
    </row>
    <row r="2742" spans="1:10" ht="25.5">
      <c r="A2742" s="3" t="s">
        <v>1811</v>
      </c>
      <c r="B2742" s="3" t="s">
        <v>3605</v>
      </c>
      <c r="C2742" s="4">
        <v>334</v>
      </c>
      <c r="D2742" s="3" t="s">
        <v>585</v>
      </c>
      <c r="E2742" s="3" t="s">
        <v>8</v>
      </c>
      <c r="F2742" s="5">
        <v>12700.89</v>
      </c>
      <c r="G2742" s="5">
        <v>11076.18</v>
      </c>
      <c r="H2742" s="5">
        <f t="shared" si="84"/>
        <v>-1624.7099999999991</v>
      </c>
      <c r="I2742" s="9">
        <f t="shared" si="85"/>
        <v>-0.12792095672035575</v>
      </c>
      <c r="J2742" s="3" t="s">
        <v>4603</v>
      </c>
    </row>
    <row r="2743" spans="1:10" ht="38.25">
      <c r="A2743" s="3" t="s">
        <v>1811</v>
      </c>
      <c r="B2743" s="3" t="s">
        <v>3606</v>
      </c>
      <c r="C2743" s="4">
        <v>45</v>
      </c>
      <c r="D2743" s="3" t="s">
        <v>16</v>
      </c>
      <c r="E2743" s="3" t="s">
        <v>8</v>
      </c>
      <c r="F2743" s="5">
        <v>27937.59</v>
      </c>
      <c r="G2743" s="5">
        <v>38318.22</v>
      </c>
      <c r="H2743" s="5">
        <f t="shared" si="84"/>
        <v>10380.630000000001</v>
      </c>
      <c r="I2743" s="9">
        <f t="shared" si="85"/>
        <v>0.37156497750879725</v>
      </c>
      <c r="J2743" s="3" t="s">
        <v>4603</v>
      </c>
    </row>
    <row r="2744" spans="1:10" ht="25.5">
      <c r="A2744" s="3" t="s">
        <v>1811</v>
      </c>
      <c r="B2744" s="3" t="s">
        <v>3607</v>
      </c>
      <c r="C2744" s="4">
        <v>187</v>
      </c>
      <c r="D2744" s="3" t="s">
        <v>460</v>
      </c>
      <c r="E2744" s="3" t="s">
        <v>8</v>
      </c>
      <c r="F2744" s="5">
        <v>17229.36</v>
      </c>
      <c r="G2744" s="5">
        <v>15143.79</v>
      </c>
      <c r="H2744" s="5">
        <f t="shared" si="84"/>
        <v>-2085.5699999999997</v>
      </c>
      <c r="I2744" s="9">
        <f t="shared" si="85"/>
        <v>-0.12104744459457573</v>
      </c>
      <c r="J2744" s="3" t="s">
        <v>4603</v>
      </c>
    </row>
    <row r="2745" spans="1:10" ht="25.5">
      <c r="A2745" s="3" t="s">
        <v>1811</v>
      </c>
      <c r="B2745" s="3" t="s">
        <v>3608</v>
      </c>
      <c r="C2745" s="4">
        <v>299</v>
      </c>
      <c r="D2745" s="3" t="s">
        <v>246</v>
      </c>
      <c r="E2745" s="3" t="s">
        <v>30</v>
      </c>
      <c r="F2745" s="5">
        <v>13701.18</v>
      </c>
      <c r="G2745" s="5">
        <v>28057.29</v>
      </c>
      <c r="H2745" s="5">
        <f t="shared" si="84"/>
        <v>14356.11</v>
      </c>
      <c r="I2745" s="9">
        <f t="shared" si="85"/>
        <v>1.0478009923232889</v>
      </c>
      <c r="J2745" s="3" t="s">
        <v>4603</v>
      </c>
    </row>
    <row r="2746" spans="1:10" ht="25.5">
      <c r="A2746" s="3" t="s">
        <v>1811</v>
      </c>
      <c r="B2746" s="3" t="s">
        <v>3609</v>
      </c>
      <c r="C2746" s="4">
        <v>328</v>
      </c>
      <c r="D2746" s="3" t="s">
        <v>158</v>
      </c>
      <c r="E2746" s="3" t="s">
        <v>22</v>
      </c>
      <c r="F2746" s="5">
        <v>0</v>
      </c>
      <c r="G2746" s="5">
        <v>9614.49</v>
      </c>
      <c r="H2746" s="5">
        <f t="shared" si="84"/>
        <v>9614.49</v>
      </c>
      <c r="I2746" s="9">
        <f t="shared" si="85"/>
        <v>0</v>
      </c>
      <c r="J2746" s="3" t="s">
        <v>4603</v>
      </c>
    </row>
    <row r="2747" spans="1:10" ht="38.25">
      <c r="A2747" s="3" t="s">
        <v>1811</v>
      </c>
      <c r="B2747" s="3" t="s">
        <v>3610</v>
      </c>
      <c r="C2747" s="4">
        <v>34</v>
      </c>
      <c r="D2747" s="3" t="s">
        <v>136</v>
      </c>
      <c r="E2747" s="3" t="s">
        <v>30</v>
      </c>
      <c r="F2747" s="5">
        <v>24502.74</v>
      </c>
      <c r="G2747" s="5">
        <v>0</v>
      </c>
      <c r="H2747" s="5">
        <f t="shared" si="84"/>
        <v>-24502.74</v>
      </c>
      <c r="I2747" s="9">
        <f t="shared" si="85"/>
        <v>-1</v>
      </c>
      <c r="J2747" s="3" t="s">
        <v>4603</v>
      </c>
    </row>
    <row r="2748" spans="1:10">
      <c r="A2748" s="3" t="s">
        <v>1811</v>
      </c>
      <c r="B2748" s="3" t="s">
        <v>3611</v>
      </c>
      <c r="C2748" s="4">
        <v>232</v>
      </c>
      <c r="D2748" s="3" t="s">
        <v>95</v>
      </c>
      <c r="E2748" s="3" t="s">
        <v>13</v>
      </c>
      <c r="F2748" s="5">
        <v>0</v>
      </c>
      <c r="G2748" s="5">
        <v>9938.34</v>
      </c>
      <c r="H2748" s="5">
        <f t="shared" si="84"/>
        <v>9938.34</v>
      </c>
      <c r="I2748" s="9">
        <f t="shared" si="85"/>
        <v>0</v>
      </c>
      <c r="J2748" s="3" t="s">
        <v>4603</v>
      </c>
    </row>
    <row r="2749" spans="1:10" ht="25.5">
      <c r="A2749" s="3" t="s">
        <v>1811</v>
      </c>
      <c r="B2749" s="3" t="s">
        <v>3612</v>
      </c>
      <c r="C2749" s="4">
        <v>194</v>
      </c>
      <c r="D2749" s="3" t="s">
        <v>179</v>
      </c>
      <c r="E2749" s="3" t="s">
        <v>13</v>
      </c>
      <c r="F2749" s="5">
        <v>18139.8</v>
      </c>
      <c r="G2749" s="5">
        <v>0</v>
      </c>
      <c r="H2749" s="5">
        <f t="shared" si="84"/>
        <v>-18139.8</v>
      </c>
      <c r="I2749" s="9">
        <f t="shared" si="85"/>
        <v>-1</v>
      </c>
      <c r="J2749" s="3" t="s">
        <v>4603</v>
      </c>
    </row>
    <row r="2750" spans="1:10" ht="25.5">
      <c r="A2750" s="3" t="s">
        <v>1811</v>
      </c>
      <c r="B2750" s="3" t="s">
        <v>3613</v>
      </c>
      <c r="C2750" s="4">
        <v>19</v>
      </c>
      <c r="D2750" s="3" t="s">
        <v>53</v>
      </c>
      <c r="E2750" s="3" t="s">
        <v>22</v>
      </c>
      <c r="F2750" s="5">
        <v>10342.44</v>
      </c>
      <c r="G2750" s="5">
        <v>11624.52</v>
      </c>
      <c r="H2750" s="5">
        <f t="shared" si="84"/>
        <v>1282.08</v>
      </c>
      <c r="I2750" s="9">
        <f t="shared" si="85"/>
        <v>0.12396301066286108</v>
      </c>
      <c r="J2750" s="3" t="s">
        <v>4603</v>
      </c>
    </row>
    <row r="2751" spans="1:10" ht="25.5">
      <c r="A2751" s="3" t="s">
        <v>1811</v>
      </c>
      <c r="B2751" s="3" t="s">
        <v>3614</v>
      </c>
      <c r="C2751" s="4">
        <v>23</v>
      </c>
      <c r="D2751" s="3" t="s">
        <v>71</v>
      </c>
      <c r="E2751" s="3" t="s">
        <v>8</v>
      </c>
      <c r="F2751" s="5">
        <v>11518.32</v>
      </c>
      <c r="G2751" s="5">
        <v>0</v>
      </c>
      <c r="H2751" s="5">
        <f t="shared" si="84"/>
        <v>-11518.32</v>
      </c>
      <c r="I2751" s="9">
        <f t="shared" si="85"/>
        <v>-1</v>
      </c>
      <c r="J2751" s="3" t="s">
        <v>4603</v>
      </c>
    </row>
    <row r="2752" spans="1:10">
      <c r="A2752" s="3" t="s">
        <v>1811</v>
      </c>
      <c r="B2752" s="3" t="s">
        <v>3615</v>
      </c>
      <c r="C2752" s="4">
        <v>232</v>
      </c>
      <c r="D2752" s="3" t="s">
        <v>95</v>
      </c>
      <c r="E2752" s="3" t="s">
        <v>13</v>
      </c>
      <c r="F2752" s="5">
        <v>0</v>
      </c>
      <c r="G2752" s="5">
        <v>2824.8</v>
      </c>
      <c r="H2752" s="5">
        <f t="shared" si="84"/>
        <v>2824.8</v>
      </c>
      <c r="I2752" s="9">
        <f t="shared" si="85"/>
        <v>0</v>
      </c>
      <c r="J2752" s="3" t="s">
        <v>4603</v>
      </c>
    </row>
    <row r="2753" spans="1:10" ht="25.5">
      <c r="A2753" s="3" t="s">
        <v>1811</v>
      </c>
      <c r="B2753" s="3" t="s">
        <v>3616</v>
      </c>
      <c r="C2753" s="4">
        <v>232</v>
      </c>
      <c r="D2753" s="3" t="s">
        <v>95</v>
      </c>
      <c r="E2753" s="3" t="s">
        <v>13</v>
      </c>
      <c r="F2753" s="5">
        <v>3120.54</v>
      </c>
      <c r="G2753" s="5">
        <v>0</v>
      </c>
      <c r="H2753" s="5">
        <f t="shared" si="84"/>
        <v>-3120.54</v>
      </c>
      <c r="I2753" s="9">
        <f t="shared" si="85"/>
        <v>-1</v>
      </c>
      <c r="J2753" s="3" t="s">
        <v>4603</v>
      </c>
    </row>
    <row r="2754" spans="1:10">
      <c r="A2754" s="3" t="s">
        <v>1811</v>
      </c>
      <c r="B2754" s="3" t="s">
        <v>3617</v>
      </c>
      <c r="C2754" s="4">
        <v>232</v>
      </c>
      <c r="D2754" s="3" t="s">
        <v>95</v>
      </c>
      <c r="E2754" s="3" t="s">
        <v>13</v>
      </c>
      <c r="F2754" s="5">
        <v>0</v>
      </c>
      <c r="G2754" s="5">
        <v>7436.34</v>
      </c>
      <c r="H2754" s="5">
        <f t="shared" si="84"/>
        <v>7436.34</v>
      </c>
      <c r="I2754" s="9">
        <f t="shared" si="85"/>
        <v>0</v>
      </c>
      <c r="J2754" s="3" t="s">
        <v>4603</v>
      </c>
    </row>
    <row r="2755" spans="1:10" ht="51">
      <c r="A2755" s="3" t="s">
        <v>1811</v>
      </c>
      <c r="B2755" s="3" t="s">
        <v>3618</v>
      </c>
      <c r="C2755" s="4">
        <v>282</v>
      </c>
      <c r="D2755" s="3" t="s">
        <v>298</v>
      </c>
      <c r="E2755" s="3" t="s">
        <v>9</v>
      </c>
      <c r="F2755" s="5">
        <v>0</v>
      </c>
      <c r="G2755" s="5">
        <v>4895.16</v>
      </c>
      <c r="H2755" s="5">
        <f t="shared" ref="H2755:H2818" si="86">G2755-F2755</f>
        <v>4895.16</v>
      </c>
      <c r="I2755" s="9">
        <f t="shared" ref="I2755:I2818" si="87">IFERROR(G2755/F2755-1,0)</f>
        <v>0</v>
      </c>
      <c r="J2755" s="3" t="s">
        <v>4603</v>
      </c>
    </row>
    <row r="2756" spans="1:10">
      <c r="A2756" s="3" t="s">
        <v>1811</v>
      </c>
      <c r="B2756" s="3" t="s">
        <v>3619</v>
      </c>
      <c r="C2756" s="4">
        <v>15</v>
      </c>
      <c r="D2756" s="3" t="s">
        <v>33</v>
      </c>
      <c r="E2756" s="3" t="s">
        <v>13</v>
      </c>
      <c r="F2756" s="5">
        <v>1076.8800000000001</v>
      </c>
      <c r="G2756" s="5">
        <v>9618.2999999999993</v>
      </c>
      <c r="H2756" s="5">
        <f t="shared" si="86"/>
        <v>8541.4199999999983</v>
      </c>
      <c r="I2756" s="9">
        <f t="shared" si="87"/>
        <v>7.9316358368620445</v>
      </c>
      <c r="J2756" s="3" t="s">
        <v>4603</v>
      </c>
    </row>
    <row r="2757" spans="1:10" ht="25.5">
      <c r="A2757" s="3" t="s">
        <v>1811</v>
      </c>
      <c r="B2757" s="3" t="s">
        <v>3620</v>
      </c>
      <c r="C2757" s="4">
        <v>61</v>
      </c>
      <c r="D2757" s="3" t="s">
        <v>114</v>
      </c>
      <c r="E2757" s="3" t="s">
        <v>30</v>
      </c>
      <c r="F2757" s="5">
        <v>14361.78</v>
      </c>
      <c r="G2757" s="5">
        <v>25111.56</v>
      </c>
      <c r="H2757" s="5">
        <f t="shared" si="86"/>
        <v>10749.78</v>
      </c>
      <c r="I2757" s="9">
        <f t="shared" si="87"/>
        <v>0.74849914147132179</v>
      </c>
      <c r="J2757" s="3" t="s">
        <v>4603</v>
      </c>
    </row>
    <row r="2758" spans="1:10" ht="25.5">
      <c r="A2758" s="3" t="s">
        <v>1811</v>
      </c>
      <c r="B2758" s="3" t="s">
        <v>3621</v>
      </c>
      <c r="C2758" s="4">
        <v>178</v>
      </c>
      <c r="D2758" s="3" t="s">
        <v>92</v>
      </c>
      <c r="E2758" s="3" t="s">
        <v>8</v>
      </c>
      <c r="F2758" s="5">
        <v>6448.98</v>
      </c>
      <c r="G2758" s="5">
        <v>11438.52</v>
      </c>
      <c r="H2758" s="5">
        <f t="shared" si="86"/>
        <v>4989.5400000000009</v>
      </c>
      <c r="I2758" s="9">
        <f t="shared" si="87"/>
        <v>0.77369444470288351</v>
      </c>
      <c r="J2758" s="3" t="s">
        <v>4603</v>
      </c>
    </row>
    <row r="2759" spans="1:10" ht="25.5">
      <c r="A2759" s="3" t="s">
        <v>1811</v>
      </c>
      <c r="B2759" s="3" t="s">
        <v>3622</v>
      </c>
      <c r="C2759" s="4">
        <v>31</v>
      </c>
      <c r="D2759" s="3" t="s">
        <v>172</v>
      </c>
      <c r="E2759" s="3" t="s">
        <v>13</v>
      </c>
      <c r="F2759" s="5">
        <v>3167.28</v>
      </c>
      <c r="G2759" s="5">
        <v>10322.280000000001</v>
      </c>
      <c r="H2759" s="5">
        <f t="shared" si="86"/>
        <v>7155</v>
      </c>
      <c r="I2759" s="9">
        <f t="shared" si="87"/>
        <v>2.2590361445783134</v>
      </c>
      <c r="J2759" s="3" t="s">
        <v>4604</v>
      </c>
    </row>
    <row r="2760" spans="1:10" ht="25.5">
      <c r="A2760" s="3" t="s">
        <v>1811</v>
      </c>
      <c r="B2760" s="3" t="s">
        <v>3623</v>
      </c>
      <c r="C2760" s="4">
        <v>31</v>
      </c>
      <c r="D2760" s="3" t="s">
        <v>172</v>
      </c>
      <c r="E2760" s="3" t="s">
        <v>13</v>
      </c>
      <c r="F2760" s="5">
        <v>33126.660000000003</v>
      </c>
      <c r="G2760" s="5">
        <v>23609.22</v>
      </c>
      <c r="H2760" s="5">
        <f t="shared" si="86"/>
        <v>-9517.4400000000023</v>
      </c>
      <c r="I2760" s="9">
        <f t="shared" si="87"/>
        <v>-0.2873045456439014</v>
      </c>
      <c r="J2760" s="3" t="s">
        <v>4603</v>
      </c>
    </row>
    <row r="2761" spans="1:10" ht="38.25">
      <c r="A2761" s="3" t="s">
        <v>1811</v>
      </c>
      <c r="B2761" s="3" t="s">
        <v>3624</v>
      </c>
      <c r="C2761" s="4">
        <v>371</v>
      </c>
      <c r="D2761" s="3" t="s">
        <v>29</v>
      </c>
      <c r="E2761" s="3" t="s">
        <v>30</v>
      </c>
      <c r="F2761" s="5">
        <v>4091.07</v>
      </c>
      <c r="G2761" s="5">
        <v>0</v>
      </c>
      <c r="H2761" s="5">
        <f t="shared" si="86"/>
        <v>-4091.07</v>
      </c>
      <c r="I2761" s="9">
        <f t="shared" si="87"/>
        <v>-1</v>
      </c>
      <c r="J2761" s="3" t="s">
        <v>4603</v>
      </c>
    </row>
    <row r="2762" spans="1:10" ht="51">
      <c r="A2762" s="3" t="s">
        <v>1811</v>
      </c>
      <c r="B2762" s="3" t="s">
        <v>3625</v>
      </c>
      <c r="C2762" s="4">
        <v>282</v>
      </c>
      <c r="D2762" s="3" t="s">
        <v>298</v>
      </c>
      <c r="E2762" s="3" t="s">
        <v>9</v>
      </c>
      <c r="F2762" s="5">
        <v>3557.49</v>
      </c>
      <c r="G2762" s="5">
        <v>0</v>
      </c>
      <c r="H2762" s="5">
        <f t="shared" si="86"/>
        <v>-3557.49</v>
      </c>
      <c r="I2762" s="9">
        <f t="shared" si="87"/>
        <v>-1</v>
      </c>
      <c r="J2762" s="3" t="s">
        <v>4603</v>
      </c>
    </row>
    <row r="2763" spans="1:10" ht="25.5">
      <c r="A2763" s="3" t="s">
        <v>1811</v>
      </c>
      <c r="B2763" s="3" t="s">
        <v>3626</v>
      </c>
      <c r="C2763" s="4">
        <v>39</v>
      </c>
      <c r="D2763" s="3" t="s">
        <v>26</v>
      </c>
      <c r="E2763" s="3" t="s">
        <v>9</v>
      </c>
      <c r="F2763" s="5">
        <v>0</v>
      </c>
      <c r="G2763" s="5">
        <v>5648.12</v>
      </c>
      <c r="H2763" s="5">
        <f t="shared" si="86"/>
        <v>5648.12</v>
      </c>
      <c r="I2763" s="9">
        <f t="shared" si="87"/>
        <v>0</v>
      </c>
      <c r="J2763" s="3" t="s">
        <v>4603</v>
      </c>
    </row>
    <row r="2764" spans="1:10" ht="25.5">
      <c r="A2764" s="3" t="s">
        <v>1811</v>
      </c>
      <c r="B2764" s="3" t="s">
        <v>3627</v>
      </c>
      <c r="C2764" s="4">
        <v>317</v>
      </c>
      <c r="D2764" s="3" t="s">
        <v>54</v>
      </c>
      <c r="E2764" s="3" t="s">
        <v>18</v>
      </c>
      <c r="F2764" s="5">
        <v>23074.98</v>
      </c>
      <c r="G2764" s="5">
        <v>10665.66</v>
      </c>
      <c r="H2764" s="5">
        <f t="shared" si="86"/>
        <v>-12409.32</v>
      </c>
      <c r="I2764" s="9">
        <f t="shared" si="87"/>
        <v>-0.53778248128492412</v>
      </c>
      <c r="J2764" s="3" t="s">
        <v>4603</v>
      </c>
    </row>
    <row r="2765" spans="1:10" ht="25.5">
      <c r="A2765" s="3" t="s">
        <v>1811</v>
      </c>
      <c r="B2765" s="3" t="s">
        <v>3628</v>
      </c>
      <c r="C2765" s="4">
        <v>328</v>
      </c>
      <c r="D2765" s="3" t="s">
        <v>158</v>
      </c>
      <c r="E2765" s="3" t="s">
        <v>22</v>
      </c>
      <c r="F2765" s="5">
        <v>4319.28</v>
      </c>
      <c r="G2765" s="5">
        <v>9913.14</v>
      </c>
      <c r="H2765" s="5">
        <f t="shared" si="86"/>
        <v>5593.86</v>
      </c>
      <c r="I2765" s="9">
        <f t="shared" si="87"/>
        <v>1.2950908484747456</v>
      </c>
      <c r="J2765" s="3" t="s">
        <v>4603</v>
      </c>
    </row>
    <row r="2766" spans="1:10" ht="25.5">
      <c r="A2766" s="3" t="s">
        <v>1811</v>
      </c>
      <c r="B2766" s="3" t="s">
        <v>3629</v>
      </c>
      <c r="C2766" s="4">
        <v>316</v>
      </c>
      <c r="D2766" s="3" t="s">
        <v>167</v>
      </c>
      <c r="E2766" s="3" t="s">
        <v>18</v>
      </c>
      <c r="F2766" s="5">
        <v>4087.44</v>
      </c>
      <c r="G2766" s="5">
        <v>7142.16</v>
      </c>
      <c r="H2766" s="5">
        <f t="shared" si="86"/>
        <v>3054.72</v>
      </c>
      <c r="I2766" s="9">
        <f t="shared" si="87"/>
        <v>0.74734308026539842</v>
      </c>
      <c r="J2766" s="3" t="s">
        <v>4603</v>
      </c>
    </row>
    <row r="2767" spans="1:10" ht="38.25">
      <c r="A2767" s="3" t="s">
        <v>1811</v>
      </c>
      <c r="B2767" s="3" t="s">
        <v>3630</v>
      </c>
      <c r="C2767" s="4">
        <v>292</v>
      </c>
      <c r="D2767" s="3" t="s">
        <v>619</v>
      </c>
      <c r="E2767" s="3" t="s">
        <v>30</v>
      </c>
      <c r="F2767" s="5">
        <v>18295.439999999999</v>
      </c>
      <c r="G2767" s="5">
        <v>10409.969999999999</v>
      </c>
      <c r="H2767" s="5">
        <f t="shared" si="86"/>
        <v>-7885.4699999999993</v>
      </c>
      <c r="I2767" s="9">
        <f t="shared" si="87"/>
        <v>-0.43100739856488834</v>
      </c>
      <c r="J2767" s="3" t="s">
        <v>4603</v>
      </c>
    </row>
    <row r="2768" spans="1:10" ht="25.5">
      <c r="A2768" s="3" t="s">
        <v>1811</v>
      </c>
      <c r="B2768" s="3" t="s">
        <v>3631</v>
      </c>
      <c r="C2768" s="4">
        <v>231</v>
      </c>
      <c r="D2768" s="3" t="s">
        <v>89</v>
      </c>
      <c r="E2768" s="3" t="s">
        <v>8</v>
      </c>
      <c r="F2768" s="5">
        <v>2306.61</v>
      </c>
      <c r="G2768" s="5">
        <v>0</v>
      </c>
      <c r="H2768" s="5">
        <f t="shared" si="86"/>
        <v>-2306.61</v>
      </c>
      <c r="I2768" s="9">
        <f t="shared" si="87"/>
        <v>-1</v>
      </c>
      <c r="J2768" s="3" t="s">
        <v>4603</v>
      </c>
    </row>
    <row r="2769" spans="1:10" ht="25.5">
      <c r="A2769" s="3" t="s">
        <v>1811</v>
      </c>
      <c r="B2769" s="3" t="s">
        <v>3632</v>
      </c>
      <c r="C2769" s="4">
        <v>23</v>
      </c>
      <c r="D2769" s="3" t="s">
        <v>71</v>
      </c>
      <c r="E2769" s="3" t="s">
        <v>8</v>
      </c>
      <c r="F2769" s="5">
        <v>11338.2</v>
      </c>
      <c r="G2769" s="5">
        <v>18503.52</v>
      </c>
      <c r="H2769" s="5">
        <f t="shared" si="86"/>
        <v>7165.32</v>
      </c>
      <c r="I2769" s="9">
        <f t="shared" si="87"/>
        <v>0.63196274540932418</v>
      </c>
      <c r="J2769" s="3" t="s">
        <v>4603</v>
      </c>
    </row>
    <row r="2770" spans="1:10" ht="25.5">
      <c r="A2770" s="3" t="s">
        <v>1811</v>
      </c>
      <c r="B2770" s="3" t="s">
        <v>3633</v>
      </c>
      <c r="C2770" s="4">
        <v>270</v>
      </c>
      <c r="D2770" s="3" t="s">
        <v>312</v>
      </c>
      <c r="E2770" s="3" t="s">
        <v>30</v>
      </c>
      <c r="F2770" s="5">
        <v>18246.599999999999</v>
      </c>
      <c r="G2770" s="5">
        <v>0</v>
      </c>
      <c r="H2770" s="5">
        <f t="shared" si="86"/>
        <v>-18246.599999999999</v>
      </c>
      <c r="I2770" s="9">
        <f t="shared" si="87"/>
        <v>-1</v>
      </c>
      <c r="J2770" s="3" t="s">
        <v>4604</v>
      </c>
    </row>
    <row r="2771" spans="1:10" ht="25.5">
      <c r="A2771" s="3" t="s">
        <v>1811</v>
      </c>
      <c r="B2771" s="3" t="s">
        <v>3634</v>
      </c>
      <c r="C2771" s="4">
        <v>167</v>
      </c>
      <c r="D2771" s="3" t="s">
        <v>335</v>
      </c>
      <c r="E2771" s="3" t="s">
        <v>30</v>
      </c>
      <c r="F2771" s="5">
        <v>0</v>
      </c>
      <c r="G2771" s="5">
        <v>16380.61</v>
      </c>
      <c r="H2771" s="5">
        <f t="shared" si="86"/>
        <v>16380.61</v>
      </c>
      <c r="I2771" s="9">
        <f t="shared" si="87"/>
        <v>0</v>
      </c>
      <c r="J2771" s="3" t="s">
        <v>4603</v>
      </c>
    </row>
    <row r="2772" spans="1:10" ht="25.5">
      <c r="A2772" s="3" t="s">
        <v>1811</v>
      </c>
      <c r="B2772" s="3" t="s">
        <v>3635</v>
      </c>
      <c r="C2772" s="4">
        <v>217</v>
      </c>
      <c r="D2772" s="3" t="s">
        <v>253</v>
      </c>
      <c r="E2772" s="3" t="s">
        <v>13</v>
      </c>
      <c r="F2772" s="5">
        <v>0</v>
      </c>
      <c r="G2772" s="5">
        <v>2825.22</v>
      </c>
      <c r="H2772" s="5">
        <f t="shared" si="86"/>
        <v>2825.22</v>
      </c>
      <c r="I2772" s="9">
        <f t="shared" si="87"/>
        <v>0</v>
      </c>
      <c r="J2772" s="3" t="s">
        <v>4603</v>
      </c>
    </row>
    <row r="2773" spans="1:10" ht="38.25">
      <c r="A2773" s="3" t="s">
        <v>1811</v>
      </c>
      <c r="B2773" s="3" t="s">
        <v>3636</v>
      </c>
      <c r="C2773" s="4">
        <v>371</v>
      </c>
      <c r="D2773" s="3" t="s">
        <v>29</v>
      </c>
      <c r="E2773" s="3" t="s">
        <v>30</v>
      </c>
      <c r="F2773" s="5">
        <v>13821.48</v>
      </c>
      <c r="G2773" s="5">
        <v>0</v>
      </c>
      <c r="H2773" s="5">
        <f t="shared" si="86"/>
        <v>-13821.48</v>
      </c>
      <c r="I2773" s="9">
        <f t="shared" si="87"/>
        <v>-1</v>
      </c>
      <c r="J2773" s="3" t="s">
        <v>4603</v>
      </c>
    </row>
    <row r="2774" spans="1:10" ht="25.5">
      <c r="A2774" s="3" t="s">
        <v>1811</v>
      </c>
      <c r="B2774" s="3" t="s">
        <v>3637</v>
      </c>
      <c r="C2774" s="4">
        <v>240</v>
      </c>
      <c r="D2774" s="3" t="s">
        <v>152</v>
      </c>
      <c r="E2774" s="3" t="s">
        <v>13</v>
      </c>
      <c r="F2774" s="5">
        <v>3010.56</v>
      </c>
      <c r="G2774" s="5">
        <v>5487.24</v>
      </c>
      <c r="H2774" s="5">
        <f t="shared" si="86"/>
        <v>2476.6799999999998</v>
      </c>
      <c r="I2774" s="9">
        <f t="shared" si="87"/>
        <v>0.82266422193877542</v>
      </c>
      <c r="J2774" s="3" t="s">
        <v>4603</v>
      </c>
    </row>
    <row r="2775" spans="1:10" ht="38.25">
      <c r="A2775" s="3" t="s">
        <v>1811</v>
      </c>
      <c r="B2775" s="3" t="s">
        <v>3638</v>
      </c>
      <c r="C2775" s="4">
        <v>34</v>
      </c>
      <c r="D2775" s="3" t="s">
        <v>136</v>
      </c>
      <c r="E2775" s="3" t="s">
        <v>30</v>
      </c>
      <c r="F2775" s="5">
        <v>6586.98</v>
      </c>
      <c r="G2775" s="5">
        <v>0</v>
      </c>
      <c r="H2775" s="5">
        <f t="shared" si="86"/>
        <v>-6586.98</v>
      </c>
      <c r="I2775" s="9">
        <f t="shared" si="87"/>
        <v>-1</v>
      </c>
      <c r="J2775" s="3" t="s">
        <v>4603</v>
      </c>
    </row>
    <row r="2776" spans="1:10">
      <c r="A2776" s="3" t="s">
        <v>1811</v>
      </c>
      <c r="B2776" s="3" t="s">
        <v>3639</v>
      </c>
      <c r="C2776" s="4">
        <v>231</v>
      </c>
      <c r="D2776" s="3" t="s">
        <v>89</v>
      </c>
      <c r="E2776" s="3" t="s">
        <v>8</v>
      </c>
      <c r="F2776" s="5">
        <v>7222.8</v>
      </c>
      <c r="G2776" s="5">
        <v>0</v>
      </c>
      <c r="H2776" s="5">
        <f t="shared" si="86"/>
        <v>-7222.8</v>
      </c>
      <c r="I2776" s="9">
        <f t="shared" si="87"/>
        <v>-1</v>
      </c>
      <c r="J2776" s="3" t="s">
        <v>4603</v>
      </c>
    </row>
    <row r="2777" spans="1:10">
      <c r="A2777" s="3" t="s">
        <v>1811</v>
      </c>
      <c r="B2777" s="3" t="s">
        <v>3640</v>
      </c>
      <c r="C2777" s="4">
        <v>264</v>
      </c>
      <c r="D2777" s="3" t="s">
        <v>632</v>
      </c>
      <c r="E2777" s="3" t="s">
        <v>22</v>
      </c>
      <c r="F2777" s="5">
        <v>0</v>
      </c>
      <c r="G2777" s="5">
        <v>3565.2</v>
      </c>
      <c r="H2777" s="5">
        <f t="shared" si="86"/>
        <v>3565.2</v>
      </c>
      <c r="I2777" s="9">
        <f t="shared" si="87"/>
        <v>0</v>
      </c>
      <c r="J2777" s="3" t="s">
        <v>4603</v>
      </c>
    </row>
    <row r="2778" spans="1:10" ht="25.5">
      <c r="A2778" s="3" t="s">
        <v>1811</v>
      </c>
      <c r="B2778" s="3" t="s">
        <v>3641</v>
      </c>
      <c r="C2778" s="4">
        <v>299</v>
      </c>
      <c r="D2778" s="3" t="s">
        <v>246</v>
      </c>
      <c r="E2778" s="3" t="s">
        <v>30</v>
      </c>
      <c r="F2778" s="5">
        <v>0</v>
      </c>
      <c r="G2778" s="5">
        <v>4308.72</v>
      </c>
      <c r="H2778" s="5">
        <f t="shared" si="86"/>
        <v>4308.72</v>
      </c>
      <c r="I2778" s="9">
        <f t="shared" si="87"/>
        <v>0</v>
      </c>
      <c r="J2778" s="3" t="s">
        <v>4603</v>
      </c>
    </row>
    <row r="2779" spans="1:10" ht="25.5">
      <c r="A2779" s="3" t="s">
        <v>1811</v>
      </c>
      <c r="B2779" s="3" t="s">
        <v>3642</v>
      </c>
      <c r="C2779" s="4">
        <v>194</v>
      </c>
      <c r="D2779" s="3" t="s">
        <v>179</v>
      </c>
      <c r="E2779" s="3" t="s">
        <v>13</v>
      </c>
      <c r="F2779" s="5">
        <v>3203.52</v>
      </c>
      <c r="G2779" s="5">
        <v>3622.08</v>
      </c>
      <c r="H2779" s="5">
        <f t="shared" si="86"/>
        <v>418.55999999999995</v>
      </c>
      <c r="I2779" s="9">
        <f t="shared" si="87"/>
        <v>0.13065627809409652</v>
      </c>
      <c r="J2779" s="3" t="s">
        <v>4603</v>
      </c>
    </row>
    <row r="2780" spans="1:10" ht="38.25">
      <c r="A2780" s="3" t="s">
        <v>1811</v>
      </c>
      <c r="B2780" s="3" t="s">
        <v>3643</v>
      </c>
      <c r="C2780" s="4">
        <v>38</v>
      </c>
      <c r="D2780" s="3" t="s">
        <v>229</v>
      </c>
      <c r="E2780" s="3" t="s">
        <v>30</v>
      </c>
      <c r="F2780" s="5">
        <v>5051.04</v>
      </c>
      <c r="G2780" s="5">
        <v>0</v>
      </c>
      <c r="H2780" s="5">
        <f t="shared" si="86"/>
        <v>-5051.04</v>
      </c>
      <c r="I2780" s="9">
        <f t="shared" si="87"/>
        <v>-1</v>
      </c>
      <c r="J2780" s="3" t="s">
        <v>4603</v>
      </c>
    </row>
    <row r="2781" spans="1:10" ht="25.5">
      <c r="A2781" s="3" t="s">
        <v>1811</v>
      </c>
      <c r="B2781" s="3" t="s">
        <v>3644</v>
      </c>
      <c r="C2781" s="4">
        <v>240</v>
      </c>
      <c r="D2781" s="3" t="s">
        <v>152</v>
      </c>
      <c r="E2781" s="3" t="s">
        <v>13</v>
      </c>
      <c r="F2781" s="5">
        <v>3120.66</v>
      </c>
      <c r="G2781" s="5">
        <v>0</v>
      </c>
      <c r="H2781" s="5">
        <f t="shared" si="86"/>
        <v>-3120.66</v>
      </c>
      <c r="I2781" s="9">
        <f t="shared" si="87"/>
        <v>-1</v>
      </c>
      <c r="J2781" s="3" t="s">
        <v>4603</v>
      </c>
    </row>
    <row r="2782" spans="1:10" ht="25.5">
      <c r="A2782" s="3" t="s">
        <v>1811</v>
      </c>
      <c r="B2782" s="3" t="s">
        <v>3645</v>
      </c>
      <c r="C2782" s="4">
        <v>240</v>
      </c>
      <c r="D2782" s="3" t="s">
        <v>152</v>
      </c>
      <c r="E2782" s="3" t="s">
        <v>13</v>
      </c>
      <c r="F2782" s="5">
        <v>8236.08</v>
      </c>
      <c r="G2782" s="5">
        <v>0</v>
      </c>
      <c r="H2782" s="5">
        <f t="shared" si="86"/>
        <v>-8236.08</v>
      </c>
      <c r="I2782" s="9">
        <f t="shared" si="87"/>
        <v>-1</v>
      </c>
      <c r="J2782" s="3" t="s">
        <v>4603</v>
      </c>
    </row>
    <row r="2783" spans="1:10" ht="51">
      <c r="A2783" s="3" t="s">
        <v>1811</v>
      </c>
      <c r="B2783" s="3" t="s">
        <v>3646</v>
      </c>
      <c r="C2783" s="4">
        <v>282</v>
      </c>
      <c r="D2783" s="3" t="s">
        <v>298</v>
      </c>
      <c r="E2783" s="3" t="s">
        <v>9</v>
      </c>
      <c r="F2783" s="5">
        <v>10922.7</v>
      </c>
      <c r="G2783" s="5">
        <v>24291.776000000002</v>
      </c>
      <c r="H2783" s="5">
        <f t="shared" si="86"/>
        <v>13369.076000000001</v>
      </c>
      <c r="I2783" s="9">
        <f t="shared" si="87"/>
        <v>1.2239717286019025</v>
      </c>
      <c r="J2783" s="3" t="s">
        <v>4603</v>
      </c>
    </row>
    <row r="2784" spans="1:10" ht="25.5">
      <c r="A2784" s="3" t="s">
        <v>1811</v>
      </c>
      <c r="B2784" s="3" t="s">
        <v>3647</v>
      </c>
      <c r="C2784" s="4">
        <v>178</v>
      </c>
      <c r="D2784" s="3" t="s">
        <v>92</v>
      </c>
      <c r="E2784" s="3" t="s">
        <v>8</v>
      </c>
      <c r="F2784" s="5">
        <v>0</v>
      </c>
      <c r="G2784" s="5">
        <v>21287.55</v>
      </c>
      <c r="H2784" s="5">
        <f t="shared" si="86"/>
        <v>21287.55</v>
      </c>
      <c r="I2784" s="9">
        <f t="shared" si="87"/>
        <v>0</v>
      </c>
      <c r="J2784" s="3" t="s">
        <v>4603</v>
      </c>
    </row>
    <row r="2785" spans="1:10" ht="25.5">
      <c r="A2785" s="3" t="s">
        <v>1811</v>
      </c>
      <c r="B2785" s="3" t="s">
        <v>3648</v>
      </c>
      <c r="C2785" s="4">
        <v>297</v>
      </c>
      <c r="D2785" s="3" t="s">
        <v>209</v>
      </c>
      <c r="E2785" s="3" t="s">
        <v>22</v>
      </c>
      <c r="F2785" s="5">
        <v>0</v>
      </c>
      <c r="G2785" s="5">
        <v>18682.894</v>
      </c>
      <c r="H2785" s="5">
        <f t="shared" si="86"/>
        <v>18682.894</v>
      </c>
      <c r="I2785" s="9">
        <f t="shared" si="87"/>
        <v>0</v>
      </c>
      <c r="J2785" s="3" t="s">
        <v>4603</v>
      </c>
    </row>
    <row r="2786" spans="1:10" ht="25.5">
      <c r="A2786" s="3" t="s">
        <v>1811</v>
      </c>
      <c r="B2786" s="3" t="s">
        <v>3649</v>
      </c>
      <c r="C2786" s="4">
        <v>187</v>
      </c>
      <c r="D2786" s="3" t="s">
        <v>460</v>
      </c>
      <c r="E2786" s="3" t="s">
        <v>8</v>
      </c>
      <c r="F2786" s="5">
        <v>0</v>
      </c>
      <c r="G2786" s="5">
        <v>13476.708000000001</v>
      </c>
      <c r="H2786" s="5">
        <f t="shared" si="86"/>
        <v>13476.708000000001</v>
      </c>
      <c r="I2786" s="9">
        <f t="shared" si="87"/>
        <v>0</v>
      </c>
      <c r="J2786" s="3" t="s">
        <v>4603</v>
      </c>
    </row>
    <row r="2787" spans="1:10" ht="25.5">
      <c r="A2787" s="3" t="s">
        <v>1811</v>
      </c>
      <c r="B2787" s="3" t="s">
        <v>3650</v>
      </c>
      <c r="C2787" s="4">
        <v>19</v>
      </c>
      <c r="D2787" s="3" t="s">
        <v>53</v>
      </c>
      <c r="E2787" s="3" t="s">
        <v>22</v>
      </c>
      <c r="F2787" s="5">
        <v>0</v>
      </c>
      <c r="G2787" s="5">
        <v>10155.780000000001</v>
      </c>
      <c r="H2787" s="5">
        <f t="shared" si="86"/>
        <v>10155.780000000001</v>
      </c>
      <c r="I2787" s="9">
        <f t="shared" si="87"/>
        <v>0</v>
      </c>
      <c r="J2787" s="3" t="s">
        <v>4603</v>
      </c>
    </row>
    <row r="2788" spans="1:10" ht="25.5">
      <c r="A2788" s="3" t="s">
        <v>1811</v>
      </c>
      <c r="B2788" s="3" t="s">
        <v>3651</v>
      </c>
      <c r="C2788" s="4">
        <v>335</v>
      </c>
      <c r="D2788" s="3" t="s">
        <v>7</v>
      </c>
      <c r="E2788" s="3" t="s">
        <v>8</v>
      </c>
      <c r="F2788" s="5">
        <v>4733.34</v>
      </c>
      <c r="G2788" s="5">
        <v>12108.12</v>
      </c>
      <c r="H2788" s="5">
        <f t="shared" si="86"/>
        <v>7374.7800000000007</v>
      </c>
      <c r="I2788" s="9">
        <f t="shared" si="87"/>
        <v>1.558049918239552</v>
      </c>
      <c r="J2788" s="3" t="s">
        <v>4603</v>
      </c>
    </row>
    <row r="2789" spans="1:10" ht="25.5">
      <c r="A2789" s="3" t="s">
        <v>1811</v>
      </c>
      <c r="B2789" s="3" t="s">
        <v>3652</v>
      </c>
      <c r="C2789" s="4">
        <v>273</v>
      </c>
      <c r="D2789" s="3" t="s">
        <v>771</v>
      </c>
      <c r="E2789" s="3" t="s">
        <v>13</v>
      </c>
      <c r="F2789" s="5">
        <v>6152.64</v>
      </c>
      <c r="G2789" s="5">
        <v>0</v>
      </c>
      <c r="H2789" s="5">
        <f t="shared" si="86"/>
        <v>-6152.64</v>
      </c>
      <c r="I2789" s="9">
        <f t="shared" si="87"/>
        <v>-1</v>
      </c>
      <c r="J2789" s="3" t="s">
        <v>4603</v>
      </c>
    </row>
    <row r="2790" spans="1:10" ht="25.5">
      <c r="A2790" s="3" t="s">
        <v>1811</v>
      </c>
      <c r="B2790" s="3" t="s">
        <v>3653</v>
      </c>
      <c r="C2790" s="4">
        <v>335</v>
      </c>
      <c r="D2790" s="3" t="s">
        <v>7</v>
      </c>
      <c r="E2790" s="3" t="s">
        <v>8</v>
      </c>
      <c r="F2790" s="5">
        <v>0</v>
      </c>
      <c r="G2790" s="5">
        <v>7199.55</v>
      </c>
      <c r="H2790" s="5">
        <f t="shared" si="86"/>
        <v>7199.55</v>
      </c>
      <c r="I2790" s="9">
        <f t="shared" si="87"/>
        <v>0</v>
      </c>
      <c r="J2790" s="3" t="s">
        <v>4603</v>
      </c>
    </row>
    <row r="2791" spans="1:10" ht="25.5">
      <c r="A2791" s="3" t="s">
        <v>1811</v>
      </c>
      <c r="B2791" s="3" t="s">
        <v>3654</v>
      </c>
      <c r="C2791" s="4">
        <v>218</v>
      </c>
      <c r="D2791" s="3" t="s">
        <v>155</v>
      </c>
      <c r="E2791" s="3" t="s">
        <v>13</v>
      </c>
      <c r="F2791" s="5">
        <v>0</v>
      </c>
      <c r="G2791" s="5">
        <v>4473.84</v>
      </c>
      <c r="H2791" s="5">
        <f t="shared" si="86"/>
        <v>4473.84</v>
      </c>
      <c r="I2791" s="9">
        <f t="shared" si="87"/>
        <v>0</v>
      </c>
      <c r="J2791" s="3" t="s">
        <v>4604</v>
      </c>
    </row>
    <row r="2792" spans="1:10" ht="38.25">
      <c r="A2792" s="3" t="s">
        <v>1811</v>
      </c>
      <c r="B2792" s="3" t="s">
        <v>3655</v>
      </c>
      <c r="C2792" s="4">
        <v>45</v>
      </c>
      <c r="D2792" s="3" t="s">
        <v>16</v>
      </c>
      <c r="E2792" s="3" t="s">
        <v>8</v>
      </c>
      <c r="F2792" s="5">
        <v>3784.53</v>
      </c>
      <c r="G2792" s="5">
        <v>0</v>
      </c>
      <c r="H2792" s="5">
        <f t="shared" si="86"/>
        <v>-3784.53</v>
      </c>
      <c r="I2792" s="9">
        <f t="shared" si="87"/>
        <v>-1</v>
      </c>
      <c r="J2792" s="3" t="s">
        <v>4603</v>
      </c>
    </row>
    <row r="2793" spans="1:10" ht="25.5">
      <c r="A2793" s="3" t="s">
        <v>1811</v>
      </c>
      <c r="B2793" s="3" t="s">
        <v>3656</v>
      </c>
      <c r="C2793" s="4">
        <v>93</v>
      </c>
      <c r="D2793" s="3" t="s">
        <v>42</v>
      </c>
      <c r="E2793" s="3" t="s">
        <v>8</v>
      </c>
      <c r="F2793" s="5">
        <v>0</v>
      </c>
      <c r="G2793" s="5">
        <v>6898.56</v>
      </c>
      <c r="H2793" s="5">
        <f t="shared" si="86"/>
        <v>6898.56</v>
      </c>
      <c r="I2793" s="9">
        <f t="shared" si="87"/>
        <v>0</v>
      </c>
      <c r="J2793" s="3" t="s">
        <v>4603</v>
      </c>
    </row>
    <row r="2794" spans="1:10" ht="38.25">
      <c r="A2794" s="3" t="s">
        <v>1811</v>
      </c>
      <c r="B2794" s="3" t="s">
        <v>3657</v>
      </c>
      <c r="C2794" s="4">
        <v>143</v>
      </c>
      <c r="D2794" s="3" t="s">
        <v>21</v>
      </c>
      <c r="E2794" s="3" t="s">
        <v>22</v>
      </c>
      <c r="F2794" s="5">
        <v>13855.99</v>
      </c>
      <c r="G2794" s="5">
        <v>18589.439999999999</v>
      </c>
      <c r="H2794" s="5">
        <f t="shared" si="86"/>
        <v>4733.4499999999989</v>
      </c>
      <c r="I2794" s="9">
        <f t="shared" si="87"/>
        <v>0.34161759643302281</v>
      </c>
      <c r="J2794" s="3" t="s">
        <v>4603</v>
      </c>
    </row>
    <row r="2795" spans="1:10" ht="25.5">
      <c r="A2795" s="3" t="s">
        <v>1811</v>
      </c>
      <c r="B2795" s="3" t="s">
        <v>3658</v>
      </c>
      <c r="C2795" s="4">
        <v>334</v>
      </c>
      <c r="D2795" s="3" t="s">
        <v>585</v>
      </c>
      <c r="E2795" s="3" t="s">
        <v>8</v>
      </c>
      <c r="F2795" s="5">
        <v>7471.32</v>
      </c>
      <c r="G2795" s="5">
        <v>0</v>
      </c>
      <c r="H2795" s="5">
        <f t="shared" si="86"/>
        <v>-7471.32</v>
      </c>
      <c r="I2795" s="9">
        <f t="shared" si="87"/>
        <v>-1</v>
      </c>
      <c r="J2795" s="3" t="s">
        <v>4603</v>
      </c>
    </row>
    <row r="2796" spans="1:10" ht="38.25">
      <c r="A2796" s="3" t="s">
        <v>1811</v>
      </c>
      <c r="B2796" s="3" t="s">
        <v>3659</v>
      </c>
      <c r="C2796" s="4">
        <v>34</v>
      </c>
      <c r="D2796" s="3" t="s">
        <v>136</v>
      </c>
      <c r="E2796" s="3" t="s">
        <v>30</v>
      </c>
      <c r="F2796" s="5">
        <v>25117.35</v>
      </c>
      <c r="G2796" s="5">
        <v>0</v>
      </c>
      <c r="H2796" s="5">
        <f t="shared" si="86"/>
        <v>-25117.35</v>
      </c>
      <c r="I2796" s="9">
        <f t="shared" si="87"/>
        <v>-1</v>
      </c>
      <c r="J2796" s="3" t="s">
        <v>4603</v>
      </c>
    </row>
    <row r="2797" spans="1:10" ht="25.5">
      <c r="A2797" s="3" t="s">
        <v>1811</v>
      </c>
      <c r="B2797" s="3" t="s">
        <v>3660</v>
      </c>
      <c r="C2797" s="4">
        <v>240</v>
      </c>
      <c r="D2797" s="3" t="s">
        <v>152</v>
      </c>
      <c r="E2797" s="3" t="s">
        <v>13</v>
      </c>
      <c r="F2797" s="5">
        <v>0</v>
      </c>
      <c r="G2797" s="5">
        <v>14687.79</v>
      </c>
      <c r="H2797" s="5">
        <f t="shared" si="86"/>
        <v>14687.79</v>
      </c>
      <c r="I2797" s="9">
        <f t="shared" si="87"/>
        <v>0</v>
      </c>
      <c r="J2797" s="3" t="s">
        <v>4603</v>
      </c>
    </row>
    <row r="2798" spans="1:10" ht="25.5">
      <c r="A2798" s="3" t="s">
        <v>1811</v>
      </c>
      <c r="B2798" s="3" t="s">
        <v>3661</v>
      </c>
      <c r="C2798" s="4">
        <v>267</v>
      </c>
      <c r="D2798" s="3" t="s">
        <v>417</v>
      </c>
      <c r="E2798" s="3" t="s">
        <v>13</v>
      </c>
      <c r="F2798" s="5">
        <v>7734.36</v>
      </c>
      <c r="G2798" s="5">
        <v>0</v>
      </c>
      <c r="H2798" s="5">
        <f t="shared" si="86"/>
        <v>-7734.36</v>
      </c>
      <c r="I2798" s="9">
        <f t="shared" si="87"/>
        <v>-1</v>
      </c>
      <c r="J2798" s="3" t="s">
        <v>4603</v>
      </c>
    </row>
    <row r="2799" spans="1:10" ht="25.5">
      <c r="A2799" s="3" t="s">
        <v>1811</v>
      </c>
      <c r="B2799" s="3" t="s">
        <v>3662</v>
      </c>
      <c r="C2799" s="4">
        <v>273</v>
      </c>
      <c r="D2799" s="3" t="s">
        <v>771</v>
      </c>
      <c r="E2799" s="3" t="s">
        <v>13</v>
      </c>
      <c r="F2799" s="5">
        <v>3132.72</v>
      </c>
      <c r="G2799" s="5">
        <v>0</v>
      </c>
      <c r="H2799" s="5">
        <f t="shared" si="86"/>
        <v>-3132.72</v>
      </c>
      <c r="I2799" s="9">
        <f t="shared" si="87"/>
        <v>-1</v>
      </c>
      <c r="J2799" s="3" t="s">
        <v>4603</v>
      </c>
    </row>
    <row r="2800" spans="1:10" ht="38.25">
      <c r="A2800" s="3" t="s">
        <v>1811</v>
      </c>
      <c r="B2800" s="3" t="s">
        <v>3663</v>
      </c>
      <c r="C2800" s="4">
        <v>38</v>
      </c>
      <c r="D2800" s="3" t="s">
        <v>229</v>
      </c>
      <c r="E2800" s="3" t="s">
        <v>30</v>
      </c>
      <c r="F2800" s="5">
        <v>9622.59</v>
      </c>
      <c r="G2800" s="5">
        <v>0</v>
      </c>
      <c r="H2800" s="5">
        <f t="shared" si="86"/>
        <v>-9622.59</v>
      </c>
      <c r="I2800" s="9">
        <f t="shared" si="87"/>
        <v>-1</v>
      </c>
      <c r="J2800" s="3" t="s">
        <v>4603</v>
      </c>
    </row>
    <row r="2801" spans="1:10" ht="25.5">
      <c r="A2801" s="3" t="s">
        <v>1811</v>
      </c>
      <c r="B2801" s="3" t="s">
        <v>3664</v>
      </c>
      <c r="C2801" s="4">
        <v>217</v>
      </c>
      <c r="D2801" s="3" t="s">
        <v>253</v>
      </c>
      <c r="E2801" s="3" t="s">
        <v>13</v>
      </c>
      <c r="F2801" s="5">
        <v>6192.12</v>
      </c>
      <c r="G2801" s="5">
        <v>0</v>
      </c>
      <c r="H2801" s="5">
        <f t="shared" si="86"/>
        <v>-6192.12</v>
      </c>
      <c r="I2801" s="9">
        <f t="shared" si="87"/>
        <v>-1</v>
      </c>
      <c r="J2801" s="3" t="s">
        <v>4604</v>
      </c>
    </row>
    <row r="2802" spans="1:10" ht="25.5">
      <c r="A2802" s="3" t="s">
        <v>1811</v>
      </c>
      <c r="B2802" s="3" t="s">
        <v>3665</v>
      </c>
      <c r="C2802" s="4">
        <v>218</v>
      </c>
      <c r="D2802" s="3" t="s">
        <v>155</v>
      </c>
      <c r="E2802" s="3" t="s">
        <v>13</v>
      </c>
      <c r="F2802" s="5">
        <v>5971.8</v>
      </c>
      <c r="G2802" s="5">
        <v>0</v>
      </c>
      <c r="H2802" s="5">
        <f t="shared" si="86"/>
        <v>-5971.8</v>
      </c>
      <c r="I2802" s="9">
        <f t="shared" si="87"/>
        <v>-1</v>
      </c>
      <c r="J2802" s="3" t="s">
        <v>4603</v>
      </c>
    </row>
    <row r="2803" spans="1:10" ht="25.5">
      <c r="A2803" s="3" t="s">
        <v>1811</v>
      </c>
      <c r="B2803" s="3" t="s">
        <v>3666</v>
      </c>
      <c r="C2803" s="4">
        <v>197</v>
      </c>
      <c r="D2803" s="3" t="s">
        <v>23</v>
      </c>
      <c r="E2803" s="3" t="s">
        <v>22</v>
      </c>
      <c r="F2803" s="5">
        <v>2321.64</v>
      </c>
      <c r="G2803" s="5">
        <v>2225.16</v>
      </c>
      <c r="H2803" s="5">
        <f t="shared" si="86"/>
        <v>-96.480000000000018</v>
      </c>
      <c r="I2803" s="9">
        <f t="shared" si="87"/>
        <v>-4.1556830516359167E-2</v>
      </c>
      <c r="J2803" s="3" t="s">
        <v>4603</v>
      </c>
    </row>
    <row r="2804" spans="1:10" ht="25.5">
      <c r="A2804" s="3" t="s">
        <v>1811</v>
      </c>
      <c r="B2804" s="3" t="s">
        <v>3667</v>
      </c>
      <c r="C2804" s="4">
        <v>197</v>
      </c>
      <c r="D2804" s="3" t="s">
        <v>23</v>
      </c>
      <c r="E2804" s="3" t="s">
        <v>22</v>
      </c>
      <c r="F2804" s="5">
        <v>6362.01</v>
      </c>
      <c r="G2804" s="5">
        <v>0</v>
      </c>
      <c r="H2804" s="5">
        <f t="shared" si="86"/>
        <v>-6362.01</v>
      </c>
      <c r="I2804" s="9">
        <f t="shared" si="87"/>
        <v>-1</v>
      </c>
      <c r="J2804" s="3" t="s">
        <v>4603</v>
      </c>
    </row>
    <row r="2805" spans="1:10" ht="25.5">
      <c r="A2805" s="3" t="s">
        <v>1811</v>
      </c>
      <c r="B2805" s="3" t="s">
        <v>3668</v>
      </c>
      <c r="C2805" s="4">
        <v>218</v>
      </c>
      <c r="D2805" s="3" t="s">
        <v>155</v>
      </c>
      <c r="E2805" s="3" t="s">
        <v>13</v>
      </c>
      <c r="F2805" s="5">
        <v>5102.1000000000004</v>
      </c>
      <c r="G2805" s="5">
        <v>0</v>
      </c>
      <c r="H2805" s="5">
        <f t="shared" si="86"/>
        <v>-5102.1000000000004</v>
      </c>
      <c r="I2805" s="9">
        <f t="shared" si="87"/>
        <v>-1</v>
      </c>
      <c r="J2805" s="3" t="s">
        <v>4603</v>
      </c>
    </row>
    <row r="2806" spans="1:10" ht="38.25">
      <c r="A2806" s="3" t="s">
        <v>1811</v>
      </c>
      <c r="B2806" s="3" t="s">
        <v>3669</v>
      </c>
      <c r="C2806" s="4">
        <v>371</v>
      </c>
      <c r="D2806" s="3" t="s">
        <v>29</v>
      </c>
      <c r="E2806" s="3" t="s">
        <v>30</v>
      </c>
      <c r="F2806" s="5">
        <v>4115.16</v>
      </c>
      <c r="G2806" s="5">
        <v>2929.8</v>
      </c>
      <c r="H2806" s="5">
        <f t="shared" si="86"/>
        <v>-1185.3599999999997</v>
      </c>
      <c r="I2806" s="9">
        <f t="shared" si="87"/>
        <v>-0.2880471233196279</v>
      </c>
      <c r="J2806" s="3" t="s">
        <v>4603</v>
      </c>
    </row>
    <row r="2807" spans="1:10" ht="25.5">
      <c r="A2807" s="3" t="s">
        <v>1811</v>
      </c>
      <c r="B2807" s="3" t="s">
        <v>3670</v>
      </c>
      <c r="C2807" s="4">
        <v>93</v>
      </c>
      <c r="D2807" s="3" t="s">
        <v>42</v>
      </c>
      <c r="E2807" s="3" t="s">
        <v>8</v>
      </c>
      <c r="F2807" s="5">
        <v>8164.77</v>
      </c>
      <c r="G2807" s="5">
        <v>0</v>
      </c>
      <c r="H2807" s="5">
        <f t="shared" si="86"/>
        <v>-8164.77</v>
      </c>
      <c r="I2807" s="9">
        <f t="shared" si="87"/>
        <v>-1</v>
      </c>
      <c r="J2807" s="3" t="s">
        <v>4603</v>
      </c>
    </row>
    <row r="2808" spans="1:10">
      <c r="A2808" s="3" t="s">
        <v>1811</v>
      </c>
      <c r="B2808" s="3" t="s">
        <v>3671</v>
      </c>
      <c r="C2808" s="4">
        <v>217</v>
      </c>
      <c r="D2808" s="3" t="s">
        <v>253</v>
      </c>
      <c r="E2808" s="3" t="s">
        <v>13</v>
      </c>
      <c r="F2808" s="5">
        <v>25681.26</v>
      </c>
      <c r="G2808" s="5">
        <v>0</v>
      </c>
      <c r="H2808" s="5">
        <f t="shared" si="86"/>
        <v>-25681.26</v>
      </c>
      <c r="I2808" s="9">
        <f t="shared" si="87"/>
        <v>-1</v>
      </c>
      <c r="J2808" s="3" t="s">
        <v>4603</v>
      </c>
    </row>
    <row r="2809" spans="1:10" ht="25.5">
      <c r="A2809" s="3" t="s">
        <v>1811</v>
      </c>
      <c r="B2809" s="3" t="s">
        <v>3672</v>
      </c>
      <c r="C2809" s="4">
        <v>19</v>
      </c>
      <c r="D2809" s="3" t="s">
        <v>53</v>
      </c>
      <c r="E2809" s="3" t="s">
        <v>22</v>
      </c>
      <c r="F2809" s="5">
        <v>2423.64</v>
      </c>
      <c r="G2809" s="5">
        <v>0</v>
      </c>
      <c r="H2809" s="5">
        <f t="shared" si="86"/>
        <v>-2423.64</v>
      </c>
      <c r="I2809" s="9">
        <f t="shared" si="87"/>
        <v>-1</v>
      </c>
      <c r="J2809" s="3" t="s">
        <v>4603</v>
      </c>
    </row>
    <row r="2810" spans="1:10" ht="25.5">
      <c r="A2810" s="3" t="s">
        <v>1811</v>
      </c>
      <c r="B2810" s="3" t="s">
        <v>3673</v>
      </c>
      <c r="C2810" s="4">
        <v>273</v>
      </c>
      <c r="D2810" s="3" t="s">
        <v>771</v>
      </c>
      <c r="E2810" s="3" t="s">
        <v>18</v>
      </c>
      <c r="F2810" s="5">
        <v>0</v>
      </c>
      <c r="G2810" s="5">
        <v>2774.05</v>
      </c>
      <c r="H2810" s="5">
        <f t="shared" si="86"/>
        <v>2774.05</v>
      </c>
      <c r="I2810" s="9">
        <f t="shared" si="87"/>
        <v>0</v>
      </c>
      <c r="J2810" s="3" t="s">
        <v>4603</v>
      </c>
    </row>
    <row r="2811" spans="1:10" ht="25.5">
      <c r="A2811" s="3" t="s">
        <v>1811</v>
      </c>
      <c r="B2811" s="3" t="s">
        <v>3673</v>
      </c>
      <c r="C2811" s="4">
        <v>273</v>
      </c>
      <c r="D2811" s="3" t="s">
        <v>771</v>
      </c>
      <c r="E2811" s="3" t="s">
        <v>13</v>
      </c>
      <c r="F2811" s="5">
        <v>0</v>
      </c>
      <c r="G2811" s="5">
        <v>2774.05</v>
      </c>
      <c r="H2811" s="5">
        <f t="shared" si="86"/>
        <v>2774.05</v>
      </c>
      <c r="I2811" s="9">
        <f t="shared" si="87"/>
        <v>0</v>
      </c>
      <c r="J2811" s="3" t="s">
        <v>4603</v>
      </c>
    </row>
    <row r="2812" spans="1:10" ht="25.5">
      <c r="A2812" s="3" t="s">
        <v>1811</v>
      </c>
      <c r="B2812" s="3" t="s">
        <v>3674</v>
      </c>
      <c r="C2812" s="4">
        <v>194</v>
      </c>
      <c r="D2812" s="3" t="s">
        <v>179</v>
      </c>
      <c r="E2812" s="3" t="s">
        <v>13</v>
      </c>
      <c r="F2812" s="5">
        <v>31213.68</v>
      </c>
      <c r="G2812" s="5">
        <v>20130.240000000002</v>
      </c>
      <c r="H2812" s="5">
        <f t="shared" si="86"/>
        <v>-11083.439999999999</v>
      </c>
      <c r="I2812" s="9">
        <f t="shared" si="87"/>
        <v>-0.35508277140023214</v>
      </c>
      <c r="J2812" s="3" t="s">
        <v>4603</v>
      </c>
    </row>
    <row r="2813" spans="1:10" ht="25.5">
      <c r="A2813" s="3" t="s">
        <v>1811</v>
      </c>
      <c r="B2813" s="3" t="s">
        <v>3675</v>
      </c>
      <c r="C2813" s="4">
        <v>194</v>
      </c>
      <c r="D2813" s="3" t="s">
        <v>179</v>
      </c>
      <c r="E2813" s="3" t="s">
        <v>13</v>
      </c>
      <c r="F2813" s="5">
        <v>5281.95</v>
      </c>
      <c r="G2813" s="5">
        <v>6825.15</v>
      </c>
      <c r="H2813" s="5">
        <f t="shared" si="86"/>
        <v>1543.1999999999998</v>
      </c>
      <c r="I2813" s="9">
        <f t="shared" si="87"/>
        <v>0.29216482549058576</v>
      </c>
      <c r="J2813" s="3" t="s">
        <v>4603</v>
      </c>
    </row>
    <row r="2814" spans="1:10" ht="25.5">
      <c r="A2814" s="3" t="s">
        <v>1811</v>
      </c>
      <c r="B2814" s="3" t="s">
        <v>3676</v>
      </c>
      <c r="C2814" s="4">
        <v>194</v>
      </c>
      <c r="D2814" s="3" t="s">
        <v>179</v>
      </c>
      <c r="E2814" s="3" t="s">
        <v>13</v>
      </c>
      <c r="F2814" s="5">
        <v>29040.78</v>
      </c>
      <c r="G2814" s="5">
        <v>0</v>
      </c>
      <c r="H2814" s="5">
        <f t="shared" si="86"/>
        <v>-29040.78</v>
      </c>
      <c r="I2814" s="9">
        <f t="shared" si="87"/>
        <v>-1</v>
      </c>
      <c r="J2814" s="3" t="s">
        <v>4603</v>
      </c>
    </row>
    <row r="2815" spans="1:10" ht="25.5">
      <c r="A2815" s="3" t="s">
        <v>1811</v>
      </c>
      <c r="B2815" s="3" t="s">
        <v>3677</v>
      </c>
      <c r="C2815" s="4">
        <v>270</v>
      </c>
      <c r="D2815" s="3" t="s">
        <v>312</v>
      </c>
      <c r="E2815" s="3" t="s">
        <v>30</v>
      </c>
      <c r="F2815" s="5">
        <v>17923.38</v>
      </c>
      <c r="G2815" s="5">
        <v>0</v>
      </c>
      <c r="H2815" s="5">
        <f t="shared" si="86"/>
        <v>-17923.38</v>
      </c>
      <c r="I2815" s="9">
        <f t="shared" si="87"/>
        <v>-1</v>
      </c>
      <c r="J2815" s="3" t="s">
        <v>4603</v>
      </c>
    </row>
    <row r="2816" spans="1:10" ht="25.5">
      <c r="A2816" s="3" t="s">
        <v>1811</v>
      </c>
      <c r="B2816" s="3" t="s">
        <v>3678</v>
      </c>
      <c r="C2816" s="4">
        <v>337</v>
      </c>
      <c r="D2816" s="3" t="s">
        <v>218</v>
      </c>
      <c r="E2816" s="3" t="s">
        <v>13</v>
      </c>
      <c r="F2816" s="5">
        <v>8566.44</v>
      </c>
      <c r="G2816" s="5">
        <v>0</v>
      </c>
      <c r="H2816" s="5">
        <f t="shared" si="86"/>
        <v>-8566.44</v>
      </c>
      <c r="I2816" s="9">
        <f t="shared" si="87"/>
        <v>-1</v>
      </c>
      <c r="J2816" s="3" t="s">
        <v>4603</v>
      </c>
    </row>
    <row r="2817" spans="1:10" ht="25.5">
      <c r="A2817" s="3" t="s">
        <v>1811</v>
      </c>
      <c r="B2817" s="3" t="s">
        <v>3679</v>
      </c>
      <c r="C2817" s="4">
        <v>194</v>
      </c>
      <c r="D2817" s="3" t="s">
        <v>179</v>
      </c>
      <c r="E2817" s="3" t="s">
        <v>13</v>
      </c>
      <c r="F2817" s="5">
        <v>18981.240000000002</v>
      </c>
      <c r="G2817" s="5">
        <v>0</v>
      </c>
      <c r="H2817" s="5">
        <f t="shared" si="86"/>
        <v>-18981.240000000002</v>
      </c>
      <c r="I2817" s="9">
        <f t="shared" si="87"/>
        <v>-1</v>
      </c>
      <c r="J2817" s="3" t="s">
        <v>4603</v>
      </c>
    </row>
    <row r="2818" spans="1:10" ht="25.5">
      <c r="A2818" s="3" t="s">
        <v>1811</v>
      </c>
      <c r="B2818" s="3" t="s">
        <v>3680</v>
      </c>
      <c r="C2818" s="4">
        <v>217</v>
      </c>
      <c r="D2818" s="3" t="s">
        <v>253</v>
      </c>
      <c r="E2818" s="3" t="s">
        <v>13</v>
      </c>
      <c r="F2818" s="5">
        <v>2912.64</v>
      </c>
      <c r="G2818" s="5">
        <v>6103.12</v>
      </c>
      <c r="H2818" s="5">
        <f t="shared" si="86"/>
        <v>3190.48</v>
      </c>
      <c r="I2818" s="9">
        <f t="shared" si="87"/>
        <v>1.0953911228301472</v>
      </c>
      <c r="J2818" s="3" t="s">
        <v>4603</v>
      </c>
    </row>
    <row r="2819" spans="1:10" ht="25.5">
      <c r="A2819" s="3" t="s">
        <v>1811</v>
      </c>
      <c r="B2819" s="3" t="s">
        <v>3681</v>
      </c>
      <c r="C2819" s="4">
        <v>273</v>
      </c>
      <c r="D2819" s="3" t="s">
        <v>771</v>
      </c>
      <c r="E2819" s="3" t="s">
        <v>13</v>
      </c>
      <c r="F2819" s="5">
        <v>2915.31</v>
      </c>
      <c r="G2819" s="5">
        <v>0</v>
      </c>
      <c r="H2819" s="5">
        <f t="shared" ref="H2819:H2882" si="88">G2819-F2819</f>
        <v>-2915.31</v>
      </c>
      <c r="I2819" s="9">
        <f t="shared" ref="I2819:I2882" si="89">IFERROR(G2819/F2819-1,0)</f>
        <v>-1</v>
      </c>
      <c r="J2819" s="3" t="s">
        <v>4603</v>
      </c>
    </row>
    <row r="2820" spans="1:10" ht="25.5">
      <c r="A2820" s="3" t="s">
        <v>1811</v>
      </c>
      <c r="B2820" s="3" t="s">
        <v>3682</v>
      </c>
      <c r="C2820" s="4">
        <v>316</v>
      </c>
      <c r="D2820" s="3" t="s">
        <v>167</v>
      </c>
      <c r="E2820" s="3" t="s">
        <v>18</v>
      </c>
      <c r="F2820" s="5">
        <v>0</v>
      </c>
      <c r="G2820" s="5">
        <v>4550.28</v>
      </c>
      <c r="H2820" s="5">
        <f t="shared" si="88"/>
        <v>4550.28</v>
      </c>
      <c r="I2820" s="9">
        <f t="shared" si="89"/>
        <v>0</v>
      </c>
      <c r="J2820" s="3" t="s">
        <v>4603</v>
      </c>
    </row>
    <row r="2821" spans="1:10" ht="25.5">
      <c r="A2821" s="3" t="s">
        <v>1811</v>
      </c>
      <c r="B2821" s="3" t="s">
        <v>3683</v>
      </c>
      <c r="C2821" s="4">
        <v>39</v>
      </c>
      <c r="D2821" s="3" t="s">
        <v>26</v>
      </c>
      <c r="E2821" s="3" t="s">
        <v>9</v>
      </c>
      <c r="F2821" s="5">
        <v>4981.32</v>
      </c>
      <c r="G2821" s="5">
        <v>0</v>
      </c>
      <c r="H2821" s="5">
        <f t="shared" si="88"/>
        <v>-4981.32</v>
      </c>
      <c r="I2821" s="9">
        <f t="shared" si="89"/>
        <v>-1</v>
      </c>
      <c r="J2821" s="3" t="s">
        <v>4603</v>
      </c>
    </row>
    <row r="2822" spans="1:10" ht="25.5">
      <c r="A2822" s="3" t="s">
        <v>1811</v>
      </c>
      <c r="B2822" s="3" t="s">
        <v>3684</v>
      </c>
      <c r="C2822" s="4">
        <v>296</v>
      </c>
      <c r="D2822" s="3" t="s">
        <v>137</v>
      </c>
      <c r="E2822" s="3" t="s">
        <v>18</v>
      </c>
      <c r="F2822" s="5">
        <v>0</v>
      </c>
      <c r="G2822" s="5">
        <v>5145.7219999999998</v>
      </c>
      <c r="H2822" s="5">
        <f t="shared" si="88"/>
        <v>5145.7219999999998</v>
      </c>
      <c r="I2822" s="9">
        <f t="shared" si="89"/>
        <v>0</v>
      </c>
      <c r="J2822" s="3" t="s">
        <v>4603</v>
      </c>
    </row>
    <row r="2823" spans="1:10" ht="25.5">
      <c r="A2823" s="3" t="s">
        <v>1811</v>
      </c>
      <c r="B2823" s="3" t="s">
        <v>3685</v>
      </c>
      <c r="C2823" s="4">
        <v>187</v>
      </c>
      <c r="D2823" s="3" t="s">
        <v>460</v>
      </c>
      <c r="E2823" s="3" t="s">
        <v>8</v>
      </c>
      <c r="F2823" s="5">
        <v>43178.37</v>
      </c>
      <c r="G2823" s="5">
        <v>16477.2</v>
      </c>
      <c r="H2823" s="5">
        <f t="shared" si="88"/>
        <v>-26701.170000000002</v>
      </c>
      <c r="I2823" s="9">
        <f t="shared" si="89"/>
        <v>-0.61839226446019158</v>
      </c>
      <c r="J2823" s="3" t="s">
        <v>4603</v>
      </c>
    </row>
    <row r="2824" spans="1:10" ht="25.5">
      <c r="A2824" s="3" t="s">
        <v>1811</v>
      </c>
      <c r="B2824" s="3" t="s">
        <v>3686</v>
      </c>
      <c r="C2824" s="4">
        <v>31</v>
      </c>
      <c r="D2824" s="3" t="s">
        <v>172</v>
      </c>
      <c r="E2824" s="3" t="s">
        <v>13</v>
      </c>
      <c r="F2824" s="5">
        <v>0</v>
      </c>
      <c r="G2824" s="5">
        <v>26831.88</v>
      </c>
      <c r="H2824" s="5">
        <f t="shared" si="88"/>
        <v>26831.88</v>
      </c>
      <c r="I2824" s="9">
        <f t="shared" si="89"/>
        <v>0</v>
      </c>
      <c r="J2824" s="3" t="s">
        <v>4603</v>
      </c>
    </row>
    <row r="2825" spans="1:10" ht="25.5">
      <c r="A2825" s="3" t="s">
        <v>1811</v>
      </c>
      <c r="B2825" s="3" t="s">
        <v>3687</v>
      </c>
      <c r="C2825" s="4">
        <v>267</v>
      </c>
      <c r="D2825" s="3" t="s">
        <v>417</v>
      </c>
      <c r="E2825" s="3" t="s">
        <v>13</v>
      </c>
      <c r="F2825" s="5">
        <v>11565</v>
      </c>
      <c r="G2825" s="5">
        <v>0</v>
      </c>
      <c r="H2825" s="5">
        <f t="shared" si="88"/>
        <v>-11565</v>
      </c>
      <c r="I2825" s="9">
        <f t="shared" si="89"/>
        <v>-1</v>
      </c>
      <c r="J2825" s="3" t="s">
        <v>4603</v>
      </c>
    </row>
    <row r="2826" spans="1:10" ht="25.5">
      <c r="A2826" s="3" t="s">
        <v>1811</v>
      </c>
      <c r="B2826" s="3" t="s">
        <v>3688</v>
      </c>
      <c r="C2826" s="4">
        <v>267</v>
      </c>
      <c r="D2826" s="3" t="s">
        <v>417</v>
      </c>
      <c r="E2826" s="3" t="s">
        <v>13</v>
      </c>
      <c r="F2826" s="5">
        <v>8458.68</v>
      </c>
      <c r="G2826" s="5">
        <v>0</v>
      </c>
      <c r="H2826" s="5">
        <f t="shared" si="88"/>
        <v>-8458.68</v>
      </c>
      <c r="I2826" s="9">
        <f t="shared" si="89"/>
        <v>-1</v>
      </c>
      <c r="J2826" s="3" t="s">
        <v>4603</v>
      </c>
    </row>
    <row r="2827" spans="1:10" ht="25.5">
      <c r="A2827" s="3" t="s">
        <v>1811</v>
      </c>
      <c r="B2827" s="3" t="s">
        <v>3689</v>
      </c>
      <c r="C2827" s="4">
        <v>218</v>
      </c>
      <c r="D2827" s="3" t="s">
        <v>155</v>
      </c>
      <c r="E2827" s="3" t="s">
        <v>13</v>
      </c>
      <c r="F2827" s="5">
        <v>3509.34</v>
      </c>
      <c r="G2827" s="5">
        <v>6857.52</v>
      </c>
      <c r="H2827" s="5">
        <f t="shared" si="88"/>
        <v>3348.1800000000003</v>
      </c>
      <c r="I2827" s="9">
        <f t="shared" si="89"/>
        <v>0.95407683496042006</v>
      </c>
      <c r="J2827" s="3" t="s">
        <v>4603</v>
      </c>
    </row>
    <row r="2828" spans="1:10" ht="25.5">
      <c r="A2828" s="3" t="s">
        <v>1811</v>
      </c>
      <c r="B2828" s="3" t="s">
        <v>3690</v>
      </c>
      <c r="C2828" s="4">
        <v>267</v>
      </c>
      <c r="D2828" s="3" t="s">
        <v>417</v>
      </c>
      <c r="E2828" s="3" t="s">
        <v>13</v>
      </c>
      <c r="F2828" s="5">
        <v>4631.28</v>
      </c>
      <c r="G2828" s="5">
        <v>5752.68</v>
      </c>
      <c r="H2828" s="5">
        <f t="shared" si="88"/>
        <v>1121.4000000000005</v>
      </c>
      <c r="I2828" s="9">
        <f t="shared" si="89"/>
        <v>0.24213608332901493</v>
      </c>
      <c r="J2828" s="3" t="s">
        <v>4603</v>
      </c>
    </row>
    <row r="2829" spans="1:10" ht="25.5">
      <c r="A2829" s="3" t="s">
        <v>1811</v>
      </c>
      <c r="B2829" s="3" t="s">
        <v>3691</v>
      </c>
      <c r="C2829" s="4">
        <v>218</v>
      </c>
      <c r="D2829" s="3" t="s">
        <v>155</v>
      </c>
      <c r="E2829" s="3" t="s">
        <v>13</v>
      </c>
      <c r="F2829" s="5">
        <v>4291.68</v>
      </c>
      <c r="G2829" s="5">
        <v>0</v>
      </c>
      <c r="H2829" s="5">
        <f t="shared" si="88"/>
        <v>-4291.68</v>
      </c>
      <c r="I2829" s="9">
        <f t="shared" si="89"/>
        <v>-1</v>
      </c>
      <c r="J2829" s="3" t="s">
        <v>4603</v>
      </c>
    </row>
    <row r="2830" spans="1:10" ht="25.5">
      <c r="A2830" s="3" t="s">
        <v>1811</v>
      </c>
      <c r="B2830" s="3" t="s">
        <v>3692</v>
      </c>
      <c r="C2830" s="4">
        <v>267</v>
      </c>
      <c r="D2830" s="3" t="s">
        <v>417</v>
      </c>
      <c r="E2830" s="3" t="s">
        <v>13</v>
      </c>
      <c r="F2830" s="5">
        <v>14348.1</v>
      </c>
      <c r="G2830" s="5">
        <v>13725.3</v>
      </c>
      <c r="H2830" s="5">
        <f t="shared" si="88"/>
        <v>-622.80000000000109</v>
      </c>
      <c r="I2830" s="9">
        <f t="shared" si="89"/>
        <v>-4.3406444058795346E-2</v>
      </c>
      <c r="J2830" s="3" t="s">
        <v>4603</v>
      </c>
    </row>
    <row r="2831" spans="1:10" ht="38.25">
      <c r="A2831" s="3" t="s">
        <v>1811</v>
      </c>
      <c r="B2831" s="3" t="s">
        <v>3693</v>
      </c>
      <c r="C2831" s="4">
        <v>292</v>
      </c>
      <c r="D2831" s="3" t="s">
        <v>619</v>
      </c>
      <c r="E2831" s="3" t="s">
        <v>13</v>
      </c>
      <c r="F2831" s="5">
        <v>0</v>
      </c>
      <c r="G2831" s="5">
        <v>2003.4</v>
      </c>
      <c r="H2831" s="5">
        <f t="shared" si="88"/>
        <v>2003.4</v>
      </c>
      <c r="I2831" s="9">
        <f t="shared" si="89"/>
        <v>0</v>
      </c>
      <c r="J2831" s="3" t="s">
        <v>4603</v>
      </c>
    </row>
    <row r="2832" spans="1:10" ht="38.25">
      <c r="A2832" s="3" t="s">
        <v>1811</v>
      </c>
      <c r="B2832" s="3" t="s">
        <v>3693</v>
      </c>
      <c r="C2832" s="4">
        <v>292</v>
      </c>
      <c r="D2832" s="3" t="s">
        <v>619</v>
      </c>
      <c r="E2832" s="3" t="s">
        <v>30</v>
      </c>
      <c r="F2832" s="5">
        <v>0</v>
      </c>
      <c r="G2832" s="5">
        <v>2003.4</v>
      </c>
      <c r="H2832" s="5">
        <f t="shared" si="88"/>
        <v>2003.4</v>
      </c>
      <c r="I2832" s="9">
        <f t="shared" si="89"/>
        <v>0</v>
      </c>
      <c r="J2832" s="3" t="s">
        <v>4603</v>
      </c>
    </row>
    <row r="2833" spans="1:10" ht="25.5">
      <c r="A2833" s="3" t="s">
        <v>1811</v>
      </c>
      <c r="B2833" s="3" t="s">
        <v>3694</v>
      </c>
      <c r="C2833" s="4">
        <v>273</v>
      </c>
      <c r="D2833" s="3" t="s">
        <v>771</v>
      </c>
      <c r="E2833" s="3" t="s">
        <v>13</v>
      </c>
      <c r="F2833" s="5">
        <v>3740.1</v>
      </c>
      <c r="G2833" s="5">
        <v>0</v>
      </c>
      <c r="H2833" s="5">
        <f t="shared" si="88"/>
        <v>-3740.1</v>
      </c>
      <c r="I2833" s="9">
        <f t="shared" si="89"/>
        <v>-1</v>
      </c>
      <c r="J2833" s="3" t="s">
        <v>4604</v>
      </c>
    </row>
    <row r="2834" spans="1:10" ht="25.5">
      <c r="A2834" s="3" t="s">
        <v>1811</v>
      </c>
      <c r="B2834" s="3" t="s">
        <v>3695</v>
      </c>
      <c r="C2834" s="4">
        <v>194</v>
      </c>
      <c r="D2834" s="3" t="s">
        <v>179</v>
      </c>
      <c r="E2834" s="3" t="s">
        <v>13</v>
      </c>
      <c r="F2834" s="5">
        <v>2717.4</v>
      </c>
      <c r="G2834" s="5">
        <v>9088.32</v>
      </c>
      <c r="H2834" s="5">
        <f t="shared" si="88"/>
        <v>6370.92</v>
      </c>
      <c r="I2834" s="9">
        <f t="shared" si="89"/>
        <v>2.3444910576286153</v>
      </c>
      <c r="J2834" s="3" t="s">
        <v>4603</v>
      </c>
    </row>
    <row r="2835" spans="1:10" ht="25.5">
      <c r="A2835" s="3" t="s">
        <v>1811</v>
      </c>
      <c r="B2835" s="3" t="s">
        <v>3696</v>
      </c>
      <c r="C2835" s="4">
        <v>273</v>
      </c>
      <c r="D2835" s="3" t="s">
        <v>771</v>
      </c>
      <c r="E2835" s="3" t="s">
        <v>13</v>
      </c>
      <c r="F2835" s="5">
        <v>4062.48</v>
      </c>
      <c r="G2835" s="5">
        <v>4385.4399999999996</v>
      </c>
      <c r="H2835" s="5">
        <f t="shared" si="88"/>
        <v>322.95999999999958</v>
      </c>
      <c r="I2835" s="9">
        <f t="shared" si="89"/>
        <v>7.9498237529784577E-2</v>
      </c>
      <c r="J2835" s="3" t="s">
        <v>4603</v>
      </c>
    </row>
    <row r="2836" spans="1:10" ht="25.5">
      <c r="A2836" s="3" t="s">
        <v>1811</v>
      </c>
      <c r="B2836" s="3" t="s">
        <v>3697</v>
      </c>
      <c r="C2836" s="4">
        <v>321</v>
      </c>
      <c r="D2836" s="3" t="s">
        <v>125</v>
      </c>
      <c r="E2836" s="3" t="s">
        <v>22</v>
      </c>
      <c r="F2836" s="5">
        <v>2315.52</v>
      </c>
      <c r="G2836" s="5">
        <v>1821.48</v>
      </c>
      <c r="H2836" s="5">
        <f t="shared" si="88"/>
        <v>-494.03999999999996</v>
      </c>
      <c r="I2836" s="9">
        <f t="shared" si="89"/>
        <v>-0.2133602819237147</v>
      </c>
      <c r="J2836" s="3" t="s">
        <v>4603</v>
      </c>
    </row>
    <row r="2837" spans="1:10" ht="38.25">
      <c r="A2837" s="3" t="s">
        <v>1811</v>
      </c>
      <c r="B2837" s="3" t="s">
        <v>3698</v>
      </c>
      <c r="C2837" s="4">
        <v>143</v>
      </c>
      <c r="D2837" s="3" t="s">
        <v>21</v>
      </c>
      <c r="E2837" s="3" t="s">
        <v>22</v>
      </c>
      <c r="F2837" s="5">
        <v>0</v>
      </c>
      <c r="G2837" s="5">
        <v>11765.04</v>
      </c>
      <c r="H2837" s="5">
        <f t="shared" si="88"/>
        <v>11765.04</v>
      </c>
      <c r="I2837" s="9">
        <f t="shared" si="89"/>
        <v>0</v>
      </c>
      <c r="J2837" s="3" t="s">
        <v>4603</v>
      </c>
    </row>
    <row r="2838" spans="1:10" ht="25.5">
      <c r="A2838" s="3" t="s">
        <v>1811</v>
      </c>
      <c r="B2838" s="3" t="s">
        <v>3699</v>
      </c>
      <c r="C2838" s="4">
        <v>273</v>
      </c>
      <c r="D2838" s="3" t="s">
        <v>771</v>
      </c>
      <c r="E2838" s="3" t="s">
        <v>13</v>
      </c>
      <c r="F2838" s="5">
        <v>6922.47</v>
      </c>
      <c r="G2838" s="5">
        <v>0</v>
      </c>
      <c r="H2838" s="5">
        <f t="shared" si="88"/>
        <v>-6922.47</v>
      </c>
      <c r="I2838" s="9">
        <f t="shared" si="89"/>
        <v>-1</v>
      </c>
      <c r="J2838" s="3" t="s">
        <v>4603</v>
      </c>
    </row>
    <row r="2839" spans="1:10" ht="25.5">
      <c r="A2839" s="3" t="s">
        <v>1811</v>
      </c>
      <c r="B2839" s="3" t="s">
        <v>3700</v>
      </c>
      <c r="C2839" s="4">
        <v>240</v>
      </c>
      <c r="D2839" s="3" t="s">
        <v>152</v>
      </c>
      <c r="E2839" s="3" t="s">
        <v>13</v>
      </c>
      <c r="F2839" s="5">
        <v>0</v>
      </c>
      <c r="G2839" s="5">
        <v>8610.24</v>
      </c>
      <c r="H2839" s="5">
        <f t="shared" si="88"/>
        <v>8610.24</v>
      </c>
      <c r="I2839" s="9">
        <f t="shared" si="89"/>
        <v>0</v>
      </c>
      <c r="J2839" s="3" t="s">
        <v>4603</v>
      </c>
    </row>
    <row r="2840" spans="1:10" ht="25.5">
      <c r="A2840" s="3" t="s">
        <v>1811</v>
      </c>
      <c r="B2840" s="3" t="s">
        <v>3701</v>
      </c>
      <c r="C2840" s="4">
        <v>335</v>
      </c>
      <c r="D2840" s="3" t="s">
        <v>7</v>
      </c>
      <c r="E2840" s="3" t="s">
        <v>8</v>
      </c>
      <c r="F2840" s="5">
        <v>0</v>
      </c>
      <c r="G2840" s="5">
        <v>16976.25</v>
      </c>
      <c r="H2840" s="5">
        <f t="shared" si="88"/>
        <v>16976.25</v>
      </c>
      <c r="I2840" s="9">
        <f t="shared" si="89"/>
        <v>0</v>
      </c>
      <c r="J2840" s="3" t="s">
        <v>4603</v>
      </c>
    </row>
    <row r="2841" spans="1:10" ht="38.25">
      <c r="A2841" s="3" t="s">
        <v>1811</v>
      </c>
      <c r="B2841" s="3" t="s">
        <v>3702</v>
      </c>
      <c r="C2841" s="4">
        <v>38</v>
      </c>
      <c r="D2841" s="3" t="s">
        <v>229</v>
      </c>
      <c r="E2841" s="3" t="s">
        <v>30</v>
      </c>
      <c r="F2841" s="5">
        <v>2873.52</v>
      </c>
      <c r="G2841" s="5">
        <v>5017.8</v>
      </c>
      <c r="H2841" s="5">
        <f t="shared" si="88"/>
        <v>2144.2800000000002</v>
      </c>
      <c r="I2841" s="9">
        <f t="shared" si="89"/>
        <v>0.746220663158774</v>
      </c>
      <c r="J2841" s="3" t="s">
        <v>4603</v>
      </c>
    </row>
    <row r="2842" spans="1:10">
      <c r="A2842" s="3" t="s">
        <v>1811</v>
      </c>
      <c r="B2842" s="3" t="s">
        <v>3703</v>
      </c>
      <c r="C2842" s="4">
        <v>315</v>
      </c>
      <c r="D2842" s="3" t="s">
        <v>79</v>
      </c>
      <c r="E2842" s="3" t="s">
        <v>8</v>
      </c>
      <c r="F2842" s="5">
        <v>4379.7</v>
      </c>
      <c r="G2842" s="5">
        <v>0</v>
      </c>
      <c r="H2842" s="5">
        <f t="shared" si="88"/>
        <v>-4379.7</v>
      </c>
      <c r="I2842" s="9">
        <f t="shared" si="89"/>
        <v>-1</v>
      </c>
      <c r="J2842" s="3" t="s">
        <v>4604</v>
      </c>
    </row>
    <row r="2843" spans="1:10" ht="25.5">
      <c r="A2843" s="3" t="s">
        <v>1811</v>
      </c>
      <c r="B2843" s="3" t="s">
        <v>3704</v>
      </c>
      <c r="C2843" s="4">
        <v>194</v>
      </c>
      <c r="D2843" s="3" t="s">
        <v>179</v>
      </c>
      <c r="E2843" s="3" t="s">
        <v>13</v>
      </c>
      <c r="F2843" s="5">
        <v>45659.88</v>
      </c>
      <c r="G2843" s="5">
        <v>0</v>
      </c>
      <c r="H2843" s="5">
        <f t="shared" si="88"/>
        <v>-45659.88</v>
      </c>
      <c r="I2843" s="9">
        <f t="shared" si="89"/>
        <v>-1</v>
      </c>
      <c r="J2843" s="3" t="s">
        <v>4603</v>
      </c>
    </row>
    <row r="2844" spans="1:10" ht="25.5">
      <c r="A2844" s="3" t="s">
        <v>1811</v>
      </c>
      <c r="B2844" s="3" t="s">
        <v>3705</v>
      </c>
      <c r="C2844" s="4">
        <v>296</v>
      </c>
      <c r="D2844" s="3" t="s">
        <v>137</v>
      </c>
      <c r="E2844" s="3" t="s">
        <v>18</v>
      </c>
      <c r="F2844" s="5">
        <v>5036.04</v>
      </c>
      <c r="G2844" s="5">
        <v>12893.602000000001</v>
      </c>
      <c r="H2844" s="5">
        <f t="shared" si="88"/>
        <v>7857.5620000000008</v>
      </c>
      <c r="I2844" s="9">
        <f t="shared" si="89"/>
        <v>1.5602660026528783</v>
      </c>
      <c r="J2844" s="3" t="s">
        <v>4603</v>
      </c>
    </row>
    <row r="2845" spans="1:10" ht="25.5">
      <c r="A2845" s="3" t="s">
        <v>1811</v>
      </c>
      <c r="B2845" s="3" t="s">
        <v>3705</v>
      </c>
      <c r="C2845" s="4">
        <v>296</v>
      </c>
      <c r="D2845" s="3" t="s">
        <v>137</v>
      </c>
      <c r="E2845" s="3" t="s">
        <v>13</v>
      </c>
      <c r="F2845" s="5">
        <v>5036.04</v>
      </c>
      <c r="G2845" s="5">
        <v>12893.602000000001</v>
      </c>
      <c r="H2845" s="5">
        <f t="shared" si="88"/>
        <v>7857.5620000000008</v>
      </c>
      <c r="I2845" s="9">
        <f t="shared" si="89"/>
        <v>1.5602660026528783</v>
      </c>
      <c r="J2845" s="3" t="s">
        <v>4603</v>
      </c>
    </row>
    <row r="2846" spans="1:10" ht="25.5">
      <c r="A2846" s="3" t="s">
        <v>1811</v>
      </c>
      <c r="B2846" s="3" t="s">
        <v>3706</v>
      </c>
      <c r="C2846" s="4">
        <v>208</v>
      </c>
      <c r="D2846" s="3" t="s">
        <v>58</v>
      </c>
      <c r="E2846" s="3" t="s">
        <v>13</v>
      </c>
      <c r="F2846" s="5">
        <v>6862.92</v>
      </c>
      <c r="G2846" s="5">
        <v>3514.56</v>
      </c>
      <c r="H2846" s="5">
        <f t="shared" si="88"/>
        <v>-3348.36</v>
      </c>
      <c r="I2846" s="9">
        <f t="shared" si="89"/>
        <v>-0.48789145145215163</v>
      </c>
      <c r="J2846" s="3" t="s">
        <v>4603</v>
      </c>
    </row>
    <row r="2847" spans="1:10" ht="25.5">
      <c r="A2847" s="3" t="s">
        <v>1811</v>
      </c>
      <c r="B2847" s="3" t="s">
        <v>3707</v>
      </c>
      <c r="C2847" s="4">
        <v>273</v>
      </c>
      <c r="D2847" s="3" t="s">
        <v>771</v>
      </c>
      <c r="E2847" s="3" t="s">
        <v>13</v>
      </c>
      <c r="F2847" s="5">
        <v>13916.28</v>
      </c>
      <c r="G2847" s="5">
        <v>9435.7199999999993</v>
      </c>
      <c r="H2847" s="5">
        <f t="shared" si="88"/>
        <v>-4480.5600000000013</v>
      </c>
      <c r="I2847" s="9">
        <f t="shared" si="89"/>
        <v>-0.32196535280980265</v>
      </c>
      <c r="J2847" s="3" t="s">
        <v>4603</v>
      </c>
    </row>
    <row r="2848" spans="1:10" ht="25.5">
      <c r="A2848" s="3" t="s">
        <v>1811</v>
      </c>
      <c r="B2848" s="3" t="s">
        <v>3708</v>
      </c>
      <c r="C2848" s="4">
        <v>302</v>
      </c>
      <c r="D2848" s="3" t="s">
        <v>303</v>
      </c>
      <c r="E2848" s="3" t="s">
        <v>30</v>
      </c>
      <c r="F2848" s="5">
        <v>4955.88</v>
      </c>
      <c r="G2848" s="5">
        <v>0</v>
      </c>
      <c r="H2848" s="5">
        <f t="shared" si="88"/>
        <v>-4955.88</v>
      </c>
      <c r="I2848" s="9">
        <f t="shared" si="89"/>
        <v>-1</v>
      </c>
      <c r="J2848" s="3" t="s">
        <v>4603</v>
      </c>
    </row>
    <row r="2849" spans="1:10" ht="25.5">
      <c r="A2849" s="3" t="s">
        <v>1811</v>
      </c>
      <c r="B2849" s="3" t="s">
        <v>3709</v>
      </c>
      <c r="C2849" s="4">
        <v>327</v>
      </c>
      <c r="D2849" s="3" t="s">
        <v>76</v>
      </c>
      <c r="E2849" s="3" t="s">
        <v>8</v>
      </c>
      <c r="F2849" s="5">
        <v>2783.52</v>
      </c>
      <c r="G2849" s="5">
        <v>0</v>
      </c>
      <c r="H2849" s="5">
        <f t="shared" si="88"/>
        <v>-2783.52</v>
      </c>
      <c r="I2849" s="9">
        <f t="shared" si="89"/>
        <v>-1</v>
      </c>
      <c r="J2849" s="3" t="s">
        <v>4603</v>
      </c>
    </row>
    <row r="2850" spans="1:10" ht="38.25">
      <c r="A2850" s="3" t="s">
        <v>1811</v>
      </c>
      <c r="B2850" s="3" t="s">
        <v>3710</v>
      </c>
      <c r="C2850" s="4">
        <v>34</v>
      </c>
      <c r="D2850" s="3" t="s">
        <v>136</v>
      </c>
      <c r="E2850" s="3" t="s">
        <v>30</v>
      </c>
      <c r="F2850" s="5">
        <v>13286.31</v>
      </c>
      <c r="G2850" s="5">
        <v>0</v>
      </c>
      <c r="H2850" s="5">
        <f t="shared" si="88"/>
        <v>-13286.31</v>
      </c>
      <c r="I2850" s="9">
        <f t="shared" si="89"/>
        <v>-1</v>
      </c>
      <c r="J2850" s="3" t="s">
        <v>4604</v>
      </c>
    </row>
    <row r="2851" spans="1:10" ht="25.5">
      <c r="A2851" s="3" t="s">
        <v>1811</v>
      </c>
      <c r="B2851" s="3" t="s">
        <v>3711</v>
      </c>
      <c r="C2851" s="4">
        <v>231</v>
      </c>
      <c r="D2851" s="3" t="s">
        <v>89</v>
      </c>
      <c r="E2851" s="3" t="s">
        <v>8</v>
      </c>
      <c r="F2851" s="5">
        <v>0</v>
      </c>
      <c r="G2851" s="5">
        <v>13674.84</v>
      </c>
      <c r="H2851" s="5">
        <f t="shared" si="88"/>
        <v>13674.84</v>
      </c>
      <c r="I2851" s="9">
        <f t="shared" si="89"/>
        <v>0</v>
      </c>
      <c r="J2851" s="3" t="s">
        <v>4603</v>
      </c>
    </row>
    <row r="2852" spans="1:10" ht="25.5">
      <c r="A2852" s="3" t="s">
        <v>1811</v>
      </c>
      <c r="B2852" s="3" t="s">
        <v>3712</v>
      </c>
      <c r="C2852" s="4">
        <v>194</v>
      </c>
      <c r="D2852" s="3" t="s">
        <v>179</v>
      </c>
      <c r="E2852" s="3" t="s">
        <v>13</v>
      </c>
      <c r="F2852" s="5">
        <v>7355.04</v>
      </c>
      <c r="G2852" s="5">
        <v>10506.24</v>
      </c>
      <c r="H2852" s="5">
        <f t="shared" si="88"/>
        <v>3151.2</v>
      </c>
      <c r="I2852" s="9">
        <f t="shared" si="89"/>
        <v>0.42844090582784045</v>
      </c>
      <c r="J2852" s="3" t="s">
        <v>4603</v>
      </c>
    </row>
    <row r="2853" spans="1:10" ht="25.5">
      <c r="A2853" s="3" t="s">
        <v>1811</v>
      </c>
      <c r="B2853" s="3" t="s">
        <v>3713</v>
      </c>
      <c r="C2853" s="4">
        <v>19</v>
      </c>
      <c r="D2853" s="3" t="s">
        <v>53</v>
      </c>
      <c r="E2853" s="3" t="s">
        <v>22</v>
      </c>
      <c r="F2853" s="5">
        <v>15831.54</v>
      </c>
      <c r="G2853" s="5">
        <v>0</v>
      </c>
      <c r="H2853" s="5">
        <f t="shared" si="88"/>
        <v>-15831.54</v>
      </c>
      <c r="I2853" s="9">
        <f t="shared" si="89"/>
        <v>-1</v>
      </c>
      <c r="J2853" s="3" t="s">
        <v>4603</v>
      </c>
    </row>
    <row r="2854" spans="1:10" ht="25.5">
      <c r="A2854" s="3" t="s">
        <v>1811</v>
      </c>
      <c r="B2854" s="3" t="s">
        <v>3714</v>
      </c>
      <c r="C2854" s="4">
        <v>267</v>
      </c>
      <c r="D2854" s="3" t="s">
        <v>417</v>
      </c>
      <c r="E2854" s="3" t="s">
        <v>13</v>
      </c>
      <c r="F2854" s="5">
        <v>3227.28</v>
      </c>
      <c r="G2854" s="5">
        <v>0</v>
      </c>
      <c r="H2854" s="5">
        <f t="shared" si="88"/>
        <v>-3227.28</v>
      </c>
      <c r="I2854" s="9">
        <f t="shared" si="89"/>
        <v>-1</v>
      </c>
      <c r="J2854" s="3" t="s">
        <v>4603</v>
      </c>
    </row>
    <row r="2855" spans="1:10" ht="38.25">
      <c r="A2855" s="3" t="s">
        <v>1811</v>
      </c>
      <c r="B2855" s="3" t="s">
        <v>3715</v>
      </c>
      <c r="C2855" s="4">
        <v>23</v>
      </c>
      <c r="D2855" s="3" t="s">
        <v>71</v>
      </c>
      <c r="E2855" s="3" t="s">
        <v>8</v>
      </c>
      <c r="F2855" s="5">
        <v>14475.81</v>
      </c>
      <c r="G2855" s="5">
        <v>15449.28</v>
      </c>
      <c r="H2855" s="5">
        <f t="shared" si="88"/>
        <v>973.47000000000116</v>
      </c>
      <c r="I2855" s="9">
        <f t="shared" si="89"/>
        <v>6.7248050368166057E-2</v>
      </c>
      <c r="J2855" s="3" t="s">
        <v>4603</v>
      </c>
    </row>
    <row r="2856" spans="1:10" ht="38.25">
      <c r="A2856" s="3" t="s">
        <v>1811</v>
      </c>
      <c r="B2856" s="3" t="s">
        <v>3716</v>
      </c>
      <c r="C2856" s="4">
        <v>143</v>
      </c>
      <c r="D2856" s="3" t="s">
        <v>21</v>
      </c>
      <c r="E2856" s="3" t="s">
        <v>22</v>
      </c>
      <c r="F2856" s="5">
        <v>2966.49</v>
      </c>
      <c r="G2856" s="5">
        <v>4560.24</v>
      </c>
      <c r="H2856" s="5">
        <f t="shared" si="88"/>
        <v>1593.75</v>
      </c>
      <c r="I2856" s="9">
        <f t="shared" si="89"/>
        <v>0.53725109472811305</v>
      </c>
      <c r="J2856" s="3" t="s">
        <v>4603</v>
      </c>
    </row>
    <row r="2857" spans="1:10" ht="25.5">
      <c r="A2857" s="3" t="s">
        <v>1811</v>
      </c>
      <c r="B2857" s="3" t="s">
        <v>3717</v>
      </c>
      <c r="C2857" s="4">
        <v>337</v>
      </c>
      <c r="D2857" s="3" t="s">
        <v>218</v>
      </c>
      <c r="E2857" s="3" t="s">
        <v>13</v>
      </c>
      <c r="F2857" s="5">
        <v>3230.64</v>
      </c>
      <c r="G2857" s="5">
        <v>2769.6</v>
      </c>
      <c r="H2857" s="5">
        <f t="shared" si="88"/>
        <v>-461.03999999999996</v>
      </c>
      <c r="I2857" s="9">
        <f t="shared" si="89"/>
        <v>-0.1427085654854765</v>
      </c>
      <c r="J2857" s="3" t="s">
        <v>4603</v>
      </c>
    </row>
    <row r="2858" spans="1:10" ht="25.5">
      <c r="A2858" s="3" t="s">
        <v>1811</v>
      </c>
      <c r="B2858" s="3" t="s">
        <v>3718</v>
      </c>
      <c r="C2858" s="4">
        <v>217</v>
      </c>
      <c r="D2858" s="3" t="s">
        <v>253</v>
      </c>
      <c r="E2858" s="3" t="s">
        <v>13</v>
      </c>
      <c r="F2858" s="5">
        <v>17769.599999999999</v>
      </c>
      <c r="G2858" s="5">
        <v>3287.46</v>
      </c>
      <c r="H2858" s="5">
        <f t="shared" si="88"/>
        <v>-14482.14</v>
      </c>
      <c r="I2858" s="9">
        <f t="shared" si="89"/>
        <v>-0.81499527282549966</v>
      </c>
      <c r="J2858" s="3" t="s">
        <v>4603</v>
      </c>
    </row>
    <row r="2859" spans="1:10" ht="25.5">
      <c r="A2859" s="3" t="s">
        <v>1811</v>
      </c>
      <c r="B2859" s="3" t="s">
        <v>3719</v>
      </c>
      <c r="C2859" s="4">
        <v>61</v>
      </c>
      <c r="D2859" s="3" t="s">
        <v>114</v>
      </c>
      <c r="E2859" s="3" t="s">
        <v>30</v>
      </c>
      <c r="F2859" s="5">
        <v>43187.76</v>
      </c>
      <c r="G2859" s="5">
        <v>45225.599999999999</v>
      </c>
      <c r="H2859" s="5">
        <f t="shared" si="88"/>
        <v>2037.8399999999965</v>
      </c>
      <c r="I2859" s="9">
        <f t="shared" si="89"/>
        <v>4.718559147313961E-2</v>
      </c>
      <c r="J2859" s="3" t="s">
        <v>4603</v>
      </c>
    </row>
    <row r="2860" spans="1:10" ht="25.5">
      <c r="A2860" s="3" t="s">
        <v>1811</v>
      </c>
      <c r="B2860" s="3" t="s">
        <v>3720</v>
      </c>
      <c r="C2860" s="4">
        <v>273</v>
      </c>
      <c r="D2860" s="3" t="s">
        <v>771</v>
      </c>
      <c r="E2860" s="3" t="s">
        <v>18</v>
      </c>
      <c r="F2860" s="5">
        <v>4907.76</v>
      </c>
      <c r="G2860" s="5">
        <v>0</v>
      </c>
      <c r="H2860" s="5">
        <f t="shared" si="88"/>
        <v>-4907.76</v>
      </c>
      <c r="I2860" s="9">
        <f t="shared" si="89"/>
        <v>-1</v>
      </c>
      <c r="J2860" s="3" t="s">
        <v>4603</v>
      </c>
    </row>
    <row r="2861" spans="1:10" ht="25.5">
      <c r="A2861" s="3" t="s">
        <v>1811</v>
      </c>
      <c r="B2861" s="3" t="s">
        <v>3720</v>
      </c>
      <c r="C2861" s="4">
        <v>273</v>
      </c>
      <c r="D2861" s="3" t="s">
        <v>771</v>
      </c>
      <c r="E2861" s="3" t="s">
        <v>13</v>
      </c>
      <c r="F2861" s="5">
        <v>4907.76</v>
      </c>
      <c r="G2861" s="5">
        <v>0</v>
      </c>
      <c r="H2861" s="5">
        <f t="shared" si="88"/>
        <v>-4907.76</v>
      </c>
      <c r="I2861" s="9">
        <f t="shared" si="89"/>
        <v>-1</v>
      </c>
      <c r="J2861" s="3" t="s">
        <v>4603</v>
      </c>
    </row>
    <row r="2862" spans="1:10" ht="25.5">
      <c r="A2862" s="3" t="s">
        <v>1811</v>
      </c>
      <c r="B2862" s="3" t="s">
        <v>3721</v>
      </c>
      <c r="C2862" s="4">
        <v>218</v>
      </c>
      <c r="D2862" s="3" t="s">
        <v>155</v>
      </c>
      <c r="E2862" s="3" t="s">
        <v>13</v>
      </c>
      <c r="F2862" s="5">
        <v>0</v>
      </c>
      <c r="G2862" s="5">
        <v>3195.6</v>
      </c>
      <c r="H2862" s="5">
        <f t="shared" si="88"/>
        <v>3195.6</v>
      </c>
      <c r="I2862" s="9">
        <f t="shared" si="89"/>
        <v>0</v>
      </c>
      <c r="J2862" s="3" t="s">
        <v>4603</v>
      </c>
    </row>
    <row r="2863" spans="1:10" ht="25.5">
      <c r="A2863" s="3" t="s">
        <v>1811</v>
      </c>
      <c r="B2863" s="3" t="s">
        <v>3722</v>
      </c>
      <c r="C2863" s="4">
        <v>15</v>
      </c>
      <c r="D2863" s="3" t="s">
        <v>33</v>
      </c>
      <c r="E2863" s="3" t="s">
        <v>13</v>
      </c>
      <c r="F2863" s="5">
        <v>29427.42</v>
      </c>
      <c r="G2863" s="5">
        <v>23832.959999999999</v>
      </c>
      <c r="H2863" s="5">
        <f t="shared" si="88"/>
        <v>-5594.4599999999991</v>
      </c>
      <c r="I2863" s="9">
        <f t="shared" si="89"/>
        <v>-0.19011044801073285</v>
      </c>
      <c r="J2863" s="3" t="s">
        <v>4603</v>
      </c>
    </row>
    <row r="2864" spans="1:10" ht="25.5">
      <c r="A2864" s="3" t="s">
        <v>1811</v>
      </c>
      <c r="B2864" s="3" t="s">
        <v>3723</v>
      </c>
      <c r="C2864" s="4">
        <v>267</v>
      </c>
      <c r="D2864" s="3" t="s">
        <v>417</v>
      </c>
      <c r="E2864" s="3" t="s">
        <v>13</v>
      </c>
      <c r="F2864" s="5">
        <v>15873.24</v>
      </c>
      <c r="G2864" s="5">
        <v>12398.4</v>
      </c>
      <c r="H2864" s="5">
        <f t="shared" si="88"/>
        <v>-3474.84</v>
      </c>
      <c r="I2864" s="9">
        <f t="shared" si="89"/>
        <v>-0.21891182896497507</v>
      </c>
      <c r="J2864" s="3" t="s">
        <v>4604</v>
      </c>
    </row>
    <row r="2865" spans="1:10" ht="25.5">
      <c r="A2865" s="3" t="s">
        <v>1811</v>
      </c>
      <c r="B2865" s="3" t="s">
        <v>3724</v>
      </c>
      <c r="C2865" s="4">
        <v>217</v>
      </c>
      <c r="D2865" s="3" t="s">
        <v>253</v>
      </c>
      <c r="E2865" s="3" t="s">
        <v>13</v>
      </c>
      <c r="F2865" s="5">
        <v>4258.68</v>
      </c>
      <c r="G2865" s="5">
        <v>0</v>
      </c>
      <c r="H2865" s="5">
        <f t="shared" si="88"/>
        <v>-4258.68</v>
      </c>
      <c r="I2865" s="9">
        <f t="shared" si="89"/>
        <v>-1</v>
      </c>
      <c r="J2865" s="3" t="s">
        <v>4603</v>
      </c>
    </row>
    <row r="2866" spans="1:10" ht="25.5">
      <c r="A2866" s="3" t="s">
        <v>1811</v>
      </c>
      <c r="B2866" s="3" t="s">
        <v>3725</v>
      </c>
      <c r="C2866" s="4">
        <v>218</v>
      </c>
      <c r="D2866" s="3" t="s">
        <v>155</v>
      </c>
      <c r="E2866" s="3" t="s">
        <v>13</v>
      </c>
      <c r="F2866" s="5">
        <v>3409.26</v>
      </c>
      <c r="G2866" s="5">
        <v>0</v>
      </c>
      <c r="H2866" s="5">
        <f t="shared" si="88"/>
        <v>-3409.26</v>
      </c>
      <c r="I2866" s="9">
        <f t="shared" si="89"/>
        <v>-1</v>
      </c>
      <c r="J2866" s="3" t="s">
        <v>4603</v>
      </c>
    </row>
    <row r="2867" spans="1:10" ht="51">
      <c r="A2867" s="3" t="s">
        <v>1811</v>
      </c>
      <c r="B2867" s="3" t="s">
        <v>3726</v>
      </c>
      <c r="C2867" s="4">
        <v>282</v>
      </c>
      <c r="D2867" s="3" t="s">
        <v>298</v>
      </c>
      <c r="E2867" s="3" t="s">
        <v>9</v>
      </c>
      <c r="F2867" s="5">
        <v>2087.04</v>
      </c>
      <c r="G2867" s="5">
        <v>0</v>
      </c>
      <c r="H2867" s="5">
        <f t="shared" si="88"/>
        <v>-2087.04</v>
      </c>
      <c r="I2867" s="9">
        <f t="shared" si="89"/>
        <v>-1</v>
      </c>
      <c r="J2867" s="3" t="s">
        <v>4603</v>
      </c>
    </row>
    <row r="2868" spans="1:10" ht="38.25">
      <c r="A2868" s="3" t="s">
        <v>1811</v>
      </c>
      <c r="B2868" s="3" t="s">
        <v>3727</v>
      </c>
      <c r="C2868" s="4">
        <v>38</v>
      </c>
      <c r="D2868" s="3" t="s">
        <v>229</v>
      </c>
      <c r="E2868" s="3" t="s">
        <v>30</v>
      </c>
      <c r="F2868" s="5">
        <v>6219.54</v>
      </c>
      <c r="G2868" s="5">
        <v>0</v>
      </c>
      <c r="H2868" s="5">
        <f t="shared" si="88"/>
        <v>-6219.54</v>
      </c>
      <c r="I2868" s="9">
        <f t="shared" si="89"/>
        <v>-1</v>
      </c>
      <c r="J2868" s="3" t="s">
        <v>4603</v>
      </c>
    </row>
    <row r="2869" spans="1:10" ht="25.5">
      <c r="A2869" s="3" t="s">
        <v>1811</v>
      </c>
      <c r="B2869" s="3" t="s">
        <v>3728</v>
      </c>
      <c r="C2869" s="4">
        <v>31</v>
      </c>
      <c r="D2869" s="3" t="s">
        <v>172</v>
      </c>
      <c r="E2869" s="3" t="s">
        <v>13</v>
      </c>
      <c r="F2869" s="5">
        <v>0</v>
      </c>
      <c r="G2869" s="5">
        <v>9800.64</v>
      </c>
      <c r="H2869" s="5">
        <f t="shared" si="88"/>
        <v>9800.64</v>
      </c>
      <c r="I2869" s="9">
        <f t="shared" si="89"/>
        <v>0</v>
      </c>
      <c r="J2869" s="3" t="s">
        <v>4603</v>
      </c>
    </row>
    <row r="2870" spans="1:10" ht="25.5">
      <c r="A2870" s="3" t="s">
        <v>1811</v>
      </c>
      <c r="B2870" s="3" t="s">
        <v>3729</v>
      </c>
      <c r="C2870" s="4">
        <v>93</v>
      </c>
      <c r="D2870" s="3" t="s">
        <v>42</v>
      </c>
      <c r="E2870" s="3" t="s">
        <v>8</v>
      </c>
      <c r="F2870" s="5">
        <v>3023.52</v>
      </c>
      <c r="G2870" s="5">
        <v>0</v>
      </c>
      <c r="H2870" s="5">
        <f t="shared" si="88"/>
        <v>-3023.52</v>
      </c>
      <c r="I2870" s="9">
        <f t="shared" si="89"/>
        <v>-1</v>
      </c>
      <c r="J2870" s="3" t="s">
        <v>4603</v>
      </c>
    </row>
    <row r="2871" spans="1:10" ht="25.5">
      <c r="A2871" s="3" t="s">
        <v>1811</v>
      </c>
      <c r="B2871" s="3" t="s">
        <v>3730</v>
      </c>
      <c r="C2871" s="4">
        <v>267</v>
      </c>
      <c r="D2871" s="3" t="s">
        <v>417</v>
      </c>
      <c r="E2871" s="3" t="s">
        <v>13</v>
      </c>
      <c r="F2871" s="5">
        <v>12606.42</v>
      </c>
      <c r="G2871" s="5">
        <v>3195.6</v>
      </c>
      <c r="H2871" s="5">
        <f t="shared" si="88"/>
        <v>-9410.82</v>
      </c>
      <c r="I2871" s="9">
        <f t="shared" si="89"/>
        <v>-0.74651011151460922</v>
      </c>
      <c r="J2871" s="3" t="s">
        <v>4603</v>
      </c>
    </row>
    <row r="2872" spans="1:10" ht="25.5">
      <c r="A2872" s="3" t="s">
        <v>1811</v>
      </c>
      <c r="B2872" s="3" t="s">
        <v>3731</v>
      </c>
      <c r="C2872" s="4">
        <v>31</v>
      </c>
      <c r="D2872" s="3" t="s">
        <v>172</v>
      </c>
      <c r="E2872" s="3" t="s">
        <v>13</v>
      </c>
      <c r="F2872" s="5">
        <v>8947.68</v>
      </c>
      <c r="G2872" s="5">
        <v>0</v>
      </c>
      <c r="H2872" s="5">
        <f t="shared" si="88"/>
        <v>-8947.68</v>
      </c>
      <c r="I2872" s="9">
        <f t="shared" si="89"/>
        <v>-1</v>
      </c>
      <c r="J2872" s="3" t="s">
        <v>4603</v>
      </c>
    </row>
    <row r="2873" spans="1:10" ht="25.5">
      <c r="A2873" s="3" t="s">
        <v>1811</v>
      </c>
      <c r="B2873" s="3" t="s">
        <v>3732</v>
      </c>
      <c r="C2873" s="4">
        <v>197</v>
      </c>
      <c r="D2873" s="3" t="s">
        <v>23</v>
      </c>
      <c r="E2873" s="3" t="s">
        <v>22</v>
      </c>
      <c r="F2873" s="5">
        <v>5471.07</v>
      </c>
      <c r="G2873" s="5">
        <v>4689.4799999999996</v>
      </c>
      <c r="H2873" s="5">
        <f t="shared" si="88"/>
        <v>-781.59000000000015</v>
      </c>
      <c r="I2873" s="9">
        <f t="shared" si="89"/>
        <v>-0.14285870953945023</v>
      </c>
      <c r="J2873" s="3" t="s">
        <v>4603</v>
      </c>
    </row>
    <row r="2874" spans="1:10" ht="38.25">
      <c r="A2874" s="3" t="s">
        <v>1811</v>
      </c>
      <c r="B2874" s="3" t="s">
        <v>3733</v>
      </c>
      <c r="C2874" s="4">
        <v>143</v>
      </c>
      <c r="D2874" s="3" t="s">
        <v>21</v>
      </c>
      <c r="E2874" s="3" t="s">
        <v>22</v>
      </c>
      <c r="F2874" s="5">
        <v>4859.22</v>
      </c>
      <c r="G2874" s="5">
        <v>3782.88</v>
      </c>
      <c r="H2874" s="5">
        <f t="shared" si="88"/>
        <v>-1076.3400000000001</v>
      </c>
      <c r="I2874" s="9">
        <f t="shared" si="89"/>
        <v>-0.22150468593724926</v>
      </c>
      <c r="J2874" s="3" t="s">
        <v>4603</v>
      </c>
    </row>
    <row r="2875" spans="1:10" ht="25.5">
      <c r="A2875" s="3" t="s">
        <v>1811</v>
      </c>
      <c r="B2875" s="3" t="s">
        <v>3734</v>
      </c>
      <c r="C2875" s="4">
        <v>317</v>
      </c>
      <c r="D2875" s="3" t="s">
        <v>54</v>
      </c>
      <c r="E2875" s="3" t="s">
        <v>18</v>
      </c>
      <c r="F2875" s="5">
        <v>0</v>
      </c>
      <c r="G2875" s="5">
        <v>6093.36</v>
      </c>
      <c r="H2875" s="5">
        <f t="shared" si="88"/>
        <v>6093.36</v>
      </c>
      <c r="I2875" s="9">
        <f t="shared" si="89"/>
        <v>0</v>
      </c>
      <c r="J2875" s="3" t="s">
        <v>4603</v>
      </c>
    </row>
    <row r="2876" spans="1:10" ht="25.5">
      <c r="A2876" s="3" t="s">
        <v>1811</v>
      </c>
      <c r="B2876" s="3" t="s">
        <v>3735</v>
      </c>
      <c r="C2876" s="4">
        <v>194</v>
      </c>
      <c r="D2876" s="3" t="s">
        <v>179</v>
      </c>
      <c r="E2876" s="3" t="s">
        <v>13</v>
      </c>
      <c r="F2876" s="5">
        <v>0</v>
      </c>
      <c r="G2876" s="5">
        <v>19830.39</v>
      </c>
      <c r="H2876" s="5">
        <f t="shared" si="88"/>
        <v>19830.39</v>
      </c>
      <c r="I2876" s="9">
        <f t="shared" si="89"/>
        <v>0</v>
      </c>
      <c r="J2876" s="3" t="s">
        <v>4603</v>
      </c>
    </row>
    <row r="2877" spans="1:10" ht="38.25">
      <c r="A2877" s="3" t="s">
        <v>1811</v>
      </c>
      <c r="B2877" s="3" t="s">
        <v>3736</v>
      </c>
      <c r="C2877" s="4">
        <v>143</v>
      </c>
      <c r="D2877" s="3" t="s">
        <v>21</v>
      </c>
      <c r="E2877" s="3" t="s">
        <v>22</v>
      </c>
      <c r="F2877" s="5">
        <v>18912.560000000001</v>
      </c>
      <c r="G2877" s="5">
        <v>28964.13</v>
      </c>
      <c r="H2877" s="5">
        <f t="shared" si="88"/>
        <v>10051.57</v>
      </c>
      <c r="I2877" s="9">
        <f t="shared" si="89"/>
        <v>0.53147590807378786</v>
      </c>
      <c r="J2877" s="3" t="s">
        <v>4603</v>
      </c>
    </row>
    <row r="2878" spans="1:10" ht="25.5">
      <c r="A2878" s="3" t="s">
        <v>1811</v>
      </c>
      <c r="B2878" s="3" t="s">
        <v>3737</v>
      </c>
      <c r="C2878" s="4">
        <v>23</v>
      </c>
      <c r="D2878" s="3" t="s">
        <v>71</v>
      </c>
      <c r="E2878" s="3" t="s">
        <v>8</v>
      </c>
      <c r="F2878" s="5">
        <v>3153.54</v>
      </c>
      <c r="G2878" s="5">
        <v>0</v>
      </c>
      <c r="H2878" s="5">
        <f t="shared" si="88"/>
        <v>-3153.54</v>
      </c>
      <c r="I2878" s="9">
        <f t="shared" si="89"/>
        <v>-1</v>
      </c>
      <c r="J2878" s="3" t="s">
        <v>4603</v>
      </c>
    </row>
    <row r="2879" spans="1:10" ht="38.25">
      <c r="A2879" s="3" t="s">
        <v>1811</v>
      </c>
      <c r="B2879" s="3" t="s">
        <v>3738</v>
      </c>
      <c r="C2879" s="4">
        <v>371</v>
      </c>
      <c r="D2879" s="3" t="s">
        <v>29</v>
      </c>
      <c r="E2879" s="3" t="s">
        <v>30</v>
      </c>
      <c r="F2879" s="5">
        <v>0</v>
      </c>
      <c r="G2879" s="5">
        <v>6560.4719999999998</v>
      </c>
      <c r="H2879" s="5">
        <f t="shared" si="88"/>
        <v>6560.4719999999998</v>
      </c>
      <c r="I2879" s="9">
        <f t="shared" si="89"/>
        <v>0</v>
      </c>
      <c r="J2879" s="3" t="s">
        <v>4603</v>
      </c>
    </row>
    <row r="2880" spans="1:10" ht="38.25">
      <c r="A2880" s="3" t="s">
        <v>1811</v>
      </c>
      <c r="B2880" s="3" t="s">
        <v>3739</v>
      </c>
      <c r="C2880" s="4">
        <v>34</v>
      </c>
      <c r="D2880" s="3" t="s">
        <v>136</v>
      </c>
      <c r="E2880" s="3" t="s">
        <v>30</v>
      </c>
      <c r="F2880" s="5">
        <v>17577.599999999999</v>
      </c>
      <c r="G2880" s="5">
        <v>20355.93</v>
      </c>
      <c r="H2880" s="5">
        <f t="shared" si="88"/>
        <v>2778.3300000000017</v>
      </c>
      <c r="I2880" s="9">
        <f t="shared" si="89"/>
        <v>0.15806082741671235</v>
      </c>
      <c r="J2880" s="3" t="s">
        <v>4603</v>
      </c>
    </row>
    <row r="2881" spans="1:10" ht="25.5">
      <c r="A2881" s="3" t="s">
        <v>1811</v>
      </c>
      <c r="B2881" s="3" t="s">
        <v>3740</v>
      </c>
      <c r="C2881" s="4">
        <v>31</v>
      </c>
      <c r="D2881" s="3" t="s">
        <v>172</v>
      </c>
      <c r="E2881" s="3" t="s">
        <v>13</v>
      </c>
      <c r="F2881" s="5">
        <v>7781.74</v>
      </c>
      <c r="G2881" s="5">
        <v>0</v>
      </c>
      <c r="H2881" s="5">
        <f t="shared" si="88"/>
        <v>-7781.74</v>
      </c>
      <c r="I2881" s="9">
        <f t="shared" si="89"/>
        <v>-1</v>
      </c>
      <c r="J2881" s="3" t="s">
        <v>4603</v>
      </c>
    </row>
    <row r="2882" spans="1:10" ht="25.5">
      <c r="A2882" s="3" t="s">
        <v>1811</v>
      </c>
      <c r="B2882" s="3" t="s">
        <v>3741</v>
      </c>
      <c r="C2882" s="4">
        <v>218</v>
      </c>
      <c r="D2882" s="3" t="s">
        <v>155</v>
      </c>
      <c r="E2882" s="3" t="s">
        <v>13</v>
      </c>
      <c r="F2882" s="5">
        <v>0</v>
      </c>
      <c r="G2882" s="5">
        <v>7709.76</v>
      </c>
      <c r="H2882" s="5">
        <f t="shared" si="88"/>
        <v>7709.76</v>
      </c>
      <c r="I2882" s="9">
        <f t="shared" si="89"/>
        <v>0</v>
      </c>
      <c r="J2882" s="3" t="s">
        <v>4603</v>
      </c>
    </row>
    <row r="2883" spans="1:10" ht="38.25">
      <c r="A2883" s="3" t="s">
        <v>1811</v>
      </c>
      <c r="B2883" s="3" t="s">
        <v>3742</v>
      </c>
      <c r="C2883" s="4">
        <v>331</v>
      </c>
      <c r="D2883" s="3" t="s">
        <v>1728</v>
      </c>
      <c r="E2883" s="3" t="s">
        <v>18</v>
      </c>
      <c r="F2883" s="5">
        <v>3836.04</v>
      </c>
      <c r="G2883" s="5">
        <v>0</v>
      </c>
      <c r="H2883" s="5">
        <f t="shared" ref="H2883:H2946" si="90">G2883-F2883</f>
        <v>-3836.04</v>
      </c>
      <c r="I2883" s="9">
        <f t="shared" ref="I2883:I2946" si="91">IFERROR(G2883/F2883-1,0)</f>
        <v>-1</v>
      </c>
      <c r="J2883" s="3" t="s">
        <v>4604</v>
      </c>
    </row>
    <row r="2884" spans="1:10" ht="38.25">
      <c r="A2884" s="3" t="s">
        <v>1811</v>
      </c>
      <c r="B2884" s="3" t="s">
        <v>3743</v>
      </c>
      <c r="C2884" s="4">
        <v>23</v>
      </c>
      <c r="D2884" s="3" t="s">
        <v>71</v>
      </c>
      <c r="E2884" s="3" t="s">
        <v>8</v>
      </c>
      <c r="F2884" s="5">
        <v>0</v>
      </c>
      <c r="G2884" s="5">
        <v>1597.92</v>
      </c>
      <c r="H2884" s="5">
        <f t="shared" si="90"/>
        <v>1597.92</v>
      </c>
      <c r="I2884" s="9">
        <f t="shared" si="91"/>
        <v>0</v>
      </c>
      <c r="J2884" s="3" t="s">
        <v>4603</v>
      </c>
    </row>
    <row r="2885" spans="1:10" ht="25.5">
      <c r="A2885" s="3" t="s">
        <v>1811</v>
      </c>
      <c r="B2885" s="3" t="s">
        <v>3744</v>
      </c>
      <c r="C2885" s="4">
        <v>335</v>
      </c>
      <c r="D2885" s="3" t="s">
        <v>7</v>
      </c>
      <c r="E2885" s="3" t="s">
        <v>8</v>
      </c>
      <c r="F2885" s="5">
        <v>0</v>
      </c>
      <c r="G2885" s="5">
        <v>5033.6400000000003</v>
      </c>
      <c r="H2885" s="5">
        <f t="shared" si="90"/>
        <v>5033.6400000000003</v>
      </c>
      <c r="I2885" s="9">
        <f t="shared" si="91"/>
        <v>0</v>
      </c>
      <c r="J2885" s="3" t="s">
        <v>4603</v>
      </c>
    </row>
    <row r="2886" spans="1:10" ht="25.5">
      <c r="A2886" s="3" t="s">
        <v>1811</v>
      </c>
      <c r="B2886" s="3" t="s">
        <v>3745</v>
      </c>
      <c r="C2886" s="4">
        <v>327</v>
      </c>
      <c r="D2886" s="3" t="s">
        <v>76</v>
      </c>
      <c r="E2886" s="3" t="s">
        <v>8</v>
      </c>
      <c r="F2886" s="5">
        <v>0</v>
      </c>
      <c r="G2886" s="5">
        <v>46977.120000000003</v>
      </c>
      <c r="H2886" s="5">
        <f t="shared" si="90"/>
        <v>46977.120000000003</v>
      </c>
      <c r="I2886" s="9">
        <f t="shared" si="91"/>
        <v>0</v>
      </c>
      <c r="J2886" s="3" t="s">
        <v>4603</v>
      </c>
    </row>
    <row r="2887" spans="1:10" ht="25.5">
      <c r="A2887" s="3" t="s">
        <v>1811</v>
      </c>
      <c r="B2887" s="3" t="s">
        <v>3746</v>
      </c>
      <c r="C2887" s="4">
        <v>316</v>
      </c>
      <c r="D2887" s="3" t="s">
        <v>167</v>
      </c>
      <c r="E2887" s="3" t="s">
        <v>18</v>
      </c>
      <c r="F2887" s="5">
        <v>7571.88</v>
      </c>
      <c r="G2887" s="5">
        <v>16071.54</v>
      </c>
      <c r="H2887" s="5">
        <f t="shared" si="90"/>
        <v>8499.66</v>
      </c>
      <c r="I2887" s="9">
        <f t="shared" si="91"/>
        <v>1.1225296755891536</v>
      </c>
      <c r="J2887" s="3" t="s">
        <v>4603</v>
      </c>
    </row>
    <row r="2888" spans="1:10" ht="25.5">
      <c r="A2888" s="3" t="s">
        <v>1811</v>
      </c>
      <c r="B2888" s="3" t="s">
        <v>3747</v>
      </c>
      <c r="C2888" s="4">
        <v>208</v>
      </c>
      <c r="D2888" s="3" t="s">
        <v>58</v>
      </c>
      <c r="E2888" s="3" t="s">
        <v>13</v>
      </c>
      <c r="F2888" s="5">
        <v>4151.28</v>
      </c>
      <c r="G2888" s="5">
        <v>0</v>
      </c>
      <c r="H2888" s="5">
        <f t="shared" si="90"/>
        <v>-4151.28</v>
      </c>
      <c r="I2888" s="9">
        <f t="shared" si="91"/>
        <v>-1</v>
      </c>
      <c r="J2888" s="3" t="s">
        <v>4603</v>
      </c>
    </row>
    <row r="2889" spans="1:10" ht="38.25">
      <c r="A2889" s="3" t="s">
        <v>1811</v>
      </c>
      <c r="B2889" s="3" t="s">
        <v>3748</v>
      </c>
      <c r="C2889" s="4">
        <v>266</v>
      </c>
      <c r="D2889" s="3" t="s">
        <v>111</v>
      </c>
      <c r="E2889" s="3" t="s">
        <v>18</v>
      </c>
      <c r="F2889" s="5">
        <v>10493.97</v>
      </c>
      <c r="G2889" s="5">
        <v>0</v>
      </c>
      <c r="H2889" s="5">
        <f t="shared" si="90"/>
        <v>-10493.97</v>
      </c>
      <c r="I2889" s="9">
        <f t="shared" si="91"/>
        <v>-1</v>
      </c>
      <c r="J2889" s="3" t="s">
        <v>4603</v>
      </c>
    </row>
    <row r="2890" spans="1:10" ht="25.5">
      <c r="A2890" s="3" t="s">
        <v>1811</v>
      </c>
      <c r="B2890" s="3" t="s">
        <v>3749</v>
      </c>
      <c r="C2890" s="4">
        <v>187</v>
      </c>
      <c r="D2890" s="3" t="s">
        <v>460</v>
      </c>
      <c r="E2890" s="3" t="s">
        <v>8</v>
      </c>
      <c r="F2890" s="5">
        <v>0</v>
      </c>
      <c r="G2890" s="5">
        <v>48291.040999999997</v>
      </c>
      <c r="H2890" s="5">
        <f t="shared" si="90"/>
        <v>48291.040999999997</v>
      </c>
      <c r="I2890" s="9">
        <f t="shared" si="91"/>
        <v>0</v>
      </c>
      <c r="J2890" s="3" t="s">
        <v>4603</v>
      </c>
    </row>
    <row r="2891" spans="1:10" ht="25.5">
      <c r="A2891" s="3" t="s">
        <v>1811</v>
      </c>
      <c r="B2891" s="3" t="s">
        <v>3750</v>
      </c>
      <c r="C2891" s="4">
        <v>74</v>
      </c>
      <c r="D2891" s="3" t="s">
        <v>86</v>
      </c>
      <c r="E2891" s="3" t="s">
        <v>8</v>
      </c>
      <c r="F2891" s="5">
        <v>23189.34</v>
      </c>
      <c r="G2891" s="5">
        <v>15408.72</v>
      </c>
      <c r="H2891" s="5">
        <f t="shared" si="90"/>
        <v>-7780.6200000000008</v>
      </c>
      <c r="I2891" s="9">
        <f t="shared" si="91"/>
        <v>-0.33552572000755521</v>
      </c>
      <c r="J2891" s="3" t="s">
        <v>4604</v>
      </c>
    </row>
    <row r="2892" spans="1:10" ht="25.5">
      <c r="A2892" s="3" t="s">
        <v>1811</v>
      </c>
      <c r="B2892" s="3" t="s">
        <v>3751</v>
      </c>
      <c r="C2892" s="4">
        <v>217</v>
      </c>
      <c r="D2892" s="3" t="s">
        <v>253</v>
      </c>
      <c r="E2892" s="3" t="s">
        <v>13</v>
      </c>
      <c r="F2892" s="5">
        <v>0</v>
      </c>
      <c r="G2892" s="5">
        <v>19605.240000000002</v>
      </c>
      <c r="H2892" s="5">
        <f t="shared" si="90"/>
        <v>19605.240000000002</v>
      </c>
      <c r="I2892" s="9">
        <f t="shared" si="91"/>
        <v>0</v>
      </c>
      <c r="J2892" s="3" t="s">
        <v>4603</v>
      </c>
    </row>
    <row r="2893" spans="1:10" ht="38.25">
      <c r="A2893" s="3" t="s">
        <v>1811</v>
      </c>
      <c r="B2893" s="3" t="s">
        <v>3752</v>
      </c>
      <c r="C2893" s="4">
        <v>34</v>
      </c>
      <c r="D2893" s="3" t="s">
        <v>136</v>
      </c>
      <c r="E2893" s="3" t="s">
        <v>30</v>
      </c>
      <c r="F2893" s="5">
        <v>69069.990000000005</v>
      </c>
      <c r="G2893" s="5">
        <v>8145.24</v>
      </c>
      <c r="H2893" s="5">
        <f t="shared" si="90"/>
        <v>-60924.750000000007</v>
      </c>
      <c r="I2893" s="9">
        <f t="shared" si="91"/>
        <v>-0.88207266281636931</v>
      </c>
      <c r="J2893" s="3" t="s">
        <v>4604</v>
      </c>
    </row>
    <row r="2894" spans="1:10" ht="38.25">
      <c r="A2894" s="3" t="s">
        <v>1811</v>
      </c>
      <c r="B2894" s="3" t="s">
        <v>3753</v>
      </c>
      <c r="C2894" s="4">
        <v>11</v>
      </c>
      <c r="D2894" s="3" t="s">
        <v>55</v>
      </c>
      <c r="E2894" s="3" t="s">
        <v>18</v>
      </c>
      <c r="F2894" s="5">
        <v>29824.262999999999</v>
      </c>
      <c r="G2894" s="5">
        <v>0</v>
      </c>
      <c r="H2894" s="5">
        <f t="shared" si="90"/>
        <v>-29824.262999999999</v>
      </c>
      <c r="I2894" s="9">
        <f t="shared" si="91"/>
        <v>-1</v>
      </c>
      <c r="J2894" s="3" t="s">
        <v>4603</v>
      </c>
    </row>
    <row r="2895" spans="1:10" ht="25.5">
      <c r="A2895" s="3" t="s">
        <v>1811</v>
      </c>
      <c r="B2895" s="3" t="s">
        <v>3754</v>
      </c>
      <c r="C2895" s="4">
        <v>187</v>
      </c>
      <c r="D2895" s="3" t="s">
        <v>460</v>
      </c>
      <c r="E2895" s="3" t="s">
        <v>8</v>
      </c>
      <c r="F2895" s="5">
        <v>25177.74</v>
      </c>
      <c r="G2895" s="5">
        <v>7845.48</v>
      </c>
      <c r="H2895" s="5">
        <f t="shared" si="90"/>
        <v>-17332.260000000002</v>
      </c>
      <c r="I2895" s="9">
        <f t="shared" si="91"/>
        <v>-0.68839617852912927</v>
      </c>
      <c r="J2895" s="3" t="s">
        <v>4603</v>
      </c>
    </row>
    <row r="2896" spans="1:10" ht="25.5">
      <c r="A2896" s="3" t="s">
        <v>1811</v>
      </c>
      <c r="B2896" s="3" t="s">
        <v>3755</v>
      </c>
      <c r="C2896" s="4">
        <v>74</v>
      </c>
      <c r="D2896" s="3" t="s">
        <v>86</v>
      </c>
      <c r="E2896" s="3" t="s">
        <v>8</v>
      </c>
      <c r="F2896" s="5">
        <v>3572.46</v>
      </c>
      <c r="G2896" s="5">
        <v>6808.35</v>
      </c>
      <c r="H2896" s="5">
        <f t="shared" si="90"/>
        <v>3235.8900000000003</v>
      </c>
      <c r="I2896" s="9">
        <f t="shared" si="91"/>
        <v>0.90578760853865403</v>
      </c>
      <c r="J2896" s="3" t="s">
        <v>4603</v>
      </c>
    </row>
    <row r="2897" spans="1:10" ht="25.5">
      <c r="A2897" s="3" t="s">
        <v>1811</v>
      </c>
      <c r="B2897" s="3" t="s">
        <v>3756</v>
      </c>
      <c r="C2897" s="4">
        <v>335</v>
      </c>
      <c r="D2897" s="3" t="s">
        <v>7</v>
      </c>
      <c r="E2897" s="3" t="s">
        <v>8</v>
      </c>
      <c r="F2897" s="5">
        <v>0</v>
      </c>
      <c r="G2897" s="5">
        <v>5299.92</v>
      </c>
      <c r="H2897" s="5">
        <f t="shared" si="90"/>
        <v>5299.92</v>
      </c>
      <c r="I2897" s="9">
        <f t="shared" si="91"/>
        <v>0</v>
      </c>
      <c r="J2897" s="3" t="s">
        <v>4603</v>
      </c>
    </row>
    <row r="2898" spans="1:10">
      <c r="A2898" s="3" t="s">
        <v>1811</v>
      </c>
      <c r="B2898" s="3" t="s">
        <v>3757</v>
      </c>
      <c r="C2898" s="4">
        <v>264</v>
      </c>
      <c r="D2898" s="3" t="s">
        <v>632</v>
      </c>
      <c r="E2898" s="3" t="s">
        <v>22</v>
      </c>
      <c r="F2898" s="5">
        <v>0</v>
      </c>
      <c r="G2898" s="5">
        <v>3326.94</v>
      </c>
      <c r="H2898" s="5">
        <f t="shared" si="90"/>
        <v>3326.94</v>
      </c>
      <c r="I2898" s="9">
        <f t="shared" si="91"/>
        <v>0</v>
      </c>
      <c r="J2898" s="3" t="s">
        <v>4603</v>
      </c>
    </row>
    <row r="2899" spans="1:10" ht="38.25">
      <c r="A2899" s="3" t="s">
        <v>1811</v>
      </c>
      <c r="B2899" s="3" t="s">
        <v>3758</v>
      </c>
      <c r="C2899" s="4">
        <v>45</v>
      </c>
      <c r="D2899" s="3" t="s">
        <v>16</v>
      </c>
      <c r="E2899" s="3" t="s">
        <v>8</v>
      </c>
      <c r="F2899" s="5">
        <v>10774.32</v>
      </c>
      <c r="G2899" s="5">
        <v>15181.44</v>
      </c>
      <c r="H2899" s="5">
        <f t="shared" si="90"/>
        <v>4407.1200000000008</v>
      </c>
      <c r="I2899" s="9">
        <f t="shared" si="91"/>
        <v>0.40903927115585947</v>
      </c>
      <c r="J2899" s="3" t="s">
        <v>4603</v>
      </c>
    </row>
    <row r="2900" spans="1:10" ht="25.5">
      <c r="A2900" s="3" t="s">
        <v>1811</v>
      </c>
      <c r="B2900" s="3" t="s">
        <v>3759</v>
      </c>
      <c r="C2900" s="4">
        <v>93</v>
      </c>
      <c r="D2900" s="3" t="s">
        <v>42</v>
      </c>
      <c r="E2900" s="3" t="s">
        <v>8</v>
      </c>
      <c r="F2900" s="5">
        <v>28486.080000000002</v>
      </c>
      <c r="G2900" s="5">
        <v>34910.97</v>
      </c>
      <c r="H2900" s="5">
        <f t="shared" si="90"/>
        <v>6424.8899999999994</v>
      </c>
      <c r="I2900" s="9">
        <f t="shared" si="91"/>
        <v>0.22554489771846464</v>
      </c>
      <c r="J2900" s="3" t="s">
        <v>4603</v>
      </c>
    </row>
    <row r="2901" spans="1:10">
      <c r="A2901" s="3" t="s">
        <v>1811</v>
      </c>
      <c r="B2901" s="3" t="s">
        <v>3760</v>
      </c>
      <c r="C2901" s="4">
        <v>231</v>
      </c>
      <c r="D2901" s="3" t="s">
        <v>89</v>
      </c>
      <c r="E2901" s="3" t="s">
        <v>8</v>
      </c>
      <c r="F2901" s="5">
        <v>21791.85</v>
      </c>
      <c r="G2901" s="5">
        <v>21440.43</v>
      </c>
      <c r="H2901" s="5">
        <f t="shared" si="90"/>
        <v>-351.41999999999825</v>
      </c>
      <c r="I2901" s="9">
        <f t="shared" si="91"/>
        <v>-1.6126212322496669E-2</v>
      </c>
      <c r="J2901" s="3" t="s">
        <v>4603</v>
      </c>
    </row>
    <row r="2902" spans="1:10">
      <c r="A2902" s="3" t="s">
        <v>1811</v>
      </c>
      <c r="B2902" s="3" t="s">
        <v>3761</v>
      </c>
      <c r="C2902" s="4">
        <v>231</v>
      </c>
      <c r="D2902" s="3" t="s">
        <v>89</v>
      </c>
      <c r="E2902" s="3" t="s">
        <v>8</v>
      </c>
      <c r="F2902" s="5">
        <v>8765.43</v>
      </c>
      <c r="G2902" s="5">
        <v>4261.2</v>
      </c>
      <c r="H2902" s="5">
        <f t="shared" si="90"/>
        <v>-4504.2300000000005</v>
      </c>
      <c r="I2902" s="9">
        <f t="shared" si="91"/>
        <v>-0.51386298219254511</v>
      </c>
      <c r="J2902" s="3" t="s">
        <v>4603</v>
      </c>
    </row>
    <row r="2903" spans="1:10" ht="25.5">
      <c r="A2903" s="3" t="s">
        <v>1811</v>
      </c>
      <c r="B2903" s="3" t="s">
        <v>3762</v>
      </c>
      <c r="C2903" s="4">
        <v>321</v>
      </c>
      <c r="D2903" s="3" t="s">
        <v>125</v>
      </c>
      <c r="E2903" s="3" t="s">
        <v>22</v>
      </c>
      <c r="F2903" s="5">
        <v>6097.65</v>
      </c>
      <c r="G2903" s="5">
        <v>0</v>
      </c>
      <c r="H2903" s="5">
        <f t="shared" si="90"/>
        <v>-6097.65</v>
      </c>
      <c r="I2903" s="9">
        <f t="shared" si="91"/>
        <v>-1</v>
      </c>
      <c r="J2903" s="3" t="s">
        <v>4603</v>
      </c>
    </row>
    <row r="2904" spans="1:10" ht="25.5">
      <c r="A2904" s="3" t="s">
        <v>1811</v>
      </c>
      <c r="B2904" s="3" t="s">
        <v>3763</v>
      </c>
      <c r="C2904" s="4">
        <v>194</v>
      </c>
      <c r="D2904" s="3" t="s">
        <v>179</v>
      </c>
      <c r="E2904" s="3" t="s">
        <v>13</v>
      </c>
      <c r="F2904" s="5">
        <v>11292.48</v>
      </c>
      <c r="G2904" s="5">
        <v>11358.12</v>
      </c>
      <c r="H2904" s="5">
        <f t="shared" si="90"/>
        <v>65.640000000001237</v>
      </c>
      <c r="I2904" s="9">
        <f t="shared" si="91"/>
        <v>5.8127178440874339E-3</v>
      </c>
      <c r="J2904" s="3" t="s">
        <v>4603</v>
      </c>
    </row>
    <row r="2905" spans="1:10" ht="38.25">
      <c r="A2905" s="3" t="s">
        <v>1811</v>
      </c>
      <c r="B2905" s="3" t="s">
        <v>3764</v>
      </c>
      <c r="C2905" s="4">
        <v>34</v>
      </c>
      <c r="D2905" s="3" t="s">
        <v>136</v>
      </c>
      <c r="E2905" s="3" t="s">
        <v>30</v>
      </c>
      <c r="F2905" s="5">
        <v>11756.4</v>
      </c>
      <c r="G2905" s="5">
        <v>11220.48</v>
      </c>
      <c r="H2905" s="5">
        <f t="shared" si="90"/>
        <v>-535.92000000000007</v>
      </c>
      <c r="I2905" s="9">
        <f t="shared" si="91"/>
        <v>-4.5585383280596137E-2</v>
      </c>
      <c r="J2905" s="3" t="s">
        <v>4603</v>
      </c>
    </row>
    <row r="2906" spans="1:10">
      <c r="A2906" s="3" t="s">
        <v>1811</v>
      </c>
      <c r="B2906" s="3" t="s">
        <v>3765</v>
      </c>
      <c r="C2906" s="4">
        <v>232</v>
      </c>
      <c r="D2906" s="3" t="s">
        <v>95</v>
      </c>
      <c r="E2906" s="3" t="s">
        <v>13</v>
      </c>
      <c r="F2906" s="5">
        <v>3169.68</v>
      </c>
      <c r="G2906" s="5">
        <v>0</v>
      </c>
      <c r="H2906" s="5">
        <f t="shared" si="90"/>
        <v>-3169.68</v>
      </c>
      <c r="I2906" s="9">
        <f t="shared" si="91"/>
        <v>-1</v>
      </c>
      <c r="J2906" s="3" t="s">
        <v>4603</v>
      </c>
    </row>
    <row r="2907" spans="1:10" ht="25.5">
      <c r="A2907" s="3" t="s">
        <v>1811</v>
      </c>
      <c r="B2907" s="3" t="s">
        <v>3766</v>
      </c>
      <c r="C2907" s="4">
        <v>178</v>
      </c>
      <c r="D2907" s="3" t="s">
        <v>92</v>
      </c>
      <c r="E2907" s="3" t="s">
        <v>8</v>
      </c>
      <c r="F2907" s="5">
        <v>2195.64</v>
      </c>
      <c r="G2907" s="5">
        <v>4727.28</v>
      </c>
      <c r="H2907" s="5">
        <f t="shared" si="90"/>
        <v>2531.64</v>
      </c>
      <c r="I2907" s="9">
        <f t="shared" si="91"/>
        <v>1.1530305514565229</v>
      </c>
      <c r="J2907" s="3" t="s">
        <v>4603</v>
      </c>
    </row>
    <row r="2908" spans="1:10" ht="25.5">
      <c r="A2908" s="3" t="s">
        <v>1811</v>
      </c>
      <c r="B2908" s="3" t="s">
        <v>3767</v>
      </c>
      <c r="C2908" s="4">
        <v>178</v>
      </c>
      <c r="D2908" s="3" t="s">
        <v>92</v>
      </c>
      <c r="E2908" s="3" t="s">
        <v>8</v>
      </c>
      <c r="F2908" s="5">
        <v>3227.52</v>
      </c>
      <c r="G2908" s="5">
        <v>12124.68</v>
      </c>
      <c r="H2908" s="5">
        <f t="shared" si="90"/>
        <v>8897.16</v>
      </c>
      <c r="I2908" s="9">
        <f t="shared" si="91"/>
        <v>2.7566552647233791</v>
      </c>
      <c r="J2908" s="3" t="s">
        <v>4604</v>
      </c>
    </row>
    <row r="2909" spans="1:10" ht="25.5">
      <c r="A2909" s="3" t="s">
        <v>1811</v>
      </c>
      <c r="B2909" s="3" t="s">
        <v>3768</v>
      </c>
      <c r="C2909" s="4">
        <v>187</v>
      </c>
      <c r="D2909" s="3" t="s">
        <v>460</v>
      </c>
      <c r="E2909" s="3" t="s">
        <v>8</v>
      </c>
      <c r="F2909" s="5">
        <v>2993.52</v>
      </c>
      <c r="G2909" s="5">
        <v>0</v>
      </c>
      <c r="H2909" s="5">
        <f t="shared" si="90"/>
        <v>-2993.52</v>
      </c>
      <c r="I2909" s="9">
        <f t="shared" si="91"/>
        <v>-1</v>
      </c>
      <c r="J2909" s="3" t="s">
        <v>4603</v>
      </c>
    </row>
    <row r="2910" spans="1:10" ht="25.5">
      <c r="A2910" s="3" t="s">
        <v>1811</v>
      </c>
      <c r="B2910" s="3" t="s">
        <v>3769</v>
      </c>
      <c r="C2910" s="4">
        <v>61</v>
      </c>
      <c r="D2910" s="3" t="s">
        <v>114</v>
      </c>
      <c r="E2910" s="3" t="s">
        <v>30</v>
      </c>
      <c r="F2910" s="5">
        <v>5831.16</v>
      </c>
      <c r="G2910" s="5">
        <v>0</v>
      </c>
      <c r="H2910" s="5">
        <f t="shared" si="90"/>
        <v>-5831.16</v>
      </c>
      <c r="I2910" s="9">
        <f t="shared" si="91"/>
        <v>-1</v>
      </c>
      <c r="J2910" s="3" t="s">
        <v>4603</v>
      </c>
    </row>
    <row r="2911" spans="1:10" ht="25.5">
      <c r="A2911" s="3" t="s">
        <v>1811</v>
      </c>
      <c r="B2911" s="3" t="s">
        <v>3770</v>
      </c>
      <c r="C2911" s="4">
        <v>327</v>
      </c>
      <c r="D2911" s="3" t="s">
        <v>76</v>
      </c>
      <c r="E2911" s="3" t="s">
        <v>8</v>
      </c>
      <c r="F2911" s="5">
        <v>16011.6</v>
      </c>
      <c r="G2911" s="5">
        <v>0</v>
      </c>
      <c r="H2911" s="5">
        <f t="shared" si="90"/>
        <v>-16011.6</v>
      </c>
      <c r="I2911" s="9">
        <f t="shared" si="91"/>
        <v>-1</v>
      </c>
      <c r="J2911" s="3" t="s">
        <v>4604</v>
      </c>
    </row>
    <row r="2912" spans="1:10" ht="25.5">
      <c r="A2912" s="3" t="s">
        <v>1811</v>
      </c>
      <c r="B2912" s="3" t="s">
        <v>3771</v>
      </c>
      <c r="C2912" s="4">
        <v>335</v>
      </c>
      <c r="D2912" s="3" t="s">
        <v>7</v>
      </c>
      <c r="E2912" s="3" t="s">
        <v>8</v>
      </c>
      <c r="F2912" s="5">
        <v>0</v>
      </c>
      <c r="G2912" s="5">
        <v>8073.4350000000004</v>
      </c>
      <c r="H2912" s="5">
        <f t="shared" si="90"/>
        <v>8073.4350000000004</v>
      </c>
      <c r="I2912" s="9">
        <f t="shared" si="91"/>
        <v>0</v>
      </c>
      <c r="J2912" s="3" t="s">
        <v>4603</v>
      </c>
    </row>
    <row r="2913" spans="1:10" ht="25.5">
      <c r="A2913" s="3" t="s">
        <v>1811</v>
      </c>
      <c r="B2913" s="3" t="s">
        <v>3772</v>
      </c>
      <c r="C2913" s="4">
        <v>297</v>
      </c>
      <c r="D2913" s="3" t="s">
        <v>209</v>
      </c>
      <c r="E2913" s="3" t="s">
        <v>22</v>
      </c>
      <c r="F2913" s="5">
        <v>0</v>
      </c>
      <c r="G2913" s="5">
        <v>8225.4</v>
      </c>
      <c r="H2913" s="5">
        <f t="shared" si="90"/>
        <v>8225.4</v>
      </c>
      <c r="I2913" s="9">
        <f t="shared" si="91"/>
        <v>0</v>
      </c>
      <c r="J2913" s="3" t="s">
        <v>4603</v>
      </c>
    </row>
    <row r="2914" spans="1:10" ht="38.25">
      <c r="A2914" s="3" t="s">
        <v>1811</v>
      </c>
      <c r="B2914" s="3" t="s">
        <v>3773</v>
      </c>
      <c r="C2914" s="4">
        <v>217</v>
      </c>
      <c r="D2914" s="3" t="s">
        <v>253</v>
      </c>
      <c r="E2914" s="3" t="s">
        <v>13</v>
      </c>
      <c r="F2914" s="5">
        <v>11095.02</v>
      </c>
      <c r="G2914" s="5">
        <v>0</v>
      </c>
      <c r="H2914" s="5">
        <f t="shared" si="90"/>
        <v>-11095.02</v>
      </c>
      <c r="I2914" s="9">
        <f t="shared" si="91"/>
        <v>-1</v>
      </c>
      <c r="J2914" s="3" t="s">
        <v>4603</v>
      </c>
    </row>
    <row r="2915" spans="1:10" ht="25.5">
      <c r="A2915" s="3" t="s">
        <v>1811</v>
      </c>
      <c r="B2915" s="3" t="s">
        <v>3774</v>
      </c>
      <c r="C2915" s="4">
        <v>297</v>
      </c>
      <c r="D2915" s="3" t="s">
        <v>209</v>
      </c>
      <c r="E2915" s="3" t="s">
        <v>22</v>
      </c>
      <c r="F2915" s="5">
        <v>4245.3599999999997</v>
      </c>
      <c r="G2915" s="5">
        <v>0</v>
      </c>
      <c r="H2915" s="5">
        <f t="shared" si="90"/>
        <v>-4245.3599999999997</v>
      </c>
      <c r="I2915" s="9">
        <f t="shared" si="91"/>
        <v>-1</v>
      </c>
      <c r="J2915" s="3" t="s">
        <v>4603</v>
      </c>
    </row>
    <row r="2916" spans="1:10" ht="25.5">
      <c r="A2916" s="3" t="s">
        <v>1811</v>
      </c>
      <c r="B2916" s="3" t="s">
        <v>3775</v>
      </c>
      <c r="C2916" s="4">
        <v>321</v>
      </c>
      <c r="D2916" s="3" t="s">
        <v>125</v>
      </c>
      <c r="E2916" s="3" t="s">
        <v>22</v>
      </c>
      <c r="F2916" s="5">
        <v>0</v>
      </c>
      <c r="G2916" s="5">
        <v>6504</v>
      </c>
      <c r="H2916" s="5">
        <f t="shared" si="90"/>
        <v>6504</v>
      </c>
      <c r="I2916" s="9">
        <f t="shared" si="91"/>
        <v>0</v>
      </c>
      <c r="J2916" s="3" t="s">
        <v>4603</v>
      </c>
    </row>
    <row r="2917" spans="1:10" ht="25.5">
      <c r="A2917" s="3" t="s">
        <v>1811</v>
      </c>
      <c r="B2917" s="3" t="s">
        <v>3776</v>
      </c>
      <c r="C2917" s="4">
        <v>178</v>
      </c>
      <c r="D2917" s="3" t="s">
        <v>92</v>
      </c>
      <c r="E2917" s="3" t="s">
        <v>8</v>
      </c>
      <c r="F2917" s="5">
        <v>12963.96</v>
      </c>
      <c r="G2917" s="5">
        <v>20068.349999999999</v>
      </c>
      <c r="H2917" s="5">
        <f t="shared" si="90"/>
        <v>7104.3899999999994</v>
      </c>
      <c r="I2917" s="9">
        <f t="shared" si="91"/>
        <v>0.54801079299843569</v>
      </c>
      <c r="J2917" s="3" t="s">
        <v>4603</v>
      </c>
    </row>
    <row r="2918" spans="1:10" ht="25.5">
      <c r="A2918" s="3" t="s">
        <v>1811</v>
      </c>
      <c r="B2918" s="3" t="s">
        <v>3777</v>
      </c>
      <c r="C2918" s="4">
        <v>167</v>
      </c>
      <c r="D2918" s="3" t="s">
        <v>335</v>
      </c>
      <c r="E2918" s="3" t="s">
        <v>30</v>
      </c>
      <c r="F2918" s="5">
        <v>4507.38</v>
      </c>
      <c r="G2918" s="5">
        <v>0</v>
      </c>
      <c r="H2918" s="5">
        <f t="shared" si="90"/>
        <v>-4507.38</v>
      </c>
      <c r="I2918" s="9">
        <f t="shared" si="91"/>
        <v>-1</v>
      </c>
      <c r="J2918" s="3" t="s">
        <v>4603</v>
      </c>
    </row>
    <row r="2919" spans="1:10" ht="38.25">
      <c r="A2919" s="3" t="s">
        <v>1811</v>
      </c>
      <c r="B2919" s="3" t="s">
        <v>3778</v>
      </c>
      <c r="C2919" s="4">
        <v>267</v>
      </c>
      <c r="D2919" s="3" t="s">
        <v>417</v>
      </c>
      <c r="E2919" s="3" t="s">
        <v>13</v>
      </c>
      <c r="F2919" s="5">
        <v>7964.01</v>
      </c>
      <c r="G2919" s="5">
        <v>3911.76</v>
      </c>
      <c r="H2919" s="5">
        <f t="shared" si="90"/>
        <v>-4052.25</v>
      </c>
      <c r="I2919" s="9">
        <f t="shared" si="91"/>
        <v>-0.50882030534868739</v>
      </c>
      <c r="J2919" s="3" t="s">
        <v>4604</v>
      </c>
    </row>
    <row r="2920" spans="1:10" ht="38.25">
      <c r="A2920" s="3" t="s">
        <v>1811</v>
      </c>
      <c r="B2920" s="3" t="s">
        <v>3779</v>
      </c>
      <c r="C2920" s="4">
        <v>38</v>
      </c>
      <c r="D2920" s="3" t="s">
        <v>229</v>
      </c>
      <c r="E2920" s="3" t="s">
        <v>30</v>
      </c>
      <c r="F2920" s="5">
        <v>21980.76</v>
      </c>
      <c r="G2920" s="5">
        <v>26794.560000000001</v>
      </c>
      <c r="H2920" s="5">
        <f t="shared" si="90"/>
        <v>4813.8000000000029</v>
      </c>
      <c r="I2920" s="9">
        <f t="shared" si="91"/>
        <v>0.21900061690314643</v>
      </c>
      <c r="J2920" s="3" t="s">
        <v>4603</v>
      </c>
    </row>
    <row r="2921" spans="1:10" ht="25.5">
      <c r="A2921" s="3" t="s">
        <v>1811</v>
      </c>
      <c r="B2921" s="3" t="s">
        <v>3780</v>
      </c>
      <c r="C2921" s="4">
        <v>19</v>
      </c>
      <c r="D2921" s="3" t="s">
        <v>53</v>
      </c>
      <c r="E2921" s="3" t="s">
        <v>22</v>
      </c>
      <c r="F2921" s="5">
        <v>0</v>
      </c>
      <c r="G2921" s="5">
        <v>3307.62</v>
      </c>
      <c r="H2921" s="5">
        <f t="shared" si="90"/>
        <v>3307.62</v>
      </c>
      <c r="I2921" s="9">
        <f t="shared" si="91"/>
        <v>0</v>
      </c>
      <c r="J2921" s="3" t="s">
        <v>4603</v>
      </c>
    </row>
    <row r="2922" spans="1:10" ht="38.25">
      <c r="A2922" s="3" t="s">
        <v>1811</v>
      </c>
      <c r="B2922" s="3" t="s">
        <v>3781</v>
      </c>
      <c r="C2922" s="4">
        <v>45</v>
      </c>
      <c r="D2922" s="3" t="s">
        <v>16</v>
      </c>
      <c r="E2922" s="3" t="s">
        <v>8</v>
      </c>
      <c r="F2922" s="5">
        <v>0</v>
      </c>
      <c r="G2922" s="5">
        <v>87476.85</v>
      </c>
      <c r="H2922" s="5">
        <f t="shared" si="90"/>
        <v>87476.85</v>
      </c>
      <c r="I2922" s="9">
        <f t="shared" si="91"/>
        <v>0</v>
      </c>
      <c r="J2922" s="3" t="s">
        <v>4603</v>
      </c>
    </row>
    <row r="2923" spans="1:10" ht="38.25">
      <c r="A2923" s="3" t="s">
        <v>1811</v>
      </c>
      <c r="B2923" s="3" t="s">
        <v>3782</v>
      </c>
      <c r="C2923" s="4">
        <v>45</v>
      </c>
      <c r="D2923" s="3" t="s">
        <v>16</v>
      </c>
      <c r="E2923" s="3" t="s">
        <v>8</v>
      </c>
      <c r="F2923" s="5">
        <v>11907.78</v>
      </c>
      <c r="G2923" s="5">
        <v>2614.8000000000002</v>
      </c>
      <c r="H2923" s="5">
        <f t="shared" si="90"/>
        <v>-9292.98</v>
      </c>
      <c r="I2923" s="9">
        <f t="shared" si="91"/>
        <v>-0.78041246983064849</v>
      </c>
      <c r="J2923" s="3" t="s">
        <v>4603</v>
      </c>
    </row>
    <row r="2924" spans="1:10" ht="25.5">
      <c r="A2924" s="3" t="s">
        <v>1811</v>
      </c>
      <c r="B2924" s="3" t="s">
        <v>3783</v>
      </c>
      <c r="C2924" s="4">
        <v>194</v>
      </c>
      <c r="D2924" s="3" t="s">
        <v>179</v>
      </c>
      <c r="E2924" s="3" t="s">
        <v>13</v>
      </c>
      <c r="F2924" s="5">
        <v>0</v>
      </c>
      <c r="G2924" s="5">
        <v>9161.34</v>
      </c>
      <c r="H2924" s="5">
        <f t="shared" si="90"/>
        <v>9161.34</v>
      </c>
      <c r="I2924" s="9">
        <f t="shared" si="91"/>
        <v>0</v>
      </c>
      <c r="J2924" s="3" t="s">
        <v>4603</v>
      </c>
    </row>
    <row r="2925" spans="1:10">
      <c r="A2925" s="3" t="s">
        <v>1811</v>
      </c>
      <c r="B2925" s="3" t="s">
        <v>3784</v>
      </c>
      <c r="C2925" s="4">
        <v>217</v>
      </c>
      <c r="D2925" s="3" t="s">
        <v>253</v>
      </c>
      <c r="E2925" s="3" t="s">
        <v>13</v>
      </c>
      <c r="F2925" s="5">
        <v>6320.67</v>
      </c>
      <c r="G2925" s="5">
        <v>0</v>
      </c>
      <c r="H2925" s="5">
        <f t="shared" si="90"/>
        <v>-6320.67</v>
      </c>
      <c r="I2925" s="9">
        <f t="shared" si="91"/>
        <v>-1</v>
      </c>
      <c r="J2925" s="3" t="s">
        <v>4603</v>
      </c>
    </row>
    <row r="2926" spans="1:10">
      <c r="A2926" s="3" t="s">
        <v>1811</v>
      </c>
      <c r="B2926" s="3" t="s">
        <v>3785</v>
      </c>
      <c r="C2926" s="4">
        <v>167</v>
      </c>
      <c r="D2926" s="3" t="s">
        <v>335</v>
      </c>
      <c r="E2926" s="3" t="s">
        <v>30</v>
      </c>
      <c r="F2926" s="5">
        <v>17620.5</v>
      </c>
      <c r="G2926" s="5">
        <v>0</v>
      </c>
      <c r="H2926" s="5">
        <f t="shared" si="90"/>
        <v>-17620.5</v>
      </c>
      <c r="I2926" s="9">
        <f t="shared" si="91"/>
        <v>-1</v>
      </c>
      <c r="J2926" s="3" t="s">
        <v>4603</v>
      </c>
    </row>
    <row r="2927" spans="1:10" ht="25.5">
      <c r="A2927" s="3" t="s">
        <v>1811</v>
      </c>
      <c r="B2927" s="3" t="s">
        <v>3786</v>
      </c>
      <c r="C2927" s="4">
        <v>39</v>
      </c>
      <c r="D2927" s="3" t="s">
        <v>26</v>
      </c>
      <c r="E2927" s="3" t="s">
        <v>9</v>
      </c>
      <c r="F2927" s="5">
        <v>7180.5</v>
      </c>
      <c r="G2927" s="5">
        <v>16535.22</v>
      </c>
      <c r="H2927" s="5">
        <f t="shared" si="90"/>
        <v>9354.7200000000012</v>
      </c>
      <c r="I2927" s="9">
        <f t="shared" si="91"/>
        <v>1.3027950699811992</v>
      </c>
      <c r="J2927" s="3" t="s">
        <v>4603</v>
      </c>
    </row>
    <row r="2928" spans="1:10" ht="25.5">
      <c r="A2928" s="3" t="s">
        <v>1811</v>
      </c>
      <c r="B2928" s="3" t="s">
        <v>3787</v>
      </c>
      <c r="C2928" s="4">
        <v>261</v>
      </c>
      <c r="D2928" s="3" t="s">
        <v>17</v>
      </c>
      <c r="E2928" s="3" t="s">
        <v>18</v>
      </c>
      <c r="F2928" s="5">
        <v>11487.27</v>
      </c>
      <c r="G2928" s="5">
        <v>10649.34</v>
      </c>
      <c r="H2928" s="5">
        <f t="shared" si="90"/>
        <v>-837.93000000000029</v>
      </c>
      <c r="I2928" s="9">
        <f t="shared" si="91"/>
        <v>-7.2944224345732334E-2</v>
      </c>
      <c r="J2928" s="3" t="s">
        <v>4603</v>
      </c>
    </row>
    <row r="2929" spans="1:10" ht="25.5">
      <c r="A2929" s="3" t="s">
        <v>1811</v>
      </c>
      <c r="B2929" s="3" t="s">
        <v>3788</v>
      </c>
      <c r="C2929" s="4">
        <v>19</v>
      </c>
      <c r="D2929" s="3" t="s">
        <v>53</v>
      </c>
      <c r="E2929" s="3" t="s">
        <v>22</v>
      </c>
      <c r="F2929" s="5">
        <v>20329.11</v>
      </c>
      <c r="G2929" s="5">
        <v>0</v>
      </c>
      <c r="H2929" s="5">
        <f t="shared" si="90"/>
        <v>-20329.11</v>
      </c>
      <c r="I2929" s="9">
        <f t="shared" si="91"/>
        <v>-1</v>
      </c>
      <c r="J2929" s="3" t="s">
        <v>4603</v>
      </c>
    </row>
    <row r="2930" spans="1:10" ht="25.5">
      <c r="A2930" s="3" t="s">
        <v>1811</v>
      </c>
      <c r="B2930" s="3" t="s">
        <v>3789</v>
      </c>
      <c r="C2930" s="4">
        <v>266</v>
      </c>
      <c r="D2930" s="3" t="s">
        <v>111</v>
      </c>
      <c r="E2930" s="3" t="s">
        <v>18</v>
      </c>
      <c r="F2930" s="5">
        <v>0</v>
      </c>
      <c r="G2930" s="5">
        <v>25085.773000000001</v>
      </c>
      <c r="H2930" s="5">
        <f t="shared" si="90"/>
        <v>25085.773000000001</v>
      </c>
      <c r="I2930" s="9">
        <f t="shared" si="91"/>
        <v>0</v>
      </c>
      <c r="J2930" s="3" t="s">
        <v>4603</v>
      </c>
    </row>
    <row r="2931" spans="1:10" ht="25.5">
      <c r="A2931" s="3" t="s">
        <v>1811</v>
      </c>
      <c r="B2931" s="3" t="s">
        <v>3790</v>
      </c>
      <c r="C2931" s="4">
        <v>261</v>
      </c>
      <c r="D2931" s="3" t="s">
        <v>17</v>
      </c>
      <c r="E2931" s="3" t="s">
        <v>18</v>
      </c>
      <c r="F2931" s="5">
        <v>2999.52</v>
      </c>
      <c r="G2931" s="5">
        <v>6149.61</v>
      </c>
      <c r="H2931" s="5">
        <f t="shared" si="90"/>
        <v>3150.0899999999997</v>
      </c>
      <c r="I2931" s="9">
        <f t="shared" si="91"/>
        <v>1.0501980316850696</v>
      </c>
      <c r="J2931" s="3" t="s">
        <v>4603</v>
      </c>
    </row>
    <row r="2932" spans="1:10" ht="25.5">
      <c r="A2932" s="3" t="s">
        <v>1811</v>
      </c>
      <c r="B2932" s="3" t="s">
        <v>3791</v>
      </c>
      <c r="C2932" s="4">
        <v>208</v>
      </c>
      <c r="D2932" s="3" t="s">
        <v>58</v>
      </c>
      <c r="E2932" s="3" t="s">
        <v>13</v>
      </c>
      <c r="F2932" s="5">
        <v>35658</v>
      </c>
      <c r="G2932" s="5">
        <v>9125.76</v>
      </c>
      <c r="H2932" s="5">
        <f t="shared" si="90"/>
        <v>-26532.239999999998</v>
      </c>
      <c r="I2932" s="9">
        <f t="shared" si="91"/>
        <v>-0.74407538280329799</v>
      </c>
      <c r="J2932" s="3" t="s">
        <v>4603</v>
      </c>
    </row>
    <row r="2933" spans="1:10" ht="38.25">
      <c r="A2933" s="3" t="s">
        <v>1811</v>
      </c>
      <c r="B2933" s="3" t="s">
        <v>3792</v>
      </c>
      <c r="C2933" s="4">
        <v>217</v>
      </c>
      <c r="D2933" s="3" t="s">
        <v>253</v>
      </c>
      <c r="E2933" s="3" t="s">
        <v>13</v>
      </c>
      <c r="F2933" s="5">
        <v>8694.5400000000009</v>
      </c>
      <c r="G2933" s="5">
        <v>2838.63</v>
      </c>
      <c r="H2933" s="5">
        <f t="shared" si="90"/>
        <v>-5855.9100000000008</v>
      </c>
      <c r="I2933" s="9">
        <f t="shared" si="91"/>
        <v>-0.67351579266988248</v>
      </c>
      <c r="J2933" s="3" t="s">
        <v>4604</v>
      </c>
    </row>
    <row r="2934" spans="1:10" ht="38.25">
      <c r="A2934" s="3" t="s">
        <v>1811</v>
      </c>
      <c r="B2934" s="3" t="s">
        <v>3793</v>
      </c>
      <c r="C2934" s="4">
        <v>301</v>
      </c>
      <c r="D2934" s="3" t="s">
        <v>12</v>
      </c>
      <c r="E2934" s="3" t="s">
        <v>13</v>
      </c>
      <c r="F2934" s="5">
        <v>12680.97</v>
      </c>
      <c r="G2934" s="5">
        <v>27356.94</v>
      </c>
      <c r="H2934" s="5">
        <f t="shared" si="90"/>
        <v>14675.97</v>
      </c>
      <c r="I2934" s="9">
        <f t="shared" si="91"/>
        <v>1.1573223499464156</v>
      </c>
      <c r="J2934" s="3" t="s">
        <v>4603</v>
      </c>
    </row>
    <row r="2935" spans="1:10" ht="25.5">
      <c r="A2935" s="3" t="s">
        <v>1811</v>
      </c>
      <c r="B2935" s="3" t="s">
        <v>3794</v>
      </c>
      <c r="C2935" s="4">
        <v>61</v>
      </c>
      <c r="D2935" s="3" t="s">
        <v>114</v>
      </c>
      <c r="E2935" s="3" t="s">
        <v>30</v>
      </c>
      <c r="F2935" s="5">
        <v>13075.44</v>
      </c>
      <c r="G2935" s="5">
        <v>8134.38</v>
      </c>
      <c r="H2935" s="5">
        <f t="shared" si="90"/>
        <v>-4941.0600000000004</v>
      </c>
      <c r="I2935" s="9">
        <f t="shared" si="91"/>
        <v>-0.37788862172133408</v>
      </c>
      <c r="J2935" s="3" t="s">
        <v>4603</v>
      </c>
    </row>
    <row r="2936" spans="1:10" ht="25.5">
      <c r="A2936" s="3" t="s">
        <v>1811</v>
      </c>
      <c r="B2936" s="3" t="s">
        <v>3795</v>
      </c>
      <c r="C2936" s="4">
        <v>299</v>
      </c>
      <c r="D2936" s="3" t="s">
        <v>246</v>
      </c>
      <c r="E2936" s="3" t="s">
        <v>30</v>
      </c>
      <c r="F2936" s="5">
        <v>8382.6200000000008</v>
      </c>
      <c r="G2936" s="5">
        <v>0</v>
      </c>
      <c r="H2936" s="5">
        <f t="shared" si="90"/>
        <v>-8382.6200000000008</v>
      </c>
      <c r="I2936" s="9">
        <f t="shared" si="91"/>
        <v>-1</v>
      </c>
      <c r="J2936" s="3" t="s">
        <v>4603</v>
      </c>
    </row>
    <row r="2937" spans="1:10" ht="25.5">
      <c r="A2937" s="3" t="s">
        <v>1811</v>
      </c>
      <c r="B2937" s="3" t="s">
        <v>3796</v>
      </c>
      <c r="C2937" s="4">
        <v>23</v>
      </c>
      <c r="D2937" s="3" t="s">
        <v>71</v>
      </c>
      <c r="E2937" s="3" t="s">
        <v>8</v>
      </c>
      <c r="F2937" s="5">
        <v>39654.6</v>
      </c>
      <c r="G2937" s="5">
        <v>0</v>
      </c>
      <c r="H2937" s="5">
        <f t="shared" si="90"/>
        <v>-39654.6</v>
      </c>
      <c r="I2937" s="9">
        <f t="shared" si="91"/>
        <v>-1</v>
      </c>
      <c r="J2937" s="3" t="s">
        <v>4604</v>
      </c>
    </row>
    <row r="2938" spans="1:10" ht="25.5">
      <c r="A2938" s="3" t="s">
        <v>1811</v>
      </c>
      <c r="B2938" s="3" t="s">
        <v>3797</v>
      </c>
      <c r="C2938" s="4">
        <v>327</v>
      </c>
      <c r="D2938" s="3" t="s">
        <v>76</v>
      </c>
      <c r="E2938" s="3" t="s">
        <v>8</v>
      </c>
      <c r="F2938" s="5">
        <v>0</v>
      </c>
      <c r="G2938" s="5">
        <v>17211.419999999998</v>
      </c>
      <c r="H2938" s="5">
        <f t="shared" si="90"/>
        <v>17211.419999999998</v>
      </c>
      <c r="I2938" s="9">
        <f t="shared" si="91"/>
        <v>0</v>
      </c>
      <c r="J2938" s="3" t="s">
        <v>4603</v>
      </c>
    </row>
    <row r="2939" spans="1:10" ht="25.5">
      <c r="A2939" s="3" t="s">
        <v>1811</v>
      </c>
      <c r="B2939" s="3" t="s">
        <v>3798</v>
      </c>
      <c r="C2939" s="4">
        <v>19</v>
      </c>
      <c r="D2939" s="3" t="s">
        <v>53</v>
      </c>
      <c r="E2939" s="3" t="s">
        <v>22</v>
      </c>
      <c r="F2939" s="5">
        <v>0</v>
      </c>
      <c r="G2939" s="5">
        <v>18240.45</v>
      </c>
      <c r="H2939" s="5">
        <f t="shared" si="90"/>
        <v>18240.45</v>
      </c>
      <c r="I2939" s="9">
        <f t="shared" si="91"/>
        <v>0</v>
      </c>
      <c r="J2939" s="3" t="s">
        <v>4603</v>
      </c>
    </row>
    <row r="2940" spans="1:10" ht="25.5">
      <c r="A2940" s="3" t="s">
        <v>1811</v>
      </c>
      <c r="B2940" s="3" t="s">
        <v>3799</v>
      </c>
      <c r="C2940" s="4">
        <v>208</v>
      </c>
      <c r="D2940" s="3" t="s">
        <v>58</v>
      </c>
      <c r="E2940" s="3" t="s">
        <v>13</v>
      </c>
      <c r="F2940" s="5">
        <v>5086.4399999999996</v>
      </c>
      <c r="G2940" s="5">
        <v>0</v>
      </c>
      <c r="H2940" s="5">
        <f t="shared" si="90"/>
        <v>-5086.4399999999996</v>
      </c>
      <c r="I2940" s="9">
        <f t="shared" si="91"/>
        <v>-1</v>
      </c>
      <c r="J2940" s="3" t="s">
        <v>4603</v>
      </c>
    </row>
    <row r="2941" spans="1:10" ht="25.5">
      <c r="A2941" s="3" t="s">
        <v>1811</v>
      </c>
      <c r="B2941" s="3" t="s">
        <v>3800</v>
      </c>
      <c r="C2941" s="4">
        <v>23</v>
      </c>
      <c r="D2941" s="3" t="s">
        <v>71</v>
      </c>
      <c r="E2941" s="3" t="s">
        <v>8</v>
      </c>
      <c r="F2941" s="5">
        <v>0</v>
      </c>
      <c r="G2941" s="5">
        <v>4104.2700000000004</v>
      </c>
      <c r="H2941" s="5">
        <f t="shared" si="90"/>
        <v>4104.2700000000004</v>
      </c>
      <c r="I2941" s="9">
        <f t="shared" si="91"/>
        <v>0</v>
      </c>
      <c r="J2941" s="3" t="s">
        <v>4603</v>
      </c>
    </row>
    <row r="2942" spans="1:10" ht="25.5">
      <c r="A2942" s="3" t="s">
        <v>1811</v>
      </c>
      <c r="B2942" s="3" t="s">
        <v>3801</v>
      </c>
      <c r="C2942" s="4">
        <v>316</v>
      </c>
      <c r="D2942" s="3" t="s">
        <v>167</v>
      </c>
      <c r="E2942" s="3" t="s">
        <v>18</v>
      </c>
      <c r="F2942" s="5">
        <v>0</v>
      </c>
      <c r="G2942" s="5">
        <v>2842.08</v>
      </c>
      <c r="H2942" s="5">
        <f t="shared" si="90"/>
        <v>2842.08</v>
      </c>
      <c r="I2942" s="9">
        <f t="shared" si="91"/>
        <v>0</v>
      </c>
      <c r="J2942" s="3" t="s">
        <v>4603</v>
      </c>
    </row>
    <row r="2943" spans="1:10" ht="38.25">
      <c r="A2943" s="3" t="s">
        <v>1811</v>
      </c>
      <c r="B2943" s="3" t="s">
        <v>3802</v>
      </c>
      <c r="C2943" s="4">
        <v>93</v>
      </c>
      <c r="D2943" s="3" t="s">
        <v>42</v>
      </c>
      <c r="E2943" s="3" t="s">
        <v>8</v>
      </c>
      <c r="F2943" s="5">
        <v>12810.69</v>
      </c>
      <c r="G2943" s="5">
        <v>0</v>
      </c>
      <c r="H2943" s="5">
        <f t="shared" si="90"/>
        <v>-12810.69</v>
      </c>
      <c r="I2943" s="9">
        <f t="shared" si="91"/>
        <v>-1</v>
      </c>
      <c r="J2943" s="3" t="s">
        <v>4603</v>
      </c>
    </row>
    <row r="2944" spans="1:10" ht="25.5">
      <c r="A2944" s="3" t="s">
        <v>1811</v>
      </c>
      <c r="B2944" s="3" t="s">
        <v>3803</v>
      </c>
      <c r="C2944" s="4">
        <v>317</v>
      </c>
      <c r="D2944" s="3" t="s">
        <v>54</v>
      </c>
      <c r="E2944" s="3" t="s">
        <v>18</v>
      </c>
      <c r="F2944" s="5">
        <v>7096.92</v>
      </c>
      <c r="G2944" s="5">
        <v>0</v>
      </c>
      <c r="H2944" s="5">
        <f t="shared" si="90"/>
        <v>-7096.92</v>
      </c>
      <c r="I2944" s="9">
        <f t="shared" si="91"/>
        <v>-1</v>
      </c>
      <c r="J2944" s="3" t="s">
        <v>4603</v>
      </c>
    </row>
    <row r="2945" spans="1:10" ht="25.5">
      <c r="A2945" s="3" t="s">
        <v>1811</v>
      </c>
      <c r="B2945" s="3" t="s">
        <v>3804</v>
      </c>
      <c r="C2945" s="4">
        <v>315</v>
      </c>
      <c r="D2945" s="3" t="s">
        <v>79</v>
      </c>
      <c r="E2945" s="3" t="s">
        <v>8</v>
      </c>
      <c r="F2945" s="5">
        <v>3088.08</v>
      </c>
      <c r="G2945" s="5">
        <v>0</v>
      </c>
      <c r="H2945" s="5">
        <f t="shared" si="90"/>
        <v>-3088.08</v>
      </c>
      <c r="I2945" s="9">
        <f t="shared" si="91"/>
        <v>-1</v>
      </c>
      <c r="J2945" s="3" t="s">
        <v>4603</v>
      </c>
    </row>
    <row r="2946" spans="1:10">
      <c r="A2946" s="3" t="s">
        <v>1811</v>
      </c>
      <c r="B2946" s="3" t="s">
        <v>3805</v>
      </c>
      <c r="C2946" s="4">
        <v>315</v>
      </c>
      <c r="D2946" s="3" t="s">
        <v>79</v>
      </c>
      <c r="E2946" s="3" t="s">
        <v>8</v>
      </c>
      <c r="F2946" s="5">
        <v>8832.9</v>
      </c>
      <c r="G2946" s="5">
        <v>5581.38</v>
      </c>
      <c r="H2946" s="5">
        <f t="shared" si="90"/>
        <v>-3251.5199999999995</v>
      </c>
      <c r="I2946" s="9">
        <f t="shared" si="91"/>
        <v>-0.36811466222871303</v>
      </c>
      <c r="J2946" s="3" t="s">
        <v>4604</v>
      </c>
    </row>
    <row r="2947" spans="1:10" ht="25.5">
      <c r="A2947" s="3" t="s">
        <v>1811</v>
      </c>
      <c r="B2947" s="3" t="s">
        <v>3806</v>
      </c>
      <c r="C2947" s="4">
        <v>23</v>
      </c>
      <c r="D2947" s="3" t="s">
        <v>71</v>
      </c>
      <c r="E2947" s="3" t="s">
        <v>8</v>
      </c>
      <c r="F2947" s="5">
        <v>3419.4</v>
      </c>
      <c r="G2947" s="5">
        <v>3888.24</v>
      </c>
      <c r="H2947" s="5">
        <f t="shared" ref="H2947:H3010" si="92">G2947-F2947</f>
        <v>468.83999999999969</v>
      </c>
      <c r="I2947" s="9">
        <f t="shared" ref="I2947:I3010" si="93">IFERROR(G2947/F2947-1,0)</f>
        <v>0.13711177399543772</v>
      </c>
      <c r="J2947" s="3" t="s">
        <v>4603</v>
      </c>
    </row>
    <row r="2948" spans="1:10" ht="25.5">
      <c r="A2948" s="3" t="s">
        <v>1811</v>
      </c>
      <c r="B2948" s="3" t="s">
        <v>3807</v>
      </c>
      <c r="C2948" s="4">
        <v>267</v>
      </c>
      <c r="D2948" s="3" t="s">
        <v>417</v>
      </c>
      <c r="E2948" s="3" t="s">
        <v>13</v>
      </c>
      <c r="F2948" s="5">
        <v>7242.48</v>
      </c>
      <c r="G2948" s="5">
        <v>0</v>
      </c>
      <c r="H2948" s="5">
        <f t="shared" si="92"/>
        <v>-7242.48</v>
      </c>
      <c r="I2948" s="9">
        <f t="shared" si="93"/>
        <v>-1</v>
      </c>
      <c r="J2948" s="3" t="s">
        <v>4603</v>
      </c>
    </row>
    <row r="2949" spans="1:10" ht="25.5">
      <c r="A2949" s="3" t="s">
        <v>1811</v>
      </c>
      <c r="B2949" s="3" t="s">
        <v>3808</v>
      </c>
      <c r="C2949" s="4">
        <v>31</v>
      </c>
      <c r="D2949" s="3" t="s">
        <v>172</v>
      </c>
      <c r="E2949" s="3" t="s">
        <v>13</v>
      </c>
      <c r="F2949" s="5">
        <v>0</v>
      </c>
      <c r="G2949" s="5">
        <v>9960.44</v>
      </c>
      <c r="H2949" s="5">
        <f t="shared" si="92"/>
        <v>9960.44</v>
      </c>
      <c r="I2949" s="9">
        <f t="shared" si="93"/>
        <v>0</v>
      </c>
      <c r="J2949" s="3" t="s">
        <v>4603</v>
      </c>
    </row>
    <row r="2950" spans="1:10" ht="25.5">
      <c r="A2950" s="3" t="s">
        <v>1811</v>
      </c>
      <c r="B2950" s="3" t="s">
        <v>3809</v>
      </c>
      <c r="C2950" s="4">
        <v>19</v>
      </c>
      <c r="D2950" s="3" t="s">
        <v>53</v>
      </c>
      <c r="E2950" s="3" t="s">
        <v>22</v>
      </c>
      <c r="F2950" s="5">
        <v>29461.83</v>
      </c>
      <c r="G2950" s="5">
        <v>0</v>
      </c>
      <c r="H2950" s="5">
        <f t="shared" si="92"/>
        <v>-29461.83</v>
      </c>
      <c r="I2950" s="9">
        <f t="shared" si="93"/>
        <v>-1</v>
      </c>
      <c r="J2950" s="3" t="s">
        <v>4603</v>
      </c>
    </row>
    <row r="2951" spans="1:10" ht="25.5">
      <c r="A2951" s="3" t="s">
        <v>1811</v>
      </c>
      <c r="B2951" s="3" t="s">
        <v>3810</v>
      </c>
      <c r="C2951" s="4">
        <v>317</v>
      </c>
      <c r="D2951" s="3" t="s">
        <v>54</v>
      </c>
      <c r="E2951" s="3" t="s">
        <v>18</v>
      </c>
      <c r="F2951" s="5">
        <v>28181.61</v>
      </c>
      <c r="G2951" s="5">
        <v>19233</v>
      </c>
      <c r="H2951" s="5">
        <f t="shared" si="92"/>
        <v>-8948.61</v>
      </c>
      <c r="I2951" s="9">
        <f t="shared" si="93"/>
        <v>-0.31753366823258145</v>
      </c>
      <c r="J2951" s="3" t="s">
        <v>4603</v>
      </c>
    </row>
    <row r="2952" spans="1:10" ht="25.5">
      <c r="A2952" s="3" t="s">
        <v>1811</v>
      </c>
      <c r="B2952" s="3" t="s">
        <v>3811</v>
      </c>
      <c r="C2952" s="4">
        <v>317</v>
      </c>
      <c r="D2952" s="3" t="s">
        <v>54</v>
      </c>
      <c r="E2952" s="3" t="s">
        <v>18</v>
      </c>
      <c r="F2952" s="5">
        <v>12115.44</v>
      </c>
      <c r="G2952" s="5">
        <v>0</v>
      </c>
      <c r="H2952" s="5">
        <f t="shared" si="92"/>
        <v>-12115.44</v>
      </c>
      <c r="I2952" s="9">
        <f t="shared" si="93"/>
        <v>-1</v>
      </c>
      <c r="J2952" s="3" t="s">
        <v>4603</v>
      </c>
    </row>
    <row r="2953" spans="1:10" ht="38.25">
      <c r="A2953" s="3" t="s">
        <v>1811</v>
      </c>
      <c r="B2953" s="3" t="s">
        <v>3812</v>
      </c>
      <c r="C2953" s="4">
        <v>371</v>
      </c>
      <c r="D2953" s="3" t="s">
        <v>29</v>
      </c>
      <c r="E2953" s="3" t="s">
        <v>30</v>
      </c>
      <c r="F2953" s="5">
        <v>0</v>
      </c>
      <c r="G2953" s="5">
        <v>3545.16</v>
      </c>
      <c r="H2953" s="5">
        <f t="shared" si="92"/>
        <v>3545.16</v>
      </c>
      <c r="I2953" s="9">
        <f t="shared" si="93"/>
        <v>0</v>
      </c>
      <c r="J2953" s="3" t="s">
        <v>4603</v>
      </c>
    </row>
    <row r="2954" spans="1:10" ht="25.5">
      <c r="A2954" s="3" t="s">
        <v>1811</v>
      </c>
      <c r="B2954" s="3" t="s">
        <v>3813</v>
      </c>
      <c r="C2954" s="4">
        <v>61</v>
      </c>
      <c r="D2954" s="3" t="s">
        <v>114</v>
      </c>
      <c r="E2954" s="3" t="s">
        <v>30</v>
      </c>
      <c r="F2954" s="5">
        <v>0</v>
      </c>
      <c r="G2954" s="5">
        <v>10481.91</v>
      </c>
      <c r="H2954" s="5">
        <f t="shared" si="92"/>
        <v>10481.91</v>
      </c>
      <c r="I2954" s="9">
        <f t="shared" si="93"/>
        <v>0</v>
      </c>
      <c r="J2954" s="3" t="s">
        <v>4603</v>
      </c>
    </row>
    <row r="2955" spans="1:10" ht="25.5">
      <c r="A2955" s="3" t="s">
        <v>1811</v>
      </c>
      <c r="B2955" s="3" t="s">
        <v>3814</v>
      </c>
      <c r="C2955" s="4">
        <v>31</v>
      </c>
      <c r="D2955" s="3" t="s">
        <v>172</v>
      </c>
      <c r="E2955" s="3" t="s">
        <v>13</v>
      </c>
      <c r="F2955" s="5">
        <v>21486.46</v>
      </c>
      <c r="G2955" s="5">
        <v>12255.96</v>
      </c>
      <c r="H2955" s="5">
        <f t="shared" si="92"/>
        <v>-9230.5</v>
      </c>
      <c r="I2955" s="9">
        <f t="shared" si="93"/>
        <v>-0.42959612704931383</v>
      </c>
      <c r="J2955" s="3" t="s">
        <v>4603</v>
      </c>
    </row>
    <row r="2956" spans="1:10">
      <c r="A2956" s="3" t="s">
        <v>1811</v>
      </c>
      <c r="B2956" s="3" t="s">
        <v>3815</v>
      </c>
      <c r="C2956" s="4">
        <v>167</v>
      </c>
      <c r="D2956" s="3" t="s">
        <v>335</v>
      </c>
      <c r="E2956" s="3" t="s">
        <v>30</v>
      </c>
      <c r="F2956" s="5">
        <v>0</v>
      </c>
      <c r="G2956" s="5">
        <v>3817.86</v>
      </c>
      <c r="H2956" s="5">
        <f t="shared" si="92"/>
        <v>3817.86</v>
      </c>
      <c r="I2956" s="9">
        <f t="shared" si="93"/>
        <v>0</v>
      </c>
      <c r="J2956" s="3" t="s">
        <v>4603</v>
      </c>
    </row>
    <row r="2957" spans="1:10" ht="51">
      <c r="A2957" s="3" t="s">
        <v>1811</v>
      </c>
      <c r="B2957" s="3" t="s">
        <v>3816</v>
      </c>
      <c r="C2957" s="4">
        <v>282</v>
      </c>
      <c r="D2957" s="3" t="s">
        <v>298</v>
      </c>
      <c r="E2957" s="3" t="s">
        <v>9</v>
      </c>
      <c r="F2957" s="5">
        <v>2528.46</v>
      </c>
      <c r="G2957" s="5">
        <v>4745.07</v>
      </c>
      <c r="H2957" s="5">
        <f t="shared" si="92"/>
        <v>2216.6099999999997</v>
      </c>
      <c r="I2957" s="9">
        <f t="shared" si="93"/>
        <v>0.87666405638214551</v>
      </c>
      <c r="J2957" s="3" t="s">
        <v>4603</v>
      </c>
    </row>
    <row r="2958" spans="1:10" ht="25.5">
      <c r="A2958" s="3" t="s">
        <v>1811</v>
      </c>
      <c r="B2958" s="3" t="s">
        <v>3817</v>
      </c>
      <c r="C2958" s="4">
        <v>232</v>
      </c>
      <c r="D2958" s="3" t="s">
        <v>95</v>
      </c>
      <c r="E2958" s="3" t="s">
        <v>13</v>
      </c>
      <c r="F2958" s="5">
        <v>6131.28</v>
      </c>
      <c r="G2958" s="5">
        <v>3911.76</v>
      </c>
      <c r="H2958" s="5">
        <f t="shared" si="92"/>
        <v>-2219.5199999999995</v>
      </c>
      <c r="I2958" s="9">
        <f t="shared" si="93"/>
        <v>-0.36199945199044892</v>
      </c>
      <c r="J2958" s="3" t="s">
        <v>4603</v>
      </c>
    </row>
    <row r="2959" spans="1:10" ht="25.5">
      <c r="A2959" s="3" t="s">
        <v>1811</v>
      </c>
      <c r="B2959" s="3" t="s">
        <v>3818</v>
      </c>
      <c r="C2959" s="4">
        <v>299</v>
      </c>
      <c r="D2959" s="3" t="s">
        <v>246</v>
      </c>
      <c r="E2959" s="3" t="s">
        <v>30</v>
      </c>
      <c r="F2959" s="5">
        <v>0</v>
      </c>
      <c r="G2959" s="5">
        <v>6786.24</v>
      </c>
      <c r="H2959" s="5">
        <f t="shared" si="92"/>
        <v>6786.24</v>
      </c>
      <c r="I2959" s="9">
        <f t="shared" si="93"/>
        <v>0</v>
      </c>
      <c r="J2959" s="3" t="s">
        <v>4603</v>
      </c>
    </row>
    <row r="2960" spans="1:10">
      <c r="A2960" s="3" t="s">
        <v>1811</v>
      </c>
      <c r="B2960" s="3" t="s">
        <v>3819</v>
      </c>
      <c r="C2960" s="4">
        <v>15</v>
      </c>
      <c r="D2960" s="3" t="s">
        <v>33</v>
      </c>
      <c r="E2960" s="3" t="s">
        <v>13</v>
      </c>
      <c r="F2960" s="5">
        <v>0</v>
      </c>
      <c r="G2960" s="5">
        <v>6227.88</v>
      </c>
      <c r="H2960" s="5">
        <f t="shared" si="92"/>
        <v>6227.88</v>
      </c>
      <c r="I2960" s="9">
        <f t="shared" si="93"/>
        <v>0</v>
      </c>
      <c r="J2960" s="3" t="s">
        <v>4603</v>
      </c>
    </row>
    <row r="2961" spans="1:10" ht="38.25">
      <c r="A2961" s="3" t="s">
        <v>1811</v>
      </c>
      <c r="B2961" s="3" t="s">
        <v>3820</v>
      </c>
      <c r="C2961" s="4">
        <v>15</v>
      </c>
      <c r="D2961" s="3" t="s">
        <v>33</v>
      </c>
      <c r="E2961" s="3" t="s">
        <v>13</v>
      </c>
      <c r="F2961" s="5">
        <v>0</v>
      </c>
      <c r="G2961" s="5">
        <v>22928.639999999999</v>
      </c>
      <c r="H2961" s="5">
        <f t="shared" si="92"/>
        <v>22928.639999999999</v>
      </c>
      <c r="I2961" s="9">
        <f t="shared" si="93"/>
        <v>0</v>
      </c>
      <c r="J2961" s="3" t="s">
        <v>4604</v>
      </c>
    </row>
    <row r="2962" spans="1:10" ht="38.25">
      <c r="A2962" s="3" t="s">
        <v>1811</v>
      </c>
      <c r="B2962" s="3" t="s">
        <v>3821</v>
      </c>
      <c r="C2962" s="4">
        <v>301</v>
      </c>
      <c r="D2962" s="3" t="s">
        <v>12</v>
      </c>
      <c r="E2962" s="3" t="s">
        <v>13</v>
      </c>
      <c r="F2962" s="5">
        <v>0</v>
      </c>
      <c r="G2962" s="5">
        <v>4795.62</v>
      </c>
      <c r="H2962" s="5">
        <f t="shared" si="92"/>
        <v>4795.62</v>
      </c>
      <c r="I2962" s="9">
        <f t="shared" si="93"/>
        <v>0</v>
      </c>
      <c r="J2962" s="3" t="s">
        <v>4603</v>
      </c>
    </row>
    <row r="2963" spans="1:10">
      <c r="A2963" s="3" t="s">
        <v>1811</v>
      </c>
      <c r="B2963" s="3" t="s">
        <v>3822</v>
      </c>
      <c r="C2963" s="4">
        <v>15</v>
      </c>
      <c r="D2963" s="3" t="s">
        <v>33</v>
      </c>
      <c r="E2963" s="3" t="s">
        <v>13</v>
      </c>
      <c r="F2963" s="5">
        <v>0</v>
      </c>
      <c r="G2963" s="5">
        <v>35171.980000000003</v>
      </c>
      <c r="H2963" s="5">
        <f t="shared" si="92"/>
        <v>35171.980000000003</v>
      </c>
      <c r="I2963" s="9">
        <f t="shared" si="93"/>
        <v>0</v>
      </c>
      <c r="J2963" s="3" t="s">
        <v>4603</v>
      </c>
    </row>
    <row r="2964" spans="1:10">
      <c r="A2964" s="3" t="s">
        <v>1811</v>
      </c>
      <c r="B2964" s="3" t="s">
        <v>3823</v>
      </c>
      <c r="C2964" s="4">
        <v>334</v>
      </c>
      <c r="D2964" s="3" t="s">
        <v>585</v>
      </c>
      <c r="E2964" s="3" t="s">
        <v>8</v>
      </c>
      <c r="F2964" s="5">
        <v>3071.52</v>
      </c>
      <c r="G2964" s="5">
        <v>0</v>
      </c>
      <c r="H2964" s="5">
        <f t="shared" si="92"/>
        <v>-3071.52</v>
      </c>
      <c r="I2964" s="9">
        <f t="shared" si="93"/>
        <v>-1</v>
      </c>
      <c r="J2964" s="3" t="s">
        <v>4603</v>
      </c>
    </row>
    <row r="2965" spans="1:10" ht="25.5">
      <c r="A2965" s="3" t="s">
        <v>1811</v>
      </c>
      <c r="B2965" s="3" t="s">
        <v>3824</v>
      </c>
      <c r="C2965" s="4">
        <v>266</v>
      </c>
      <c r="D2965" s="3" t="s">
        <v>111</v>
      </c>
      <c r="E2965" s="3" t="s">
        <v>18</v>
      </c>
      <c r="F2965" s="5">
        <v>14486.43</v>
      </c>
      <c r="G2965" s="5">
        <v>19095.84</v>
      </c>
      <c r="H2965" s="5">
        <f t="shared" si="92"/>
        <v>4609.41</v>
      </c>
      <c r="I2965" s="9">
        <f t="shared" si="93"/>
        <v>0.31818812502459193</v>
      </c>
      <c r="J2965" s="3" t="s">
        <v>4603</v>
      </c>
    </row>
    <row r="2966" spans="1:10" ht="25.5">
      <c r="A2966" s="3" t="s">
        <v>1811</v>
      </c>
      <c r="B2966" s="3" t="s">
        <v>3825</v>
      </c>
      <c r="C2966" s="4">
        <v>74</v>
      </c>
      <c r="D2966" s="3" t="s">
        <v>86</v>
      </c>
      <c r="E2966" s="3" t="s">
        <v>8</v>
      </c>
      <c r="F2966" s="5">
        <v>8077.86</v>
      </c>
      <c r="G2966" s="5">
        <v>0</v>
      </c>
      <c r="H2966" s="5">
        <f t="shared" si="92"/>
        <v>-8077.86</v>
      </c>
      <c r="I2966" s="9">
        <f t="shared" si="93"/>
        <v>-1</v>
      </c>
      <c r="J2966" s="3" t="s">
        <v>4603</v>
      </c>
    </row>
    <row r="2967" spans="1:10" ht="25.5">
      <c r="A2967" s="3" t="s">
        <v>1811</v>
      </c>
      <c r="B2967" s="3" t="s">
        <v>3826</v>
      </c>
      <c r="C2967" s="4">
        <v>302</v>
      </c>
      <c r="D2967" s="3" t="s">
        <v>303</v>
      </c>
      <c r="E2967" s="3" t="s">
        <v>30</v>
      </c>
      <c r="F2967" s="5">
        <v>12952.95</v>
      </c>
      <c r="G2967" s="5">
        <v>0</v>
      </c>
      <c r="H2967" s="5">
        <f t="shared" si="92"/>
        <v>-12952.95</v>
      </c>
      <c r="I2967" s="9">
        <f t="shared" si="93"/>
        <v>-1</v>
      </c>
      <c r="J2967" s="3" t="s">
        <v>4603</v>
      </c>
    </row>
    <row r="2968" spans="1:10" ht="25.5">
      <c r="A2968" s="3" t="s">
        <v>1811</v>
      </c>
      <c r="B2968" s="3" t="s">
        <v>3827</v>
      </c>
      <c r="C2968" s="4">
        <v>23</v>
      </c>
      <c r="D2968" s="3" t="s">
        <v>71</v>
      </c>
      <c r="E2968" s="3" t="s">
        <v>8</v>
      </c>
      <c r="F2968" s="5">
        <v>5964.48</v>
      </c>
      <c r="G2968" s="5">
        <v>15140.25</v>
      </c>
      <c r="H2968" s="5">
        <f t="shared" si="92"/>
        <v>9175.77</v>
      </c>
      <c r="I2968" s="9">
        <f t="shared" si="93"/>
        <v>1.5384023418638342</v>
      </c>
      <c r="J2968" s="3" t="s">
        <v>4603</v>
      </c>
    </row>
    <row r="2969" spans="1:10" ht="25.5">
      <c r="A2969" s="3" t="s">
        <v>1811</v>
      </c>
      <c r="B2969" s="3" t="s">
        <v>3828</v>
      </c>
      <c r="C2969" s="4">
        <v>194</v>
      </c>
      <c r="D2969" s="3" t="s">
        <v>179</v>
      </c>
      <c r="E2969" s="3" t="s">
        <v>13</v>
      </c>
      <c r="F2969" s="5">
        <v>0</v>
      </c>
      <c r="G2969" s="5">
        <v>5845.8</v>
      </c>
      <c r="H2969" s="5">
        <f t="shared" si="92"/>
        <v>5845.8</v>
      </c>
      <c r="I2969" s="9">
        <f t="shared" si="93"/>
        <v>0</v>
      </c>
      <c r="J2969" s="3" t="s">
        <v>4603</v>
      </c>
    </row>
    <row r="2970" spans="1:10" ht="25.5">
      <c r="A2970" s="3" t="s">
        <v>1811</v>
      </c>
      <c r="B2970" s="3" t="s">
        <v>3829</v>
      </c>
      <c r="C2970" s="4">
        <v>270</v>
      </c>
      <c r="D2970" s="3" t="s">
        <v>312</v>
      </c>
      <c r="E2970" s="3" t="s">
        <v>30</v>
      </c>
      <c r="F2970" s="5">
        <v>10702.2</v>
      </c>
      <c r="G2970" s="5">
        <v>0</v>
      </c>
      <c r="H2970" s="5">
        <f t="shared" si="92"/>
        <v>-10702.2</v>
      </c>
      <c r="I2970" s="9">
        <f t="shared" si="93"/>
        <v>-1</v>
      </c>
      <c r="J2970" s="3" t="s">
        <v>4603</v>
      </c>
    </row>
    <row r="2971" spans="1:10" ht="25.5">
      <c r="A2971" s="3" t="s">
        <v>1811</v>
      </c>
      <c r="B2971" s="3" t="s">
        <v>3830</v>
      </c>
      <c r="C2971" s="4">
        <v>61</v>
      </c>
      <c r="D2971" s="3" t="s">
        <v>114</v>
      </c>
      <c r="E2971" s="3" t="s">
        <v>30</v>
      </c>
      <c r="F2971" s="5">
        <v>3371.52</v>
      </c>
      <c r="G2971" s="5">
        <v>0</v>
      </c>
      <c r="H2971" s="5">
        <f t="shared" si="92"/>
        <v>-3371.52</v>
      </c>
      <c r="I2971" s="9">
        <f t="shared" si="93"/>
        <v>-1</v>
      </c>
      <c r="J2971" s="3" t="s">
        <v>4603</v>
      </c>
    </row>
    <row r="2972" spans="1:10" ht="38.25">
      <c r="A2972" s="3" t="s">
        <v>1811</v>
      </c>
      <c r="B2972" s="3" t="s">
        <v>3831</v>
      </c>
      <c r="C2972" s="4">
        <v>143</v>
      </c>
      <c r="D2972" s="3" t="s">
        <v>21</v>
      </c>
      <c r="E2972" s="3" t="s">
        <v>22</v>
      </c>
      <c r="F2972" s="5">
        <v>12304.08</v>
      </c>
      <c r="G2972" s="5">
        <v>8065.08</v>
      </c>
      <c r="H2972" s="5">
        <f t="shared" si="92"/>
        <v>-4239</v>
      </c>
      <c r="I2972" s="9">
        <f t="shared" si="93"/>
        <v>-0.34451986658084144</v>
      </c>
      <c r="J2972" s="3" t="s">
        <v>4603</v>
      </c>
    </row>
    <row r="2973" spans="1:10" ht="25.5">
      <c r="A2973" s="3" t="s">
        <v>1811</v>
      </c>
      <c r="B2973" s="3" t="s">
        <v>3832</v>
      </c>
      <c r="C2973" s="4">
        <v>31</v>
      </c>
      <c r="D2973" s="3" t="s">
        <v>172</v>
      </c>
      <c r="E2973" s="3" t="s">
        <v>13</v>
      </c>
      <c r="F2973" s="5">
        <v>19748.580000000002</v>
      </c>
      <c r="G2973" s="5">
        <v>27881.55</v>
      </c>
      <c r="H2973" s="5">
        <f t="shared" si="92"/>
        <v>8132.9699999999975</v>
      </c>
      <c r="I2973" s="9">
        <f t="shared" si="93"/>
        <v>0.41182555910348984</v>
      </c>
      <c r="J2973" s="3" t="s">
        <v>4603</v>
      </c>
    </row>
    <row r="2974" spans="1:10" ht="38.25">
      <c r="A2974" s="3" t="s">
        <v>1811</v>
      </c>
      <c r="B2974" s="3" t="s">
        <v>3833</v>
      </c>
      <c r="C2974" s="4">
        <v>371</v>
      </c>
      <c r="D2974" s="3" t="s">
        <v>29</v>
      </c>
      <c r="E2974" s="3" t="s">
        <v>30</v>
      </c>
      <c r="F2974" s="5">
        <v>5806.68</v>
      </c>
      <c r="G2974" s="5">
        <v>0</v>
      </c>
      <c r="H2974" s="5">
        <f t="shared" si="92"/>
        <v>-5806.68</v>
      </c>
      <c r="I2974" s="9">
        <f t="shared" si="93"/>
        <v>-1</v>
      </c>
      <c r="J2974" s="3" t="s">
        <v>4603</v>
      </c>
    </row>
    <row r="2975" spans="1:10" ht="38.25">
      <c r="A2975" s="3" t="s">
        <v>1811</v>
      </c>
      <c r="B2975" s="3" t="s">
        <v>3834</v>
      </c>
      <c r="C2975" s="4">
        <v>371</v>
      </c>
      <c r="D2975" s="3" t="s">
        <v>29</v>
      </c>
      <c r="E2975" s="3" t="s">
        <v>30</v>
      </c>
      <c r="F2975" s="5">
        <v>3371.4</v>
      </c>
      <c r="G2975" s="5">
        <v>0</v>
      </c>
      <c r="H2975" s="5">
        <f t="shared" si="92"/>
        <v>-3371.4</v>
      </c>
      <c r="I2975" s="9">
        <f t="shared" si="93"/>
        <v>-1</v>
      </c>
      <c r="J2975" s="3" t="s">
        <v>4603</v>
      </c>
    </row>
    <row r="2976" spans="1:10" ht="38.25">
      <c r="A2976" s="3" t="s">
        <v>1811</v>
      </c>
      <c r="B2976" s="3" t="s">
        <v>3835</v>
      </c>
      <c r="C2976" s="4">
        <v>45</v>
      </c>
      <c r="D2976" s="3" t="s">
        <v>16</v>
      </c>
      <c r="E2976" s="3" t="s">
        <v>8</v>
      </c>
      <c r="F2976" s="5">
        <v>14505.45</v>
      </c>
      <c r="G2976" s="5">
        <v>14350.5</v>
      </c>
      <c r="H2976" s="5">
        <f t="shared" si="92"/>
        <v>-154.95000000000073</v>
      </c>
      <c r="I2976" s="9">
        <f t="shared" si="93"/>
        <v>-1.0682191865815982E-2</v>
      </c>
      <c r="J2976" s="3" t="s">
        <v>4603</v>
      </c>
    </row>
    <row r="2977" spans="1:10" ht="25.5">
      <c r="A2977" s="3" t="s">
        <v>1811</v>
      </c>
      <c r="B2977" s="3" t="s">
        <v>3836</v>
      </c>
      <c r="C2977" s="4">
        <v>240</v>
      </c>
      <c r="D2977" s="3" t="s">
        <v>152</v>
      </c>
      <c r="E2977" s="3" t="s">
        <v>13</v>
      </c>
      <c r="F2977" s="5">
        <v>0</v>
      </c>
      <c r="G2977" s="5">
        <v>5786.64</v>
      </c>
      <c r="H2977" s="5">
        <f t="shared" si="92"/>
        <v>5786.64</v>
      </c>
      <c r="I2977" s="9">
        <f t="shared" si="93"/>
        <v>0</v>
      </c>
      <c r="J2977" s="3" t="s">
        <v>4603</v>
      </c>
    </row>
    <row r="2978" spans="1:10" ht="25.5">
      <c r="A2978" s="3" t="s">
        <v>1811</v>
      </c>
      <c r="B2978" s="3" t="s">
        <v>3837</v>
      </c>
      <c r="C2978" s="4">
        <v>299</v>
      </c>
      <c r="D2978" s="3" t="s">
        <v>246</v>
      </c>
      <c r="E2978" s="3" t="s">
        <v>30</v>
      </c>
      <c r="F2978" s="5">
        <v>12745.74</v>
      </c>
      <c r="G2978" s="5">
        <v>0</v>
      </c>
      <c r="H2978" s="5">
        <f t="shared" si="92"/>
        <v>-12745.74</v>
      </c>
      <c r="I2978" s="9">
        <f t="shared" si="93"/>
        <v>-1</v>
      </c>
      <c r="J2978" s="3" t="s">
        <v>4603</v>
      </c>
    </row>
    <row r="2979" spans="1:10" ht="25.5">
      <c r="A2979" s="3" t="s">
        <v>1811</v>
      </c>
      <c r="B2979" s="3" t="s">
        <v>3838</v>
      </c>
      <c r="C2979" s="4">
        <v>167</v>
      </c>
      <c r="D2979" s="3" t="s">
        <v>335</v>
      </c>
      <c r="E2979" s="3" t="s">
        <v>30</v>
      </c>
      <c r="F2979" s="5">
        <v>11886.96</v>
      </c>
      <c r="G2979" s="5">
        <v>20439.509999999998</v>
      </c>
      <c r="H2979" s="5">
        <f t="shared" si="92"/>
        <v>8552.5499999999993</v>
      </c>
      <c r="I2979" s="9">
        <f t="shared" si="93"/>
        <v>0.71949009671101782</v>
      </c>
      <c r="J2979" s="3" t="s">
        <v>4603</v>
      </c>
    </row>
    <row r="2980" spans="1:10" ht="25.5">
      <c r="A2980" s="3" t="s">
        <v>1811</v>
      </c>
      <c r="B2980" s="3" t="s">
        <v>3839</v>
      </c>
      <c r="C2980" s="4">
        <v>317</v>
      </c>
      <c r="D2980" s="3" t="s">
        <v>54</v>
      </c>
      <c r="E2980" s="3" t="s">
        <v>18</v>
      </c>
      <c r="F2980" s="5">
        <v>0</v>
      </c>
      <c r="G2980" s="5">
        <v>8680.56</v>
      </c>
      <c r="H2980" s="5">
        <f t="shared" si="92"/>
        <v>8680.56</v>
      </c>
      <c r="I2980" s="9">
        <f t="shared" si="93"/>
        <v>0</v>
      </c>
      <c r="J2980" s="3" t="s">
        <v>4603</v>
      </c>
    </row>
    <row r="2981" spans="1:10" ht="38.25">
      <c r="A2981" s="3" t="s">
        <v>1811</v>
      </c>
      <c r="B2981" s="3" t="s">
        <v>3840</v>
      </c>
      <c r="C2981" s="4">
        <v>331</v>
      </c>
      <c r="D2981" s="3" t="s">
        <v>1728</v>
      </c>
      <c r="E2981" s="3" t="s">
        <v>9</v>
      </c>
      <c r="F2981" s="5">
        <v>0</v>
      </c>
      <c r="G2981" s="5">
        <v>15681.314</v>
      </c>
      <c r="H2981" s="5">
        <f t="shared" si="92"/>
        <v>15681.314</v>
      </c>
      <c r="I2981" s="9">
        <f t="shared" si="93"/>
        <v>0</v>
      </c>
      <c r="J2981" s="3" t="s">
        <v>4603</v>
      </c>
    </row>
    <row r="2982" spans="1:10" ht="38.25">
      <c r="A2982" s="3" t="s">
        <v>1811</v>
      </c>
      <c r="B2982" s="3" t="s">
        <v>3841</v>
      </c>
      <c r="C2982" s="4">
        <v>11</v>
      </c>
      <c r="D2982" s="3" t="s">
        <v>55</v>
      </c>
      <c r="E2982" s="3" t="s">
        <v>18</v>
      </c>
      <c r="F2982" s="5">
        <v>6815.04</v>
      </c>
      <c r="G2982" s="5">
        <v>0</v>
      </c>
      <c r="H2982" s="5">
        <f t="shared" si="92"/>
        <v>-6815.04</v>
      </c>
      <c r="I2982" s="9">
        <f t="shared" si="93"/>
        <v>-1</v>
      </c>
      <c r="J2982" s="3" t="s">
        <v>4603</v>
      </c>
    </row>
    <row r="2983" spans="1:10" ht="25.5">
      <c r="A2983" s="3" t="s">
        <v>1811</v>
      </c>
      <c r="B2983" s="3" t="s">
        <v>3842</v>
      </c>
      <c r="C2983" s="4">
        <v>266</v>
      </c>
      <c r="D2983" s="3" t="s">
        <v>111</v>
      </c>
      <c r="E2983" s="3" t="s">
        <v>18</v>
      </c>
      <c r="F2983" s="5">
        <v>0</v>
      </c>
      <c r="G2983" s="5">
        <v>46268.34</v>
      </c>
      <c r="H2983" s="5">
        <f t="shared" si="92"/>
        <v>46268.34</v>
      </c>
      <c r="I2983" s="9">
        <f t="shared" si="93"/>
        <v>0</v>
      </c>
      <c r="J2983" s="3" t="s">
        <v>4604</v>
      </c>
    </row>
    <row r="2984" spans="1:10" ht="25.5">
      <c r="A2984" s="3" t="s">
        <v>1811</v>
      </c>
      <c r="B2984" s="3" t="s">
        <v>3843</v>
      </c>
      <c r="C2984" s="4">
        <v>299</v>
      </c>
      <c r="D2984" s="3" t="s">
        <v>246</v>
      </c>
      <c r="E2984" s="3" t="s">
        <v>30</v>
      </c>
      <c r="F2984" s="5">
        <v>7582.56</v>
      </c>
      <c r="G2984" s="5">
        <v>0</v>
      </c>
      <c r="H2984" s="5">
        <f t="shared" si="92"/>
        <v>-7582.56</v>
      </c>
      <c r="I2984" s="9">
        <f t="shared" si="93"/>
        <v>-1</v>
      </c>
      <c r="J2984" s="3" t="s">
        <v>4603</v>
      </c>
    </row>
    <row r="2985" spans="1:10" ht="51">
      <c r="A2985" s="3" t="s">
        <v>1811</v>
      </c>
      <c r="B2985" s="3" t="s">
        <v>3844</v>
      </c>
      <c r="C2985" s="4">
        <v>282</v>
      </c>
      <c r="D2985" s="3" t="s">
        <v>298</v>
      </c>
      <c r="E2985" s="3" t="s">
        <v>9</v>
      </c>
      <c r="F2985" s="5">
        <v>8854.2000000000007</v>
      </c>
      <c r="G2985" s="5">
        <v>0</v>
      </c>
      <c r="H2985" s="5">
        <f t="shared" si="92"/>
        <v>-8854.2000000000007</v>
      </c>
      <c r="I2985" s="9">
        <f t="shared" si="93"/>
        <v>-1</v>
      </c>
      <c r="J2985" s="3" t="s">
        <v>4604</v>
      </c>
    </row>
    <row r="2986" spans="1:10" ht="25.5">
      <c r="A2986" s="3" t="s">
        <v>1811</v>
      </c>
      <c r="B2986" s="3" t="s">
        <v>3845</v>
      </c>
      <c r="C2986" s="4">
        <v>194</v>
      </c>
      <c r="D2986" s="3" t="s">
        <v>179</v>
      </c>
      <c r="E2986" s="3" t="s">
        <v>13</v>
      </c>
      <c r="F2986" s="5">
        <v>0</v>
      </c>
      <c r="G2986" s="5">
        <v>8095.44</v>
      </c>
      <c r="H2986" s="5">
        <f t="shared" si="92"/>
        <v>8095.44</v>
      </c>
      <c r="I2986" s="9">
        <f t="shared" si="93"/>
        <v>0</v>
      </c>
      <c r="J2986" s="3" t="s">
        <v>4603</v>
      </c>
    </row>
    <row r="2987" spans="1:10" ht="38.25">
      <c r="A2987" s="3" t="s">
        <v>1811</v>
      </c>
      <c r="B2987" s="3" t="s">
        <v>3846</v>
      </c>
      <c r="C2987" s="4">
        <v>167</v>
      </c>
      <c r="D2987" s="3" t="s">
        <v>335</v>
      </c>
      <c r="E2987" s="3" t="s">
        <v>30</v>
      </c>
      <c r="F2987" s="5">
        <v>0</v>
      </c>
      <c r="G2987" s="5">
        <v>12268.71</v>
      </c>
      <c r="H2987" s="5">
        <f t="shared" si="92"/>
        <v>12268.71</v>
      </c>
      <c r="I2987" s="9">
        <f t="shared" si="93"/>
        <v>0</v>
      </c>
      <c r="J2987" s="3" t="s">
        <v>4603</v>
      </c>
    </row>
    <row r="2988" spans="1:10" ht="25.5">
      <c r="A2988" s="3" t="s">
        <v>1811</v>
      </c>
      <c r="B2988" s="3" t="s">
        <v>3847</v>
      </c>
      <c r="C2988" s="4">
        <v>315</v>
      </c>
      <c r="D2988" s="3" t="s">
        <v>79</v>
      </c>
      <c r="E2988" s="3" t="s">
        <v>8</v>
      </c>
      <c r="F2988" s="5">
        <v>14831.34</v>
      </c>
      <c r="G2988" s="5">
        <v>2205</v>
      </c>
      <c r="H2988" s="5">
        <f t="shared" si="92"/>
        <v>-12626.34</v>
      </c>
      <c r="I2988" s="9">
        <f t="shared" si="93"/>
        <v>-0.85132833580782319</v>
      </c>
      <c r="J2988" s="3" t="s">
        <v>4603</v>
      </c>
    </row>
    <row r="2989" spans="1:10" ht="38.25">
      <c r="A2989" s="3" t="s">
        <v>1811</v>
      </c>
      <c r="B2989" s="3" t="s">
        <v>3848</v>
      </c>
      <c r="C2989" s="4">
        <v>45</v>
      </c>
      <c r="D2989" s="3" t="s">
        <v>16</v>
      </c>
      <c r="E2989" s="3" t="s">
        <v>8</v>
      </c>
      <c r="F2989" s="5">
        <v>13724.4</v>
      </c>
      <c r="G2989" s="5">
        <v>11110.68</v>
      </c>
      <c r="H2989" s="5">
        <f t="shared" si="92"/>
        <v>-2613.7199999999993</v>
      </c>
      <c r="I2989" s="9">
        <f t="shared" si="93"/>
        <v>-0.19044329806767502</v>
      </c>
      <c r="J2989" s="3" t="s">
        <v>4603</v>
      </c>
    </row>
    <row r="2990" spans="1:10" ht="25.5">
      <c r="A2990" s="3" t="s">
        <v>1811</v>
      </c>
      <c r="B2990" s="3" t="s">
        <v>3849</v>
      </c>
      <c r="C2990" s="4">
        <v>31</v>
      </c>
      <c r="D2990" s="3" t="s">
        <v>172</v>
      </c>
      <c r="E2990" s="3" t="s">
        <v>13</v>
      </c>
      <c r="F2990" s="5">
        <v>9555.9</v>
      </c>
      <c r="G2990" s="5">
        <v>0</v>
      </c>
      <c r="H2990" s="5">
        <f t="shared" si="92"/>
        <v>-9555.9</v>
      </c>
      <c r="I2990" s="9">
        <f t="shared" si="93"/>
        <v>-1</v>
      </c>
      <c r="J2990" s="3" t="s">
        <v>4603</v>
      </c>
    </row>
    <row r="2991" spans="1:10" ht="25.5">
      <c r="A2991" s="3" t="s">
        <v>1811</v>
      </c>
      <c r="B2991" s="3" t="s">
        <v>3850</v>
      </c>
      <c r="C2991" s="4">
        <v>208</v>
      </c>
      <c r="D2991" s="3" t="s">
        <v>58</v>
      </c>
      <c r="E2991" s="3" t="s">
        <v>13</v>
      </c>
      <c r="F2991" s="5">
        <v>0</v>
      </c>
      <c r="G2991" s="5">
        <v>9657.33</v>
      </c>
      <c r="H2991" s="5">
        <f t="shared" si="92"/>
        <v>9657.33</v>
      </c>
      <c r="I2991" s="9">
        <f t="shared" si="93"/>
        <v>0</v>
      </c>
      <c r="J2991" s="3" t="s">
        <v>4603</v>
      </c>
    </row>
    <row r="2992" spans="1:10" ht="25.5">
      <c r="A2992" s="3" t="s">
        <v>1811</v>
      </c>
      <c r="B2992" s="3" t="s">
        <v>3851</v>
      </c>
      <c r="C2992" s="4">
        <v>93</v>
      </c>
      <c r="D2992" s="3" t="s">
        <v>42</v>
      </c>
      <c r="E2992" s="3" t="s">
        <v>8</v>
      </c>
      <c r="F2992" s="5">
        <v>5225.1000000000004</v>
      </c>
      <c r="G2992" s="5">
        <v>0</v>
      </c>
      <c r="H2992" s="5">
        <f t="shared" si="92"/>
        <v>-5225.1000000000004</v>
      </c>
      <c r="I2992" s="9">
        <f t="shared" si="93"/>
        <v>-1</v>
      </c>
      <c r="J2992" s="3" t="s">
        <v>4603</v>
      </c>
    </row>
    <row r="2993" spans="1:10" ht="25.5">
      <c r="A2993" s="3" t="s">
        <v>1811</v>
      </c>
      <c r="B2993" s="3" t="s">
        <v>3852</v>
      </c>
      <c r="C2993" s="4">
        <v>327</v>
      </c>
      <c r="D2993" s="3" t="s">
        <v>76</v>
      </c>
      <c r="E2993" s="3" t="s">
        <v>8</v>
      </c>
      <c r="F2993" s="5">
        <v>0</v>
      </c>
      <c r="G2993" s="5">
        <v>5126.88</v>
      </c>
      <c r="H2993" s="5">
        <f t="shared" si="92"/>
        <v>5126.88</v>
      </c>
      <c r="I2993" s="9">
        <f t="shared" si="93"/>
        <v>0</v>
      </c>
      <c r="J2993" s="3" t="s">
        <v>4603</v>
      </c>
    </row>
    <row r="2994" spans="1:10" ht="25.5">
      <c r="A2994" s="3" t="s">
        <v>1811</v>
      </c>
      <c r="B2994" s="3" t="s">
        <v>3853</v>
      </c>
      <c r="C2994" s="4">
        <v>321</v>
      </c>
      <c r="D2994" s="3" t="s">
        <v>125</v>
      </c>
      <c r="E2994" s="3" t="s">
        <v>22</v>
      </c>
      <c r="F2994" s="5">
        <v>11725.32</v>
      </c>
      <c r="G2994" s="5">
        <v>0</v>
      </c>
      <c r="H2994" s="5">
        <f t="shared" si="92"/>
        <v>-11725.32</v>
      </c>
      <c r="I2994" s="9">
        <f t="shared" si="93"/>
        <v>-1</v>
      </c>
      <c r="J2994" s="3" t="s">
        <v>4604</v>
      </c>
    </row>
    <row r="2995" spans="1:10" ht="25.5">
      <c r="A2995" s="3" t="s">
        <v>1811</v>
      </c>
      <c r="B2995" s="3" t="s">
        <v>3854</v>
      </c>
      <c r="C2995" s="4">
        <v>41</v>
      </c>
      <c r="D2995" s="3" t="s">
        <v>106</v>
      </c>
      <c r="E2995" s="3" t="s">
        <v>22</v>
      </c>
      <c r="F2995" s="5">
        <v>8089.77</v>
      </c>
      <c r="G2995" s="5">
        <v>0</v>
      </c>
      <c r="H2995" s="5">
        <f t="shared" si="92"/>
        <v>-8089.77</v>
      </c>
      <c r="I2995" s="9">
        <f t="shared" si="93"/>
        <v>-1</v>
      </c>
      <c r="J2995" s="3" t="s">
        <v>4603</v>
      </c>
    </row>
    <row r="2996" spans="1:10">
      <c r="A2996" s="3" t="s">
        <v>1811</v>
      </c>
      <c r="B2996" s="3" t="s">
        <v>3855</v>
      </c>
      <c r="C2996" s="4">
        <v>231</v>
      </c>
      <c r="D2996" s="3" t="s">
        <v>89</v>
      </c>
      <c r="E2996" s="3" t="s">
        <v>8</v>
      </c>
      <c r="F2996" s="5">
        <v>2471.52</v>
      </c>
      <c r="G2996" s="5">
        <v>0</v>
      </c>
      <c r="H2996" s="5">
        <f t="shared" si="92"/>
        <v>-2471.52</v>
      </c>
      <c r="I2996" s="9">
        <f t="shared" si="93"/>
        <v>-1</v>
      </c>
      <c r="J2996" s="3" t="s">
        <v>4603</v>
      </c>
    </row>
    <row r="2997" spans="1:10" ht="25.5">
      <c r="A2997" s="3" t="s">
        <v>1811</v>
      </c>
      <c r="B2997" s="3" t="s">
        <v>3856</v>
      </c>
      <c r="C2997" s="4">
        <v>316</v>
      </c>
      <c r="D2997" s="3" t="s">
        <v>167</v>
      </c>
      <c r="E2997" s="3" t="s">
        <v>18</v>
      </c>
      <c r="F2997" s="5">
        <v>2496.77</v>
      </c>
      <c r="G2997" s="5">
        <v>0</v>
      </c>
      <c r="H2997" s="5">
        <f t="shared" si="92"/>
        <v>-2496.77</v>
      </c>
      <c r="I2997" s="9">
        <f t="shared" si="93"/>
        <v>-1</v>
      </c>
      <c r="J2997" s="3" t="s">
        <v>4603</v>
      </c>
    </row>
    <row r="2998" spans="1:10">
      <c r="A2998" s="3" t="s">
        <v>1811</v>
      </c>
      <c r="B2998" s="3" t="s">
        <v>3857</v>
      </c>
      <c r="C2998" s="4">
        <v>240</v>
      </c>
      <c r="D2998" s="3" t="s">
        <v>152</v>
      </c>
      <c r="E2998" s="3" t="s">
        <v>13</v>
      </c>
      <c r="F2998" s="5">
        <v>0</v>
      </c>
      <c r="G2998" s="5">
        <v>5215.68</v>
      </c>
      <c r="H2998" s="5">
        <f t="shared" si="92"/>
        <v>5215.68</v>
      </c>
      <c r="I2998" s="9">
        <f t="shared" si="93"/>
        <v>0</v>
      </c>
      <c r="J2998" s="3" t="s">
        <v>4604</v>
      </c>
    </row>
    <row r="2999" spans="1:10" ht="25.5">
      <c r="A2999" s="3" t="s">
        <v>1811</v>
      </c>
      <c r="B2999" s="3" t="s">
        <v>3858</v>
      </c>
      <c r="C2999" s="4">
        <v>267</v>
      </c>
      <c r="D2999" s="3" t="s">
        <v>417</v>
      </c>
      <c r="E2999" s="3" t="s">
        <v>13</v>
      </c>
      <c r="F2999" s="5">
        <v>3241.32</v>
      </c>
      <c r="G2999" s="5">
        <v>7993.62</v>
      </c>
      <c r="H2999" s="5">
        <f t="shared" si="92"/>
        <v>4752.2999999999993</v>
      </c>
      <c r="I2999" s="9">
        <f t="shared" si="93"/>
        <v>1.4661619340268777</v>
      </c>
      <c r="J2999" s="3" t="s">
        <v>4603</v>
      </c>
    </row>
    <row r="3000" spans="1:10" ht="25.5">
      <c r="A3000" s="3" t="s">
        <v>1811</v>
      </c>
      <c r="B3000" s="3" t="s">
        <v>3859</v>
      </c>
      <c r="C3000" s="4">
        <v>208</v>
      </c>
      <c r="D3000" s="3" t="s">
        <v>58</v>
      </c>
      <c r="E3000" s="3" t="s">
        <v>13</v>
      </c>
      <c r="F3000" s="5">
        <v>0</v>
      </c>
      <c r="G3000" s="5">
        <v>20531.759999999998</v>
      </c>
      <c r="H3000" s="5">
        <f t="shared" si="92"/>
        <v>20531.759999999998</v>
      </c>
      <c r="I3000" s="9">
        <f t="shared" si="93"/>
        <v>0</v>
      </c>
      <c r="J3000" s="3" t="s">
        <v>4603</v>
      </c>
    </row>
    <row r="3001" spans="1:10" ht="25.5">
      <c r="A3001" s="3" t="s">
        <v>1811</v>
      </c>
      <c r="B3001" s="3" t="s">
        <v>3860</v>
      </c>
      <c r="C3001" s="4">
        <v>194</v>
      </c>
      <c r="D3001" s="3" t="s">
        <v>179</v>
      </c>
      <c r="E3001" s="3" t="s">
        <v>13</v>
      </c>
      <c r="F3001" s="5">
        <v>0</v>
      </c>
      <c r="G3001" s="5">
        <v>10950.12</v>
      </c>
      <c r="H3001" s="5">
        <f t="shared" si="92"/>
        <v>10950.12</v>
      </c>
      <c r="I3001" s="9">
        <f t="shared" si="93"/>
        <v>0</v>
      </c>
      <c r="J3001" s="3" t="s">
        <v>4603</v>
      </c>
    </row>
    <row r="3002" spans="1:10" ht="25.5">
      <c r="A3002" s="3" t="s">
        <v>1811</v>
      </c>
      <c r="B3002" s="3" t="s">
        <v>3861</v>
      </c>
      <c r="C3002" s="4">
        <v>266</v>
      </c>
      <c r="D3002" s="3" t="s">
        <v>111</v>
      </c>
      <c r="E3002" s="3" t="s">
        <v>18</v>
      </c>
      <c r="F3002" s="5">
        <v>0</v>
      </c>
      <c r="G3002" s="5">
        <v>24639.42</v>
      </c>
      <c r="H3002" s="5">
        <f t="shared" si="92"/>
        <v>24639.42</v>
      </c>
      <c r="I3002" s="9">
        <f t="shared" si="93"/>
        <v>0</v>
      </c>
      <c r="J3002" s="3" t="s">
        <v>4603</v>
      </c>
    </row>
    <row r="3003" spans="1:10">
      <c r="A3003" s="3" t="s">
        <v>1811</v>
      </c>
      <c r="B3003" s="3" t="s">
        <v>3862</v>
      </c>
      <c r="C3003" s="4">
        <v>217</v>
      </c>
      <c r="D3003" s="3" t="s">
        <v>253</v>
      </c>
      <c r="E3003" s="3" t="s">
        <v>13</v>
      </c>
      <c r="F3003" s="5">
        <v>9232.32</v>
      </c>
      <c r="G3003" s="5">
        <v>0</v>
      </c>
      <c r="H3003" s="5">
        <f t="shared" si="92"/>
        <v>-9232.32</v>
      </c>
      <c r="I3003" s="9">
        <f t="shared" si="93"/>
        <v>-1</v>
      </c>
      <c r="J3003" s="3" t="s">
        <v>4604</v>
      </c>
    </row>
    <row r="3004" spans="1:10" ht="25.5">
      <c r="A3004" s="3" t="s">
        <v>1811</v>
      </c>
      <c r="B3004" s="3" t="s">
        <v>3863</v>
      </c>
      <c r="C3004" s="4">
        <v>93</v>
      </c>
      <c r="D3004" s="3" t="s">
        <v>42</v>
      </c>
      <c r="E3004" s="3" t="s">
        <v>8</v>
      </c>
      <c r="F3004" s="5">
        <v>0</v>
      </c>
      <c r="G3004" s="5">
        <v>10182</v>
      </c>
      <c r="H3004" s="5">
        <f t="shared" si="92"/>
        <v>10182</v>
      </c>
      <c r="I3004" s="9">
        <f t="shared" si="93"/>
        <v>0</v>
      </c>
      <c r="J3004" s="3" t="s">
        <v>4603</v>
      </c>
    </row>
    <row r="3005" spans="1:10" ht="25.5">
      <c r="A3005" s="3" t="s">
        <v>1811</v>
      </c>
      <c r="B3005" s="3" t="s">
        <v>3864</v>
      </c>
      <c r="C3005" s="4">
        <v>327</v>
      </c>
      <c r="D3005" s="3" t="s">
        <v>76</v>
      </c>
      <c r="E3005" s="3" t="s">
        <v>8</v>
      </c>
      <c r="F3005" s="5">
        <v>0</v>
      </c>
      <c r="G3005" s="5">
        <v>11055.99</v>
      </c>
      <c r="H3005" s="5">
        <f t="shared" si="92"/>
        <v>11055.99</v>
      </c>
      <c r="I3005" s="9">
        <f t="shared" si="93"/>
        <v>0</v>
      </c>
      <c r="J3005" s="3" t="s">
        <v>4603</v>
      </c>
    </row>
    <row r="3006" spans="1:10" ht="25.5">
      <c r="A3006" s="3" t="s">
        <v>1811</v>
      </c>
      <c r="B3006" s="3" t="s">
        <v>3865</v>
      </c>
      <c r="C3006" s="4">
        <v>19</v>
      </c>
      <c r="D3006" s="3" t="s">
        <v>53</v>
      </c>
      <c r="E3006" s="3" t="s">
        <v>22</v>
      </c>
      <c r="F3006" s="5">
        <v>18630.240000000002</v>
      </c>
      <c r="G3006" s="5">
        <v>1757.76</v>
      </c>
      <c r="H3006" s="5">
        <f t="shared" si="92"/>
        <v>-16872.480000000003</v>
      </c>
      <c r="I3006" s="9">
        <f t="shared" si="93"/>
        <v>-0.90565016875789039</v>
      </c>
      <c r="J3006" s="3" t="s">
        <v>4603</v>
      </c>
    </row>
    <row r="3007" spans="1:10">
      <c r="A3007" s="3" t="s">
        <v>1811</v>
      </c>
      <c r="B3007" s="3" t="s">
        <v>3866</v>
      </c>
      <c r="C3007" s="4">
        <v>315</v>
      </c>
      <c r="D3007" s="3" t="s">
        <v>79</v>
      </c>
      <c r="E3007" s="3" t="s">
        <v>8</v>
      </c>
      <c r="F3007" s="5">
        <v>10051.379999999999</v>
      </c>
      <c r="G3007" s="5">
        <v>23160.757000000001</v>
      </c>
      <c r="H3007" s="5">
        <f t="shared" si="92"/>
        <v>13109.377000000002</v>
      </c>
      <c r="I3007" s="9">
        <f t="shared" si="93"/>
        <v>1.3042365326950134</v>
      </c>
      <c r="J3007" s="3" t="s">
        <v>4603</v>
      </c>
    </row>
    <row r="3008" spans="1:10">
      <c r="A3008" s="3" t="s">
        <v>1811</v>
      </c>
      <c r="B3008" s="3" t="s">
        <v>3867</v>
      </c>
      <c r="C3008" s="4">
        <v>240</v>
      </c>
      <c r="D3008" s="3" t="s">
        <v>152</v>
      </c>
      <c r="E3008" s="3" t="s">
        <v>13</v>
      </c>
      <c r="F3008" s="5">
        <v>4616.82</v>
      </c>
      <c r="G3008" s="5">
        <v>2929.44</v>
      </c>
      <c r="H3008" s="5">
        <f t="shared" si="92"/>
        <v>-1687.3799999999997</v>
      </c>
      <c r="I3008" s="9">
        <f t="shared" si="93"/>
        <v>-0.36548533406110695</v>
      </c>
      <c r="J3008" s="3" t="s">
        <v>4603</v>
      </c>
    </row>
    <row r="3009" spans="1:10" ht="25.5">
      <c r="A3009" s="3" t="s">
        <v>1811</v>
      </c>
      <c r="B3009" s="3" t="s">
        <v>3868</v>
      </c>
      <c r="C3009" s="4">
        <v>335</v>
      </c>
      <c r="D3009" s="3" t="s">
        <v>7</v>
      </c>
      <c r="E3009" s="3" t="s">
        <v>8</v>
      </c>
      <c r="F3009" s="5">
        <v>0</v>
      </c>
      <c r="G3009" s="5">
        <v>5604.33</v>
      </c>
      <c r="H3009" s="5">
        <f t="shared" si="92"/>
        <v>5604.33</v>
      </c>
      <c r="I3009" s="9">
        <f t="shared" si="93"/>
        <v>0</v>
      </c>
      <c r="J3009" s="3" t="s">
        <v>4603</v>
      </c>
    </row>
    <row r="3010" spans="1:10" ht="38.25">
      <c r="A3010" s="3" t="s">
        <v>1811</v>
      </c>
      <c r="B3010" s="3" t="s">
        <v>3869</v>
      </c>
      <c r="C3010" s="4">
        <v>301</v>
      </c>
      <c r="D3010" s="3" t="s">
        <v>12</v>
      </c>
      <c r="E3010" s="3" t="s">
        <v>13</v>
      </c>
      <c r="F3010" s="5">
        <v>10224.84</v>
      </c>
      <c r="G3010" s="5">
        <v>10105.379999999999</v>
      </c>
      <c r="H3010" s="5">
        <f t="shared" si="92"/>
        <v>-119.46000000000095</v>
      </c>
      <c r="I3010" s="9">
        <f t="shared" si="93"/>
        <v>-1.1683312403910517E-2</v>
      </c>
      <c r="J3010" s="3" t="s">
        <v>4603</v>
      </c>
    </row>
    <row r="3011" spans="1:10">
      <c r="A3011" s="3" t="s">
        <v>1811</v>
      </c>
      <c r="B3011" s="3" t="s">
        <v>3870</v>
      </c>
      <c r="C3011" s="4">
        <v>115</v>
      </c>
      <c r="D3011" s="3" t="s">
        <v>1841</v>
      </c>
      <c r="E3011" s="3" t="s">
        <v>8</v>
      </c>
      <c r="F3011" s="5">
        <v>0</v>
      </c>
      <c r="G3011" s="5">
        <v>16989.419999999998</v>
      </c>
      <c r="H3011" s="5">
        <f t="shared" ref="H3011:H3074" si="94">G3011-F3011</f>
        <v>16989.419999999998</v>
      </c>
      <c r="I3011" s="9">
        <f t="shared" ref="I3011:I3074" si="95">IFERROR(G3011/F3011-1,0)</f>
        <v>0</v>
      </c>
      <c r="J3011" s="3" t="s">
        <v>4603</v>
      </c>
    </row>
    <row r="3012" spans="1:10" ht="25.5">
      <c r="A3012" s="3" t="s">
        <v>1811</v>
      </c>
      <c r="B3012" s="3" t="s">
        <v>3871</v>
      </c>
      <c r="C3012" s="4">
        <v>217</v>
      </c>
      <c r="D3012" s="3" t="s">
        <v>253</v>
      </c>
      <c r="E3012" s="3" t="s">
        <v>13</v>
      </c>
      <c r="F3012" s="5">
        <v>0</v>
      </c>
      <c r="G3012" s="5">
        <v>7084.08</v>
      </c>
      <c r="H3012" s="5">
        <f t="shared" si="94"/>
        <v>7084.08</v>
      </c>
      <c r="I3012" s="9">
        <f t="shared" si="95"/>
        <v>0</v>
      </c>
      <c r="J3012" s="3" t="s">
        <v>4603</v>
      </c>
    </row>
    <row r="3013" spans="1:10" ht="25.5">
      <c r="A3013" s="3" t="s">
        <v>1811</v>
      </c>
      <c r="B3013" s="3" t="s">
        <v>3872</v>
      </c>
      <c r="C3013" s="4">
        <v>296</v>
      </c>
      <c r="D3013" s="3" t="s">
        <v>137</v>
      </c>
      <c r="E3013" s="3" t="s">
        <v>18</v>
      </c>
      <c r="F3013" s="5">
        <v>3023.46</v>
      </c>
      <c r="G3013" s="5">
        <v>0</v>
      </c>
      <c r="H3013" s="5">
        <f t="shared" si="94"/>
        <v>-3023.46</v>
      </c>
      <c r="I3013" s="9">
        <f t="shared" si="95"/>
        <v>-1</v>
      </c>
      <c r="J3013" s="3" t="s">
        <v>4603</v>
      </c>
    </row>
    <row r="3014" spans="1:10" ht="38.25">
      <c r="A3014" s="3" t="s">
        <v>1811</v>
      </c>
      <c r="B3014" s="3" t="s">
        <v>3873</v>
      </c>
      <c r="C3014" s="4">
        <v>266</v>
      </c>
      <c r="D3014" s="3" t="s">
        <v>111</v>
      </c>
      <c r="E3014" s="3" t="s">
        <v>18</v>
      </c>
      <c r="F3014" s="5">
        <v>5568.48</v>
      </c>
      <c r="G3014" s="5">
        <v>0</v>
      </c>
      <c r="H3014" s="5">
        <f t="shared" si="94"/>
        <v>-5568.48</v>
      </c>
      <c r="I3014" s="9">
        <f t="shared" si="95"/>
        <v>-1</v>
      </c>
      <c r="J3014" s="3" t="s">
        <v>4603</v>
      </c>
    </row>
    <row r="3015" spans="1:10" ht="25.5">
      <c r="A3015" s="3" t="s">
        <v>1811</v>
      </c>
      <c r="B3015" s="3" t="s">
        <v>3874</v>
      </c>
      <c r="C3015" s="4">
        <v>39</v>
      </c>
      <c r="D3015" s="3" t="s">
        <v>26</v>
      </c>
      <c r="E3015" s="3" t="s">
        <v>9</v>
      </c>
      <c r="F3015" s="5">
        <v>3559.2</v>
      </c>
      <c r="G3015" s="5">
        <v>0</v>
      </c>
      <c r="H3015" s="5">
        <f t="shared" si="94"/>
        <v>-3559.2</v>
      </c>
      <c r="I3015" s="9">
        <f t="shared" si="95"/>
        <v>-1</v>
      </c>
      <c r="J3015" s="3" t="s">
        <v>4603</v>
      </c>
    </row>
    <row r="3016" spans="1:10" ht="25.5">
      <c r="A3016" s="3" t="s">
        <v>1811</v>
      </c>
      <c r="B3016" s="3" t="s">
        <v>3875</v>
      </c>
      <c r="C3016" s="4">
        <v>317</v>
      </c>
      <c r="D3016" s="3" t="s">
        <v>54</v>
      </c>
      <c r="E3016" s="3" t="s">
        <v>18</v>
      </c>
      <c r="F3016" s="5">
        <v>4821.96</v>
      </c>
      <c r="G3016" s="5">
        <v>0</v>
      </c>
      <c r="H3016" s="5">
        <f t="shared" si="94"/>
        <v>-4821.96</v>
      </c>
      <c r="I3016" s="9">
        <f t="shared" si="95"/>
        <v>-1</v>
      </c>
      <c r="J3016" s="3" t="s">
        <v>4603</v>
      </c>
    </row>
    <row r="3017" spans="1:10" ht="38.25">
      <c r="A3017" s="3" t="s">
        <v>1811</v>
      </c>
      <c r="B3017" s="3" t="s">
        <v>3876</v>
      </c>
      <c r="C3017" s="4">
        <v>371</v>
      </c>
      <c r="D3017" s="3" t="s">
        <v>29</v>
      </c>
      <c r="E3017" s="3" t="s">
        <v>30</v>
      </c>
      <c r="F3017" s="5">
        <v>22075.59</v>
      </c>
      <c r="G3017" s="5">
        <v>5971.5</v>
      </c>
      <c r="H3017" s="5">
        <f t="shared" si="94"/>
        <v>-16104.09</v>
      </c>
      <c r="I3017" s="9">
        <f t="shared" si="95"/>
        <v>-0.72949760346156101</v>
      </c>
      <c r="J3017" s="3" t="s">
        <v>4603</v>
      </c>
    </row>
    <row r="3018" spans="1:10" ht="25.5">
      <c r="A3018" s="3" t="s">
        <v>1811</v>
      </c>
      <c r="B3018" s="3" t="s">
        <v>3877</v>
      </c>
      <c r="C3018" s="4">
        <v>261</v>
      </c>
      <c r="D3018" s="3" t="s">
        <v>17</v>
      </c>
      <c r="E3018" s="3" t="s">
        <v>18</v>
      </c>
      <c r="F3018" s="5">
        <v>9112.68</v>
      </c>
      <c r="G3018" s="5">
        <v>17310.39</v>
      </c>
      <c r="H3018" s="5">
        <f t="shared" si="94"/>
        <v>8197.7099999999991</v>
      </c>
      <c r="I3018" s="9">
        <f t="shared" si="95"/>
        <v>0.8995937528806015</v>
      </c>
      <c r="J3018" s="3" t="s">
        <v>4603</v>
      </c>
    </row>
    <row r="3019" spans="1:10" ht="25.5">
      <c r="A3019" s="3" t="s">
        <v>1811</v>
      </c>
      <c r="B3019" s="3" t="s">
        <v>3878</v>
      </c>
      <c r="C3019" s="4">
        <v>320</v>
      </c>
      <c r="D3019" s="3" t="s">
        <v>188</v>
      </c>
      <c r="E3019" s="3" t="s">
        <v>30</v>
      </c>
      <c r="F3019" s="5">
        <v>6407.16</v>
      </c>
      <c r="G3019" s="5">
        <v>0</v>
      </c>
      <c r="H3019" s="5">
        <f t="shared" si="94"/>
        <v>-6407.16</v>
      </c>
      <c r="I3019" s="9">
        <f t="shared" si="95"/>
        <v>-1</v>
      </c>
      <c r="J3019" s="3" t="s">
        <v>4603</v>
      </c>
    </row>
    <row r="3020" spans="1:10">
      <c r="A3020" s="3" t="s">
        <v>1811</v>
      </c>
      <c r="B3020" s="3" t="s">
        <v>3879</v>
      </c>
      <c r="C3020" s="4">
        <v>217</v>
      </c>
      <c r="D3020" s="3" t="s">
        <v>253</v>
      </c>
      <c r="E3020" s="3" t="s">
        <v>13</v>
      </c>
      <c r="F3020" s="5">
        <v>3230.64</v>
      </c>
      <c r="G3020" s="5">
        <v>5392.08</v>
      </c>
      <c r="H3020" s="5">
        <f t="shared" si="94"/>
        <v>2161.44</v>
      </c>
      <c r="I3020" s="9">
        <f t="shared" si="95"/>
        <v>0.66904390461332741</v>
      </c>
      <c r="J3020" s="3" t="s">
        <v>4603</v>
      </c>
    </row>
    <row r="3021" spans="1:10" ht="25.5">
      <c r="A3021" s="3" t="s">
        <v>1811</v>
      </c>
      <c r="B3021" s="3" t="s">
        <v>3880</v>
      </c>
      <c r="C3021" s="4">
        <v>321</v>
      </c>
      <c r="D3021" s="3" t="s">
        <v>125</v>
      </c>
      <c r="E3021" s="3" t="s">
        <v>22</v>
      </c>
      <c r="F3021" s="5">
        <v>6938.94</v>
      </c>
      <c r="G3021" s="5">
        <v>11263.68</v>
      </c>
      <c r="H3021" s="5">
        <f t="shared" si="94"/>
        <v>4324.7400000000007</v>
      </c>
      <c r="I3021" s="9">
        <f t="shared" si="95"/>
        <v>0.62325657809406065</v>
      </c>
      <c r="J3021" s="3" t="s">
        <v>4603</v>
      </c>
    </row>
    <row r="3022" spans="1:10" ht="25.5">
      <c r="A3022" s="3" t="s">
        <v>1811</v>
      </c>
      <c r="B3022" s="3" t="s">
        <v>3881</v>
      </c>
      <c r="C3022" s="4">
        <v>327</v>
      </c>
      <c r="D3022" s="3" t="s">
        <v>76</v>
      </c>
      <c r="E3022" s="3" t="s">
        <v>8</v>
      </c>
      <c r="F3022" s="5">
        <v>8257.6200000000008</v>
      </c>
      <c r="G3022" s="5">
        <v>12641.04</v>
      </c>
      <c r="H3022" s="5">
        <f t="shared" si="94"/>
        <v>4383.42</v>
      </c>
      <c r="I3022" s="9">
        <f t="shared" si="95"/>
        <v>0.53083333938834665</v>
      </c>
      <c r="J3022" s="3" t="s">
        <v>4603</v>
      </c>
    </row>
    <row r="3023" spans="1:10" ht="25.5">
      <c r="A3023" s="3" t="s">
        <v>1811</v>
      </c>
      <c r="B3023" s="3" t="s">
        <v>3882</v>
      </c>
      <c r="C3023" s="4">
        <v>93</v>
      </c>
      <c r="D3023" s="3" t="s">
        <v>42</v>
      </c>
      <c r="E3023" s="3" t="s">
        <v>8</v>
      </c>
      <c r="F3023" s="5">
        <v>0</v>
      </c>
      <c r="G3023" s="5">
        <v>11462.28</v>
      </c>
      <c r="H3023" s="5">
        <f t="shared" si="94"/>
        <v>11462.28</v>
      </c>
      <c r="I3023" s="9">
        <f t="shared" si="95"/>
        <v>0</v>
      </c>
      <c r="J3023" s="3" t="s">
        <v>4603</v>
      </c>
    </row>
    <row r="3024" spans="1:10" ht="25.5">
      <c r="A3024" s="3" t="s">
        <v>1811</v>
      </c>
      <c r="B3024" s="3" t="s">
        <v>3883</v>
      </c>
      <c r="C3024" s="4">
        <v>23</v>
      </c>
      <c r="D3024" s="3" t="s">
        <v>71</v>
      </c>
      <c r="E3024" s="3" t="s">
        <v>8</v>
      </c>
      <c r="F3024" s="5">
        <v>2548.7399999999998</v>
      </c>
      <c r="G3024" s="5">
        <v>0</v>
      </c>
      <c r="H3024" s="5">
        <f t="shared" si="94"/>
        <v>-2548.7399999999998</v>
      </c>
      <c r="I3024" s="9">
        <f t="shared" si="95"/>
        <v>-1</v>
      </c>
      <c r="J3024" s="3" t="s">
        <v>4603</v>
      </c>
    </row>
    <row r="3025" spans="1:10" ht="38.25">
      <c r="A3025" s="3" t="s">
        <v>1811</v>
      </c>
      <c r="B3025" s="3" t="s">
        <v>3884</v>
      </c>
      <c r="C3025" s="4">
        <v>45</v>
      </c>
      <c r="D3025" s="3" t="s">
        <v>16</v>
      </c>
      <c r="E3025" s="3" t="s">
        <v>8</v>
      </c>
      <c r="F3025" s="5">
        <v>24684.39</v>
      </c>
      <c r="G3025" s="5">
        <v>11652.06</v>
      </c>
      <c r="H3025" s="5">
        <f t="shared" si="94"/>
        <v>-13032.33</v>
      </c>
      <c r="I3025" s="9">
        <f t="shared" si="95"/>
        <v>-0.52795835748827491</v>
      </c>
      <c r="J3025" s="3" t="s">
        <v>4603</v>
      </c>
    </row>
    <row r="3026" spans="1:10" ht="25.5">
      <c r="A3026" s="3" t="s">
        <v>1811</v>
      </c>
      <c r="B3026" s="3" t="s">
        <v>3885</v>
      </c>
      <c r="C3026" s="4">
        <v>327</v>
      </c>
      <c r="D3026" s="3" t="s">
        <v>76</v>
      </c>
      <c r="E3026" s="3" t="s">
        <v>8</v>
      </c>
      <c r="F3026" s="5">
        <v>0</v>
      </c>
      <c r="G3026" s="5">
        <v>22225.89</v>
      </c>
      <c r="H3026" s="5">
        <f t="shared" si="94"/>
        <v>22225.89</v>
      </c>
      <c r="I3026" s="9">
        <f t="shared" si="95"/>
        <v>0</v>
      </c>
      <c r="J3026" s="3" t="s">
        <v>4603</v>
      </c>
    </row>
    <row r="3027" spans="1:10" ht="38.25">
      <c r="A3027" s="3" t="s">
        <v>1811</v>
      </c>
      <c r="B3027" s="3" t="s">
        <v>3886</v>
      </c>
      <c r="C3027" s="4">
        <v>34</v>
      </c>
      <c r="D3027" s="3" t="s">
        <v>136</v>
      </c>
      <c r="E3027" s="3" t="s">
        <v>30</v>
      </c>
      <c r="F3027" s="5">
        <v>0</v>
      </c>
      <c r="G3027" s="5">
        <v>2841.96</v>
      </c>
      <c r="H3027" s="5">
        <f t="shared" si="94"/>
        <v>2841.96</v>
      </c>
      <c r="I3027" s="9">
        <f t="shared" si="95"/>
        <v>0</v>
      </c>
      <c r="J3027" s="3" t="s">
        <v>4603</v>
      </c>
    </row>
    <row r="3028" spans="1:10" ht="25.5">
      <c r="A3028" s="3" t="s">
        <v>1811</v>
      </c>
      <c r="B3028" s="3" t="s">
        <v>3887</v>
      </c>
      <c r="C3028" s="4">
        <v>327</v>
      </c>
      <c r="D3028" s="3" t="s">
        <v>76</v>
      </c>
      <c r="E3028" s="3" t="s">
        <v>8</v>
      </c>
      <c r="F3028" s="5">
        <v>0</v>
      </c>
      <c r="G3028" s="5">
        <v>15737.76</v>
      </c>
      <c r="H3028" s="5">
        <f t="shared" si="94"/>
        <v>15737.76</v>
      </c>
      <c r="I3028" s="9">
        <f t="shared" si="95"/>
        <v>0</v>
      </c>
      <c r="J3028" s="3" t="s">
        <v>4603</v>
      </c>
    </row>
    <row r="3029" spans="1:10" ht="25.5">
      <c r="A3029" s="3" t="s">
        <v>1811</v>
      </c>
      <c r="B3029" s="3" t="s">
        <v>3888</v>
      </c>
      <c r="C3029" s="4">
        <v>335</v>
      </c>
      <c r="D3029" s="3" t="s">
        <v>7</v>
      </c>
      <c r="E3029" s="3" t="s">
        <v>8</v>
      </c>
      <c r="F3029" s="5">
        <v>0</v>
      </c>
      <c r="G3029" s="5">
        <v>6926.76</v>
      </c>
      <c r="H3029" s="5">
        <f t="shared" si="94"/>
        <v>6926.76</v>
      </c>
      <c r="I3029" s="9">
        <f t="shared" si="95"/>
        <v>0</v>
      </c>
      <c r="J3029" s="3" t="s">
        <v>4603</v>
      </c>
    </row>
    <row r="3030" spans="1:10" ht="25.5">
      <c r="A3030" s="3" t="s">
        <v>1811</v>
      </c>
      <c r="B3030" s="3" t="s">
        <v>3889</v>
      </c>
      <c r="C3030" s="4">
        <v>61</v>
      </c>
      <c r="D3030" s="3" t="s">
        <v>114</v>
      </c>
      <c r="E3030" s="3" t="s">
        <v>30</v>
      </c>
      <c r="F3030" s="5">
        <v>8362.56</v>
      </c>
      <c r="G3030" s="5">
        <v>22495.919999999998</v>
      </c>
      <c r="H3030" s="5">
        <f t="shared" si="94"/>
        <v>14133.359999999999</v>
      </c>
      <c r="I3030" s="9">
        <f t="shared" si="95"/>
        <v>1.6900757662725288</v>
      </c>
      <c r="J3030" s="3" t="s">
        <v>4603</v>
      </c>
    </row>
    <row r="3031" spans="1:10" ht="25.5">
      <c r="A3031" s="3" t="s">
        <v>1811</v>
      </c>
      <c r="B3031" s="3" t="s">
        <v>3890</v>
      </c>
      <c r="C3031" s="4">
        <v>270</v>
      </c>
      <c r="D3031" s="3" t="s">
        <v>312</v>
      </c>
      <c r="E3031" s="3" t="s">
        <v>30</v>
      </c>
      <c r="F3031" s="5">
        <v>3407.52</v>
      </c>
      <c r="G3031" s="5">
        <v>5617.89</v>
      </c>
      <c r="H3031" s="5">
        <f t="shared" si="94"/>
        <v>2210.3700000000003</v>
      </c>
      <c r="I3031" s="9">
        <f t="shared" si="95"/>
        <v>0.64867410902944078</v>
      </c>
      <c r="J3031" s="3" t="s">
        <v>4603</v>
      </c>
    </row>
    <row r="3032" spans="1:10" ht="25.5">
      <c r="A3032" s="3" t="s">
        <v>1811</v>
      </c>
      <c r="B3032" s="3" t="s">
        <v>3891</v>
      </c>
      <c r="C3032" s="4">
        <v>299</v>
      </c>
      <c r="D3032" s="3" t="s">
        <v>246</v>
      </c>
      <c r="E3032" s="3" t="s">
        <v>30</v>
      </c>
      <c r="F3032" s="5">
        <v>9238.68</v>
      </c>
      <c r="G3032" s="5">
        <v>13253.64</v>
      </c>
      <c r="H3032" s="5">
        <f t="shared" si="94"/>
        <v>4014.9599999999991</v>
      </c>
      <c r="I3032" s="9">
        <f t="shared" si="95"/>
        <v>0.43458156359999478</v>
      </c>
      <c r="J3032" s="3" t="s">
        <v>4603</v>
      </c>
    </row>
    <row r="3033" spans="1:10" ht="25.5">
      <c r="A3033" s="3" t="s">
        <v>1811</v>
      </c>
      <c r="B3033" s="3" t="s">
        <v>3892</v>
      </c>
      <c r="C3033" s="4">
        <v>23</v>
      </c>
      <c r="D3033" s="3" t="s">
        <v>71</v>
      </c>
      <c r="E3033" s="3" t="s">
        <v>8</v>
      </c>
      <c r="F3033" s="5">
        <v>17403.09</v>
      </c>
      <c r="G3033" s="5">
        <v>26805.81</v>
      </c>
      <c r="H3033" s="5">
        <f t="shared" si="94"/>
        <v>9402.7200000000012</v>
      </c>
      <c r="I3033" s="9">
        <f t="shared" si="95"/>
        <v>0.54029025879886849</v>
      </c>
      <c r="J3033" s="3" t="s">
        <v>4603</v>
      </c>
    </row>
    <row r="3034" spans="1:10">
      <c r="A3034" s="3" t="s">
        <v>1811</v>
      </c>
      <c r="B3034" s="3" t="s">
        <v>3893</v>
      </c>
      <c r="C3034" s="4">
        <v>167</v>
      </c>
      <c r="D3034" s="3" t="s">
        <v>335</v>
      </c>
      <c r="E3034" s="3" t="s">
        <v>30</v>
      </c>
      <c r="F3034" s="5">
        <v>0</v>
      </c>
      <c r="G3034" s="5">
        <v>10131.030000000001</v>
      </c>
      <c r="H3034" s="5">
        <f t="shared" si="94"/>
        <v>10131.030000000001</v>
      </c>
      <c r="I3034" s="9">
        <f t="shared" si="95"/>
        <v>0</v>
      </c>
      <c r="J3034" s="3" t="s">
        <v>4603</v>
      </c>
    </row>
    <row r="3035" spans="1:10" ht="25.5">
      <c r="A3035" s="3" t="s">
        <v>1811</v>
      </c>
      <c r="B3035" s="3" t="s">
        <v>3894</v>
      </c>
      <c r="C3035" s="4">
        <v>231</v>
      </c>
      <c r="D3035" s="3" t="s">
        <v>89</v>
      </c>
      <c r="E3035" s="3" t="s">
        <v>8</v>
      </c>
      <c r="F3035" s="5">
        <v>6214.98</v>
      </c>
      <c r="G3035" s="5">
        <v>3280.68</v>
      </c>
      <c r="H3035" s="5">
        <f t="shared" si="94"/>
        <v>-2934.2999999999997</v>
      </c>
      <c r="I3035" s="9">
        <f t="shared" si="95"/>
        <v>-0.47213345819294672</v>
      </c>
      <c r="J3035" s="3" t="s">
        <v>4603</v>
      </c>
    </row>
    <row r="3036" spans="1:10" ht="25.5">
      <c r="A3036" s="3" t="s">
        <v>1811</v>
      </c>
      <c r="B3036" s="3" t="s">
        <v>3895</v>
      </c>
      <c r="C3036" s="4">
        <v>297</v>
      </c>
      <c r="D3036" s="3" t="s">
        <v>209</v>
      </c>
      <c r="E3036" s="3" t="s">
        <v>22</v>
      </c>
      <c r="F3036" s="5">
        <v>3938.12</v>
      </c>
      <c r="G3036" s="5">
        <v>0</v>
      </c>
      <c r="H3036" s="5">
        <f t="shared" si="94"/>
        <v>-3938.12</v>
      </c>
      <c r="I3036" s="9">
        <f t="shared" si="95"/>
        <v>-1</v>
      </c>
      <c r="J3036" s="3" t="s">
        <v>4603</v>
      </c>
    </row>
    <row r="3037" spans="1:10" ht="25.5">
      <c r="A3037" s="3" t="s">
        <v>1811</v>
      </c>
      <c r="B3037" s="3" t="s">
        <v>3896</v>
      </c>
      <c r="C3037" s="4">
        <v>187</v>
      </c>
      <c r="D3037" s="3" t="s">
        <v>460</v>
      </c>
      <c r="E3037" s="3" t="s">
        <v>8</v>
      </c>
      <c r="F3037" s="5">
        <v>0</v>
      </c>
      <c r="G3037" s="5">
        <v>8763.75</v>
      </c>
      <c r="H3037" s="5">
        <f t="shared" si="94"/>
        <v>8763.75</v>
      </c>
      <c r="I3037" s="9">
        <f t="shared" si="95"/>
        <v>0</v>
      </c>
      <c r="J3037" s="3" t="s">
        <v>4603</v>
      </c>
    </row>
    <row r="3038" spans="1:10" ht="25.5">
      <c r="A3038" s="3" t="s">
        <v>1811</v>
      </c>
      <c r="B3038" s="3" t="s">
        <v>3897</v>
      </c>
      <c r="C3038" s="4">
        <v>231</v>
      </c>
      <c r="D3038" s="3" t="s">
        <v>89</v>
      </c>
      <c r="E3038" s="3" t="s">
        <v>8</v>
      </c>
      <c r="F3038" s="5">
        <v>8169.96</v>
      </c>
      <c r="G3038" s="5">
        <v>9090.06</v>
      </c>
      <c r="H3038" s="5">
        <f t="shared" si="94"/>
        <v>920.09999999999945</v>
      </c>
      <c r="I3038" s="9">
        <f t="shared" si="95"/>
        <v>0.11261989042786014</v>
      </c>
      <c r="J3038" s="3" t="s">
        <v>4603</v>
      </c>
    </row>
    <row r="3039" spans="1:10" ht="25.5">
      <c r="A3039" s="3" t="s">
        <v>1811</v>
      </c>
      <c r="B3039" s="3" t="s">
        <v>3898</v>
      </c>
      <c r="C3039" s="4">
        <v>178</v>
      </c>
      <c r="D3039" s="3" t="s">
        <v>92</v>
      </c>
      <c r="E3039" s="3" t="s">
        <v>8</v>
      </c>
      <c r="F3039" s="5">
        <v>10318.200000000001</v>
      </c>
      <c r="G3039" s="5">
        <v>8260.9500000000007</v>
      </c>
      <c r="H3039" s="5">
        <f t="shared" si="94"/>
        <v>-2057.25</v>
      </c>
      <c r="I3039" s="9">
        <f t="shared" si="95"/>
        <v>-0.19938070593708201</v>
      </c>
      <c r="J3039" s="3" t="s">
        <v>4603</v>
      </c>
    </row>
    <row r="3040" spans="1:10" ht="38.25">
      <c r="A3040" s="3" t="s">
        <v>1811</v>
      </c>
      <c r="B3040" s="3" t="s">
        <v>3899</v>
      </c>
      <c r="C3040" s="4">
        <v>335</v>
      </c>
      <c r="D3040" s="3" t="s">
        <v>7</v>
      </c>
      <c r="E3040" s="3" t="s">
        <v>8</v>
      </c>
      <c r="F3040" s="5">
        <v>0</v>
      </c>
      <c r="G3040" s="5">
        <v>22902.9</v>
      </c>
      <c r="H3040" s="5">
        <f t="shared" si="94"/>
        <v>22902.9</v>
      </c>
      <c r="I3040" s="9">
        <f t="shared" si="95"/>
        <v>0</v>
      </c>
      <c r="J3040" s="3" t="s">
        <v>4604</v>
      </c>
    </row>
    <row r="3041" spans="1:10" ht="25.5">
      <c r="A3041" s="3" t="s">
        <v>1811</v>
      </c>
      <c r="B3041" s="3" t="s">
        <v>3900</v>
      </c>
      <c r="C3041" s="4">
        <v>270</v>
      </c>
      <c r="D3041" s="3" t="s">
        <v>312</v>
      </c>
      <c r="E3041" s="3" t="s">
        <v>30</v>
      </c>
      <c r="F3041" s="5">
        <v>3848.46</v>
      </c>
      <c r="G3041" s="5">
        <v>5944.98</v>
      </c>
      <c r="H3041" s="5">
        <f t="shared" si="94"/>
        <v>2096.5199999999995</v>
      </c>
      <c r="I3041" s="9">
        <f t="shared" si="95"/>
        <v>0.54476855677335867</v>
      </c>
      <c r="J3041" s="3" t="s">
        <v>4603</v>
      </c>
    </row>
    <row r="3042" spans="1:10" ht="38.25">
      <c r="A3042" s="3" t="s">
        <v>1811</v>
      </c>
      <c r="B3042" s="3" t="s">
        <v>3901</v>
      </c>
      <c r="C3042" s="4">
        <v>34</v>
      </c>
      <c r="D3042" s="3" t="s">
        <v>136</v>
      </c>
      <c r="E3042" s="3" t="s">
        <v>30</v>
      </c>
      <c r="F3042" s="5">
        <v>0</v>
      </c>
      <c r="G3042" s="5">
        <v>17910.419999999998</v>
      </c>
      <c r="H3042" s="5">
        <f t="shared" si="94"/>
        <v>17910.419999999998</v>
      </c>
      <c r="I3042" s="9">
        <f t="shared" si="95"/>
        <v>0</v>
      </c>
      <c r="J3042" s="3" t="s">
        <v>4603</v>
      </c>
    </row>
    <row r="3043" spans="1:10" ht="25.5">
      <c r="A3043" s="3" t="s">
        <v>1811</v>
      </c>
      <c r="B3043" s="3" t="s">
        <v>3902</v>
      </c>
      <c r="C3043" s="4">
        <v>61</v>
      </c>
      <c r="D3043" s="3" t="s">
        <v>114</v>
      </c>
      <c r="E3043" s="3" t="s">
        <v>30</v>
      </c>
      <c r="F3043" s="5">
        <v>4361.3999999999996</v>
      </c>
      <c r="G3043" s="5">
        <v>9706.56</v>
      </c>
      <c r="H3043" s="5">
        <f t="shared" si="94"/>
        <v>5345.16</v>
      </c>
      <c r="I3043" s="9">
        <f t="shared" si="95"/>
        <v>1.2255605998074013</v>
      </c>
      <c r="J3043" s="3" t="s">
        <v>4603</v>
      </c>
    </row>
    <row r="3044" spans="1:10" ht="25.5">
      <c r="A3044" s="3" t="s">
        <v>1811</v>
      </c>
      <c r="B3044" s="3" t="s">
        <v>3903</v>
      </c>
      <c r="C3044" s="4">
        <v>194</v>
      </c>
      <c r="D3044" s="3" t="s">
        <v>179</v>
      </c>
      <c r="E3044" s="3" t="s">
        <v>13</v>
      </c>
      <c r="F3044" s="5">
        <v>3539.4</v>
      </c>
      <c r="G3044" s="5">
        <v>0</v>
      </c>
      <c r="H3044" s="5">
        <f t="shared" si="94"/>
        <v>-3539.4</v>
      </c>
      <c r="I3044" s="9">
        <f t="shared" si="95"/>
        <v>-1</v>
      </c>
      <c r="J3044" s="3" t="s">
        <v>4603</v>
      </c>
    </row>
    <row r="3045" spans="1:10" ht="25.5">
      <c r="A3045" s="3" t="s">
        <v>1811</v>
      </c>
      <c r="B3045" s="3" t="s">
        <v>3904</v>
      </c>
      <c r="C3045" s="4">
        <v>266</v>
      </c>
      <c r="D3045" s="3" t="s">
        <v>111</v>
      </c>
      <c r="E3045" s="3" t="s">
        <v>18</v>
      </c>
      <c r="F3045" s="5">
        <v>24039.39</v>
      </c>
      <c r="G3045" s="5">
        <v>0</v>
      </c>
      <c r="H3045" s="5">
        <f t="shared" si="94"/>
        <v>-24039.39</v>
      </c>
      <c r="I3045" s="9">
        <f t="shared" si="95"/>
        <v>-1</v>
      </c>
      <c r="J3045" s="3" t="s">
        <v>4603</v>
      </c>
    </row>
    <row r="3046" spans="1:10" ht="25.5">
      <c r="A3046" s="3" t="s">
        <v>1811</v>
      </c>
      <c r="B3046" s="3" t="s">
        <v>3905</v>
      </c>
      <c r="C3046" s="4">
        <v>299</v>
      </c>
      <c r="D3046" s="3" t="s">
        <v>246</v>
      </c>
      <c r="E3046" s="3" t="s">
        <v>30</v>
      </c>
      <c r="F3046" s="5">
        <v>0</v>
      </c>
      <c r="G3046" s="5">
        <v>24693.119999999999</v>
      </c>
      <c r="H3046" s="5">
        <f t="shared" si="94"/>
        <v>24693.119999999999</v>
      </c>
      <c r="I3046" s="9">
        <f t="shared" si="95"/>
        <v>0</v>
      </c>
      <c r="J3046" s="3" t="s">
        <v>4603</v>
      </c>
    </row>
    <row r="3047" spans="1:10" ht="25.5">
      <c r="A3047" s="3" t="s">
        <v>1811</v>
      </c>
      <c r="B3047" s="3" t="s">
        <v>3906</v>
      </c>
      <c r="C3047" s="4">
        <v>264</v>
      </c>
      <c r="D3047" s="3" t="s">
        <v>632</v>
      </c>
      <c r="E3047" s="3" t="s">
        <v>18</v>
      </c>
      <c r="F3047" s="5">
        <v>16897.919999999998</v>
      </c>
      <c r="G3047" s="5">
        <v>17721.57</v>
      </c>
      <c r="H3047" s="5">
        <f t="shared" si="94"/>
        <v>823.65000000000146</v>
      </c>
      <c r="I3047" s="9">
        <f t="shared" si="95"/>
        <v>4.8742685490285265E-2</v>
      </c>
      <c r="J3047" s="3" t="s">
        <v>4603</v>
      </c>
    </row>
    <row r="3048" spans="1:10" ht="25.5">
      <c r="A3048" s="3" t="s">
        <v>1811</v>
      </c>
      <c r="B3048" s="3" t="s">
        <v>3906</v>
      </c>
      <c r="C3048" s="4">
        <v>264</v>
      </c>
      <c r="D3048" s="3" t="s">
        <v>632</v>
      </c>
      <c r="E3048" s="3" t="s">
        <v>22</v>
      </c>
      <c r="F3048" s="5">
        <v>16897.919999999998</v>
      </c>
      <c r="G3048" s="5">
        <v>17721.57</v>
      </c>
      <c r="H3048" s="5">
        <f t="shared" si="94"/>
        <v>823.65000000000146</v>
      </c>
      <c r="I3048" s="9">
        <f t="shared" si="95"/>
        <v>4.8742685490285265E-2</v>
      </c>
      <c r="J3048" s="3" t="s">
        <v>4603</v>
      </c>
    </row>
    <row r="3049" spans="1:10" ht="25.5">
      <c r="A3049" s="3" t="s">
        <v>1811</v>
      </c>
      <c r="B3049" s="3" t="s">
        <v>3906</v>
      </c>
      <c r="C3049" s="4">
        <v>264</v>
      </c>
      <c r="D3049" s="3" t="s">
        <v>632</v>
      </c>
      <c r="E3049" s="3" t="s">
        <v>8</v>
      </c>
      <c r="F3049" s="5">
        <v>16897.919999999998</v>
      </c>
      <c r="G3049" s="5">
        <v>17721.57</v>
      </c>
      <c r="H3049" s="5">
        <f t="shared" si="94"/>
        <v>823.65000000000146</v>
      </c>
      <c r="I3049" s="9">
        <f t="shared" si="95"/>
        <v>4.8742685490285265E-2</v>
      </c>
      <c r="J3049" s="3" t="s">
        <v>4603</v>
      </c>
    </row>
    <row r="3050" spans="1:10" ht="25.5">
      <c r="A3050" s="3" t="s">
        <v>1811</v>
      </c>
      <c r="B3050" s="3" t="s">
        <v>3907</v>
      </c>
      <c r="C3050" s="4">
        <v>187</v>
      </c>
      <c r="D3050" s="3" t="s">
        <v>460</v>
      </c>
      <c r="E3050" s="3" t="s">
        <v>8</v>
      </c>
      <c r="F3050" s="5">
        <v>13197.84</v>
      </c>
      <c r="G3050" s="5">
        <v>0</v>
      </c>
      <c r="H3050" s="5">
        <f t="shared" si="94"/>
        <v>-13197.84</v>
      </c>
      <c r="I3050" s="9">
        <f t="shared" si="95"/>
        <v>-1</v>
      </c>
      <c r="J3050" s="3" t="s">
        <v>4603</v>
      </c>
    </row>
    <row r="3051" spans="1:10" ht="38.25">
      <c r="A3051" s="3" t="s">
        <v>1811</v>
      </c>
      <c r="B3051" s="3" t="s">
        <v>3908</v>
      </c>
      <c r="C3051" s="4">
        <v>371</v>
      </c>
      <c r="D3051" s="3" t="s">
        <v>29</v>
      </c>
      <c r="E3051" s="3" t="s">
        <v>30</v>
      </c>
      <c r="F3051" s="5">
        <v>4480.59</v>
      </c>
      <c r="G3051" s="5">
        <v>2617.92</v>
      </c>
      <c r="H3051" s="5">
        <f t="shared" si="94"/>
        <v>-1862.67</v>
      </c>
      <c r="I3051" s="9">
        <f t="shared" si="95"/>
        <v>-0.41571980475785553</v>
      </c>
      <c r="J3051" s="3" t="s">
        <v>4603</v>
      </c>
    </row>
    <row r="3052" spans="1:10" ht="25.5">
      <c r="A3052" s="3" t="s">
        <v>1811</v>
      </c>
      <c r="B3052" s="3" t="s">
        <v>3909</v>
      </c>
      <c r="C3052" s="4">
        <v>327</v>
      </c>
      <c r="D3052" s="3" t="s">
        <v>76</v>
      </c>
      <c r="E3052" s="3" t="s">
        <v>8</v>
      </c>
      <c r="F3052" s="5">
        <v>9835.4699999999993</v>
      </c>
      <c r="G3052" s="5">
        <v>0</v>
      </c>
      <c r="H3052" s="5">
        <f t="shared" si="94"/>
        <v>-9835.4699999999993</v>
      </c>
      <c r="I3052" s="9">
        <f t="shared" si="95"/>
        <v>-1</v>
      </c>
      <c r="J3052" s="3" t="s">
        <v>4604</v>
      </c>
    </row>
    <row r="3053" spans="1:10" ht="25.5">
      <c r="A3053" s="3" t="s">
        <v>1811</v>
      </c>
      <c r="B3053" s="3" t="s">
        <v>3910</v>
      </c>
      <c r="C3053" s="4">
        <v>261</v>
      </c>
      <c r="D3053" s="3" t="s">
        <v>17</v>
      </c>
      <c r="E3053" s="3" t="s">
        <v>18</v>
      </c>
      <c r="F3053" s="5">
        <v>16368.69</v>
      </c>
      <c r="G3053" s="5">
        <v>0</v>
      </c>
      <c r="H3053" s="5">
        <f t="shared" si="94"/>
        <v>-16368.69</v>
      </c>
      <c r="I3053" s="9">
        <f t="shared" si="95"/>
        <v>-1</v>
      </c>
      <c r="J3053" s="3" t="s">
        <v>4603</v>
      </c>
    </row>
    <row r="3054" spans="1:10" ht="25.5">
      <c r="A3054" s="3" t="s">
        <v>1811</v>
      </c>
      <c r="B3054" s="3" t="s">
        <v>3911</v>
      </c>
      <c r="C3054" s="4">
        <v>178</v>
      </c>
      <c r="D3054" s="3" t="s">
        <v>92</v>
      </c>
      <c r="E3054" s="3" t="s">
        <v>8</v>
      </c>
      <c r="F3054" s="5">
        <v>34335.18</v>
      </c>
      <c r="G3054" s="5">
        <v>0</v>
      </c>
      <c r="H3054" s="5">
        <f t="shared" si="94"/>
        <v>-34335.18</v>
      </c>
      <c r="I3054" s="9">
        <f t="shared" si="95"/>
        <v>-1</v>
      </c>
      <c r="J3054" s="3" t="s">
        <v>4603</v>
      </c>
    </row>
    <row r="3055" spans="1:10">
      <c r="A3055" s="3" t="s">
        <v>1811</v>
      </c>
      <c r="B3055" s="3" t="s">
        <v>3912</v>
      </c>
      <c r="C3055" s="4">
        <v>217</v>
      </c>
      <c r="D3055" s="3" t="s">
        <v>253</v>
      </c>
      <c r="E3055" s="3" t="s">
        <v>13</v>
      </c>
      <c r="F3055" s="5">
        <v>0</v>
      </c>
      <c r="G3055" s="5">
        <v>8541</v>
      </c>
      <c r="H3055" s="5">
        <f t="shared" si="94"/>
        <v>8541</v>
      </c>
      <c r="I3055" s="9">
        <f t="shared" si="95"/>
        <v>0</v>
      </c>
      <c r="J3055" s="3" t="s">
        <v>4603</v>
      </c>
    </row>
    <row r="3056" spans="1:10" ht="25.5">
      <c r="A3056" s="3" t="s">
        <v>1811</v>
      </c>
      <c r="B3056" s="3" t="s">
        <v>3913</v>
      </c>
      <c r="C3056" s="4">
        <v>335</v>
      </c>
      <c r="D3056" s="3" t="s">
        <v>7</v>
      </c>
      <c r="E3056" s="3" t="s">
        <v>8</v>
      </c>
      <c r="F3056" s="5">
        <v>0</v>
      </c>
      <c r="G3056" s="5">
        <v>26729.537</v>
      </c>
      <c r="H3056" s="5">
        <f t="shared" si="94"/>
        <v>26729.537</v>
      </c>
      <c r="I3056" s="9">
        <f t="shared" si="95"/>
        <v>0</v>
      </c>
      <c r="J3056" s="3" t="s">
        <v>4603</v>
      </c>
    </row>
    <row r="3057" spans="1:10" ht="25.5">
      <c r="A3057" s="3" t="s">
        <v>1811</v>
      </c>
      <c r="B3057" s="3" t="s">
        <v>3914</v>
      </c>
      <c r="C3057" s="4">
        <v>23</v>
      </c>
      <c r="D3057" s="3" t="s">
        <v>71</v>
      </c>
      <c r="E3057" s="3" t="s">
        <v>8</v>
      </c>
      <c r="F3057" s="5">
        <v>5933.04</v>
      </c>
      <c r="G3057" s="5">
        <v>7774.92</v>
      </c>
      <c r="H3057" s="5">
        <f t="shared" si="94"/>
        <v>1841.88</v>
      </c>
      <c r="I3057" s="9">
        <f t="shared" si="95"/>
        <v>0.31044456130415443</v>
      </c>
      <c r="J3057" s="3" t="s">
        <v>4603</v>
      </c>
    </row>
    <row r="3058" spans="1:10" ht="25.5">
      <c r="A3058" s="3" t="s">
        <v>1811</v>
      </c>
      <c r="B3058" s="3" t="s">
        <v>3915</v>
      </c>
      <c r="C3058" s="4">
        <v>315</v>
      </c>
      <c r="D3058" s="3" t="s">
        <v>79</v>
      </c>
      <c r="E3058" s="3" t="s">
        <v>8</v>
      </c>
      <c r="F3058" s="5">
        <v>18957.599999999999</v>
      </c>
      <c r="G3058" s="5">
        <v>20097.697</v>
      </c>
      <c r="H3058" s="5">
        <f t="shared" si="94"/>
        <v>1140.0970000000016</v>
      </c>
      <c r="I3058" s="9">
        <f t="shared" si="95"/>
        <v>6.0139310883234209E-2</v>
      </c>
      <c r="J3058" s="3" t="s">
        <v>4603</v>
      </c>
    </row>
    <row r="3059" spans="1:10" ht="25.5">
      <c r="A3059" s="3" t="s">
        <v>1811</v>
      </c>
      <c r="B3059" s="3" t="s">
        <v>3916</v>
      </c>
      <c r="C3059" s="4">
        <v>261</v>
      </c>
      <c r="D3059" s="3" t="s">
        <v>17</v>
      </c>
      <c r="E3059" s="3" t="s">
        <v>18</v>
      </c>
      <c r="F3059" s="5">
        <v>6416.04</v>
      </c>
      <c r="G3059" s="5">
        <v>12026.52</v>
      </c>
      <c r="H3059" s="5">
        <f t="shared" si="94"/>
        <v>5610.4800000000005</v>
      </c>
      <c r="I3059" s="9">
        <f t="shared" si="95"/>
        <v>0.87444591991321752</v>
      </c>
      <c r="J3059" s="3" t="s">
        <v>4603</v>
      </c>
    </row>
    <row r="3060" spans="1:10" ht="25.5">
      <c r="A3060" s="3" t="s">
        <v>1811</v>
      </c>
      <c r="B3060" s="3" t="s">
        <v>3917</v>
      </c>
      <c r="C3060" s="4">
        <v>297</v>
      </c>
      <c r="D3060" s="3" t="s">
        <v>209</v>
      </c>
      <c r="E3060" s="3" t="s">
        <v>22</v>
      </c>
      <c r="F3060" s="5">
        <v>15443.59</v>
      </c>
      <c r="G3060" s="5">
        <v>8685.3700000000008</v>
      </c>
      <c r="H3060" s="5">
        <f t="shared" si="94"/>
        <v>-6758.2199999999993</v>
      </c>
      <c r="I3060" s="9">
        <f t="shared" si="95"/>
        <v>-0.43760679997332219</v>
      </c>
      <c r="J3060" s="3" t="s">
        <v>4603</v>
      </c>
    </row>
    <row r="3061" spans="1:10" ht="38.25">
      <c r="A3061" s="3" t="s">
        <v>1811</v>
      </c>
      <c r="B3061" s="3" t="s">
        <v>3918</v>
      </c>
      <c r="C3061" s="4">
        <v>53</v>
      </c>
      <c r="D3061" s="3" t="s">
        <v>340</v>
      </c>
      <c r="E3061" s="3" t="s">
        <v>13</v>
      </c>
      <c r="F3061" s="5">
        <v>0</v>
      </c>
      <c r="G3061" s="5">
        <v>5379.12</v>
      </c>
      <c r="H3061" s="5">
        <f t="shared" si="94"/>
        <v>5379.12</v>
      </c>
      <c r="I3061" s="9">
        <f t="shared" si="95"/>
        <v>0</v>
      </c>
      <c r="J3061" s="3" t="s">
        <v>4603</v>
      </c>
    </row>
    <row r="3062" spans="1:10" ht="25.5">
      <c r="A3062" s="3" t="s">
        <v>1811</v>
      </c>
      <c r="B3062" s="3" t="s">
        <v>3919</v>
      </c>
      <c r="C3062" s="4">
        <v>53</v>
      </c>
      <c r="D3062" s="3" t="s">
        <v>340</v>
      </c>
      <c r="E3062" s="3" t="s">
        <v>13</v>
      </c>
      <c r="F3062" s="5">
        <v>0</v>
      </c>
      <c r="G3062" s="5">
        <v>3195.6</v>
      </c>
      <c r="H3062" s="5">
        <f t="shared" si="94"/>
        <v>3195.6</v>
      </c>
      <c r="I3062" s="9">
        <f t="shared" si="95"/>
        <v>0</v>
      </c>
      <c r="J3062" s="3" t="s">
        <v>4603</v>
      </c>
    </row>
    <row r="3063" spans="1:10" ht="25.5">
      <c r="A3063" s="3" t="s">
        <v>1811</v>
      </c>
      <c r="B3063" s="3" t="s">
        <v>3920</v>
      </c>
      <c r="C3063" s="4">
        <v>187</v>
      </c>
      <c r="D3063" s="3" t="s">
        <v>460</v>
      </c>
      <c r="E3063" s="3" t="s">
        <v>8</v>
      </c>
      <c r="F3063" s="5">
        <v>5951.1</v>
      </c>
      <c r="G3063" s="5">
        <v>0</v>
      </c>
      <c r="H3063" s="5">
        <f t="shared" si="94"/>
        <v>-5951.1</v>
      </c>
      <c r="I3063" s="9">
        <f t="shared" si="95"/>
        <v>-1</v>
      </c>
      <c r="J3063" s="3" t="s">
        <v>4603</v>
      </c>
    </row>
    <row r="3064" spans="1:10" ht="25.5">
      <c r="A3064" s="3" t="s">
        <v>1811</v>
      </c>
      <c r="B3064" s="3" t="s">
        <v>3921</v>
      </c>
      <c r="C3064" s="4">
        <v>261</v>
      </c>
      <c r="D3064" s="3" t="s">
        <v>17</v>
      </c>
      <c r="E3064" s="3" t="s">
        <v>18</v>
      </c>
      <c r="F3064" s="5">
        <v>6755.55</v>
      </c>
      <c r="G3064" s="5">
        <v>4934.6329999999998</v>
      </c>
      <c r="H3064" s="5">
        <f t="shared" si="94"/>
        <v>-1820.9170000000004</v>
      </c>
      <c r="I3064" s="9">
        <f t="shared" si="95"/>
        <v>-0.26954385653277679</v>
      </c>
      <c r="J3064" s="3" t="s">
        <v>4603</v>
      </c>
    </row>
    <row r="3065" spans="1:10" ht="38.25">
      <c r="A3065" s="3" t="s">
        <v>1811</v>
      </c>
      <c r="B3065" s="3" t="s">
        <v>3922</v>
      </c>
      <c r="C3065" s="4">
        <v>38</v>
      </c>
      <c r="D3065" s="3" t="s">
        <v>229</v>
      </c>
      <c r="E3065" s="3" t="s">
        <v>30</v>
      </c>
      <c r="F3065" s="5">
        <v>0</v>
      </c>
      <c r="G3065" s="5">
        <v>19382.759999999998</v>
      </c>
      <c r="H3065" s="5">
        <f t="shared" si="94"/>
        <v>19382.759999999998</v>
      </c>
      <c r="I3065" s="9">
        <f t="shared" si="95"/>
        <v>0</v>
      </c>
      <c r="J3065" s="3" t="s">
        <v>4603</v>
      </c>
    </row>
    <row r="3066" spans="1:10" ht="25.5">
      <c r="A3066" s="3" t="s">
        <v>1811</v>
      </c>
      <c r="B3066" s="3" t="s">
        <v>3923</v>
      </c>
      <c r="C3066" s="4">
        <v>19</v>
      </c>
      <c r="D3066" s="3" t="s">
        <v>53</v>
      </c>
      <c r="E3066" s="3" t="s">
        <v>22</v>
      </c>
      <c r="F3066" s="5">
        <v>5924.04</v>
      </c>
      <c r="G3066" s="5">
        <v>0</v>
      </c>
      <c r="H3066" s="5">
        <f t="shared" si="94"/>
        <v>-5924.04</v>
      </c>
      <c r="I3066" s="9">
        <f t="shared" si="95"/>
        <v>-1</v>
      </c>
      <c r="J3066" s="3" t="s">
        <v>4603</v>
      </c>
    </row>
    <row r="3067" spans="1:10" ht="38.25">
      <c r="A3067" s="3" t="s">
        <v>1811</v>
      </c>
      <c r="B3067" s="3" t="s">
        <v>3924</v>
      </c>
      <c r="C3067" s="4">
        <v>143</v>
      </c>
      <c r="D3067" s="3" t="s">
        <v>21</v>
      </c>
      <c r="E3067" s="3" t="s">
        <v>22</v>
      </c>
      <c r="F3067" s="5">
        <v>12292.26</v>
      </c>
      <c r="G3067" s="5">
        <v>26272.44</v>
      </c>
      <c r="H3067" s="5">
        <f t="shared" si="94"/>
        <v>13980.179999999998</v>
      </c>
      <c r="I3067" s="9">
        <f t="shared" si="95"/>
        <v>1.1373156766941146</v>
      </c>
      <c r="J3067" s="3" t="s">
        <v>4603</v>
      </c>
    </row>
    <row r="3068" spans="1:10" ht="25.5">
      <c r="A3068" s="3" t="s">
        <v>1811</v>
      </c>
      <c r="B3068" s="3" t="s">
        <v>3925</v>
      </c>
      <c r="C3068" s="4">
        <v>197</v>
      </c>
      <c r="D3068" s="3" t="s">
        <v>23</v>
      </c>
      <c r="E3068" s="3" t="s">
        <v>22</v>
      </c>
      <c r="F3068" s="5">
        <v>2771.58</v>
      </c>
      <c r="G3068" s="5">
        <v>7768.38</v>
      </c>
      <c r="H3068" s="5">
        <f t="shared" si="94"/>
        <v>4996.8</v>
      </c>
      <c r="I3068" s="9">
        <f t="shared" si="95"/>
        <v>1.8028705648041914</v>
      </c>
      <c r="J3068" s="3" t="s">
        <v>4603</v>
      </c>
    </row>
    <row r="3069" spans="1:10" ht="38.25">
      <c r="A3069" s="3" t="s">
        <v>1811</v>
      </c>
      <c r="B3069" s="3" t="s">
        <v>3926</v>
      </c>
      <c r="C3069" s="4">
        <v>301</v>
      </c>
      <c r="D3069" s="3" t="s">
        <v>12</v>
      </c>
      <c r="E3069" s="3" t="s">
        <v>13</v>
      </c>
      <c r="F3069" s="5">
        <v>12989.37</v>
      </c>
      <c r="G3069" s="5">
        <v>3408.96</v>
      </c>
      <c r="H3069" s="5">
        <f t="shared" si="94"/>
        <v>-9580.41</v>
      </c>
      <c r="I3069" s="9">
        <f t="shared" si="95"/>
        <v>-0.73755771065109399</v>
      </c>
      <c r="J3069" s="3" t="s">
        <v>4603</v>
      </c>
    </row>
    <row r="3070" spans="1:10" ht="25.5">
      <c r="A3070" s="3" t="s">
        <v>1811</v>
      </c>
      <c r="B3070" s="3" t="s">
        <v>3927</v>
      </c>
      <c r="C3070" s="4">
        <v>31</v>
      </c>
      <c r="D3070" s="3" t="s">
        <v>172</v>
      </c>
      <c r="E3070" s="3" t="s">
        <v>13</v>
      </c>
      <c r="F3070" s="5">
        <v>2903.4</v>
      </c>
      <c r="G3070" s="5">
        <v>0</v>
      </c>
      <c r="H3070" s="5">
        <f t="shared" si="94"/>
        <v>-2903.4</v>
      </c>
      <c r="I3070" s="9">
        <f t="shared" si="95"/>
        <v>-1</v>
      </c>
      <c r="J3070" s="3" t="s">
        <v>4603</v>
      </c>
    </row>
    <row r="3071" spans="1:10" ht="25.5">
      <c r="A3071" s="3" t="s">
        <v>1811</v>
      </c>
      <c r="B3071" s="3" t="s">
        <v>3928</v>
      </c>
      <c r="C3071" s="4">
        <v>39</v>
      </c>
      <c r="D3071" s="3" t="s">
        <v>26</v>
      </c>
      <c r="E3071" s="3" t="s">
        <v>9</v>
      </c>
      <c r="F3071" s="5">
        <v>2735.52</v>
      </c>
      <c r="G3071" s="5">
        <v>0</v>
      </c>
      <c r="H3071" s="5">
        <f t="shared" si="94"/>
        <v>-2735.52</v>
      </c>
      <c r="I3071" s="9">
        <f t="shared" si="95"/>
        <v>-1</v>
      </c>
      <c r="J3071" s="3" t="s">
        <v>4603</v>
      </c>
    </row>
    <row r="3072" spans="1:10">
      <c r="A3072" s="3" t="s">
        <v>1811</v>
      </c>
      <c r="B3072" s="3" t="s">
        <v>3929</v>
      </c>
      <c r="C3072" s="4">
        <v>315</v>
      </c>
      <c r="D3072" s="3" t="s">
        <v>79</v>
      </c>
      <c r="E3072" s="3" t="s">
        <v>8</v>
      </c>
      <c r="F3072" s="5">
        <v>0</v>
      </c>
      <c r="G3072" s="5">
        <v>6018.884</v>
      </c>
      <c r="H3072" s="5">
        <f t="shared" si="94"/>
        <v>6018.884</v>
      </c>
      <c r="I3072" s="9">
        <f t="shared" si="95"/>
        <v>0</v>
      </c>
      <c r="J3072" s="3" t="s">
        <v>4603</v>
      </c>
    </row>
    <row r="3073" spans="1:10" ht="25.5">
      <c r="A3073" s="3" t="s">
        <v>1811</v>
      </c>
      <c r="B3073" s="3" t="s">
        <v>3930</v>
      </c>
      <c r="C3073" s="4">
        <v>178</v>
      </c>
      <c r="D3073" s="3" t="s">
        <v>92</v>
      </c>
      <c r="E3073" s="3" t="s">
        <v>8</v>
      </c>
      <c r="F3073" s="5">
        <v>7330.8</v>
      </c>
      <c r="G3073" s="5">
        <v>10673.16</v>
      </c>
      <c r="H3073" s="5">
        <f t="shared" si="94"/>
        <v>3342.3599999999997</v>
      </c>
      <c r="I3073" s="9">
        <f t="shared" si="95"/>
        <v>0.45593386806351277</v>
      </c>
      <c r="J3073" s="3" t="s">
        <v>4603</v>
      </c>
    </row>
    <row r="3074" spans="1:10" ht="25.5">
      <c r="A3074" s="3" t="s">
        <v>1811</v>
      </c>
      <c r="B3074" s="3" t="s">
        <v>3931</v>
      </c>
      <c r="C3074" s="4">
        <v>218</v>
      </c>
      <c r="D3074" s="3" t="s">
        <v>155</v>
      </c>
      <c r="E3074" s="3" t="s">
        <v>13</v>
      </c>
      <c r="F3074" s="5">
        <v>4463.1000000000004</v>
      </c>
      <c r="G3074" s="5">
        <v>0</v>
      </c>
      <c r="H3074" s="5">
        <f t="shared" si="94"/>
        <v>-4463.1000000000004</v>
      </c>
      <c r="I3074" s="9">
        <f t="shared" si="95"/>
        <v>-1</v>
      </c>
      <c r="J3074" s="3" t="s">
        <v>4603</v>
      </c>
    </row>
    <row r="3075" spans="1:10">
      <c r="A3075" s="3" t="s">
        <v>1811</v>
      </c>
      <c r="B3075" s="3" t="s">
        <v>3932</v>
      </c>
      <c r="C3075" s="4">
        <v>217</v>
      </c>
      <c r="D3075" s="3" t="s">
        <v>253</v>
      </c>
      <c r="E3075" s="3" t="s">
        <v>13</v>
      </c>
      <c r="F3075" s="5">
        <v>5267.4</v>
      </c>
      <c r="G3075" s="5">
        <v>0</v>
      </c>
      <c r="H3075" s="5">
        <f t="shared" ref="H3075:H3138" si="96">G3075-F3075</f>
        <v>-5267.4</v>
      </c>
      <c r="I3075" s="9">
        <f t="shared" ref="I3075:I3138" si="97">IFERROR(G3075/F3075-1,0)</f>
        <v>-1</v>
      </c>
      <c r="J3075" s="3" t="s">
        <v>4603</v>
      </c>
    </row>
    <row r="3076" spans="1:10" ht="25.5">
      <c r="A3076" s="3" t="s">
        <v>1811</v>
      </c>
      <c r="B3076" s="3" t="s">
        <v>3933</v>
      </c>
      <c r="C3076" s="4">
        <v>337</v>
      </c>
      <c r="D3076" s="3" t="s">
        <v>218</v>
      </c>
      <c r="E3076" s="3" t="s">
        <v>13</v>
      </c>
      <c r="F3076" s="5">
        <v>0</v>
      </c>
      <c r="G3076" s="5">
        <v>5646.24</v>
      </c>
      <c r="H3076" s="5">
        <f t="shared" si="96"/>
        <v>5646.24</v>
      </c>
      <c r="I3076" s="9">
        <f t="shared" si="97"/>
        <v>0</v>
      </c>
      <c r="J3076" s="3" t="s">
        <v>4603</v>
      </c>
    </row>
    <row r="3077" spans="1:10" ht="25.5">
      <c r="A3077" s="3" t="s">
        <v>1811</v>
      </c>
      <c r="B3077" s="3" t="s">
        <v>3934</v>
      </c>
      <c r="C3077" s="4">
        <v>93</v>
      </c>
      <c r="D3077" s="3" t="s">
        <v>42</v>
      </c>
      <c r="E3077" s="3" t="s">
        <v>8</v>
      </c>
      <c r="F3077" s="5">
        <v>11506.2</v>
      </c>
      <c r="G3077" s="5">
        <v>9593.64</v>
      </c>
      <c r="H3077" s="5">
        <f t="shared" si="96"/>
        <v>-1912.5600000000013</v>
      </c>
      <c r="I3077" s="9">
        <f t="shared" si="97"/>
        <v>-0.16621995098294839</v>
      </c>
      <c r="J3077" s="3" t="s">
        <v>4603</v>
      </c>
    </row>
    <row r="3078" spans="1:10" ht="25.5">
      <c r="A3078" s="3" t="s">
        <v>1811</v>
      </c>
      <c r="B3078" s="3" t="s">
        <v>3935</v>
      </c>
      <c r="C3078" s="4">
        <v>194</v>
      </c>
      <c r="D3078" s="3" t="s">
        <v>179</v>
      </c>
      <c r="E3078" s="3" t="s">
        <v>13</v>
      </c>
      <c r="F3078" s="5">
        <v>0</v>
      </c>
      <c r="G3078" s="5">
        <v>7056.24</v>
      </c>
      <c r="H3078" s="5">
        <f t="shared" si="96"/>
        <v>7056.24</v>
      </c>
      <c r="I3078" s="9">
        <f t="shared" si="97"/>
        <v>0</v>
      </c>
      <c r="J3078" s="3" t="s">
        <v>4603</v>
      </c>
    </row>
    <row r="3079" spans="1:10" ht="25.5">
      <c r="A3079" s="3" t="s">
        <v>1811</v>
      </c>
      <c r="B3079" s="3" t="s">
        <v>3936</v>
      </c>
      <c r="C3079" s="4">
        <v>23</v>
      </c>
      <c r="D3079" s="3" t="s">
        <v>71</v>
      </c>
      <c r="E3079" s="3" t="s">
        <v>8</v>
      </c>
      <c r="F3079" s="5">
        <v>0</v>
      </c>
      <c r="G3079" s="5">
        <v>4549.92</v>
      </c>
      <c r="H3079" s="5">
        <f t="shared" si="96"/>
        <v>4549.92</v>
      </c>
      <c r="I3079" s="9">
        <f t="shared" si="97"/>
        <v>0</v>
      </c>
      <c r="J3079" s="3" t="s">
        <v>4603</v>
      </c>
    </row>
    <row r="3080" spans="1:10" ht="25.5">
      <c r="A3080" s="3" t="s">
        <v>1811</v>
      </c>
      <c r="B3080" s="3" t="s">
        <v>3937</v>
      </c>
      <c r="C3080" s="4">
        <v>23</v>
      </c>
      <c r="D3080" s="3" t="s">
        <v>71</v>
      </c>
      <c r="E3080" s="3" t="s">
        <v>8</v>
      </c>
      <c r="F3080" s="5">
        <v>2831.52</v>
      </c>
      <c r="G3080" s="5">
        <v>6807.06</v>
      </c>
      <c r="H3080" s="5">
        <f t="shared" si="96"/>
        <v>3975.5400000000004</v>
      </c>
      <c r="I3080" s="9">
        <f t="shared" si="97"/>
        <v>1.4040303441261233</v>
      </c>
      <c r="J3080" s="3" t="s">
        <v>4603</v>
      </c>
    </row>
    <row r="3081" spans="1:10" ht="25.5">
      <c r="A3081" s="3" t="s">
        <v>1811</v>
      </c>
      <c r="B3081" s="3" t="s">
        <v>3938</v>
      </c>
      <c r="C3081" s="4">
        <v>31</v>
      </c>
      <c r="D3081" s="3" t="s">
        <v>172</v>
      </c>
      <c r="E3081" s="3" t="s">
        <v>13</v>
      </c>
      <c r="F3081" s="5">
        <v>3695.16</v>
      </c>
      <c r="G3081" s="5">
        <v>4687.68</v>
      </c>
      <c r="H3081" s="5">
        <f t="shared" si="96"/>
        <v>992.52000000000044</v>
      </c>
      <c r="I3081" s="9">
        <f t="shared" si="97"/>
        <v>0.26860000649498272</v>
      </c>
      <c r="J3081" s="3" t="s">
        <v>4603</v>
      </c>
    </row>
    <row r="3082" spans="1:10" ht="25.5">
      <c r="A3082" s="3" t="s">
        <v>1811</v>
      </c>
      <c r="B3082" s="3" t="s">
        <v>3939</v>
      </c>
      <c r="C3082" s="4">
        <v>208</v>
      </c>
      <c r="D3082" s="3" t="s">
        <v>58</v>
      </c>
      <c r="E3082" s="3" t="s">
        <v>13</v>
      </c>
      <c r="F3082" s="5">
        <v>0</v>
      </c>
      <c r="G3082" s="5">
        <v>3225.24</v>
      </c>
      <c r="H3082" s="5">
        <f t="shared" si="96"/>
        <v>3225.24</v>
      </c>
      <c r="I3082" s="9">
        <f t="shared" si="97"/>
        <v>0</v>
      </c>
      <c r="J3082" s="3" t="s">
        <v>4603</v>
      </c>
    </row>
    <row r="3083" spans="1:10" ht="25.5">
      <c r="A3083" s="3" t="s">
        <v>1811</v>
      </c>
      <c r="B3083" s="3" t="s">
        <v>3940</v>
      </c>
      <c r="C3083" s="4">
        <v>178</v>
      </c>
      <c r="D3083" s="3" t="s">
        <v>92</v>
      </c>
      <c r="E3083" s="3" t="s">
        <v>8</v>
      </c>
      <c r="F3083" s="5">
        <v>0</v>
      </c>
      <c r="G3083" s="5">
        <v>3610.92</v>
      </c>
      <c r="H3083" s="5">
        <f t="shared" si="96"/>
        <v>3610.92</v>
      </c>
      <c r="I3083" s="9">
        <f t="shared" si="97"/>
        <v>0</v>
      </c>
      <c r="J3083" s="3" t="s">
        <v>4603</v>
      </c>
    </row>
    <row r="3084" spans="1:10" ht="25.5">
      <c r="A3084" s="3" t="s">
        <v>1811</v>
      </c>
      <c r="B3084" s="3" t="s">
        <v>3941</v>
      </c>
      <c r="C3084" s="4">
        <v>261</v>
      </c>
      <c r="D3084" s="3" t="s">
        <v>17</v>
      </c>
      <c r="E3084" s="3" t="s">
        <v>18</v>
      </c>
      <c r="F3084" s="5">
        <v>0</v>
      </c>
      <c r="G3084" s="5">
        <v>25034.76</v>
      </c>
      <c r="H3084" s="5">
        <f t="shared" si="96"/>
        <v>25034.76</v>
      </c>
      <c r="I3084" s="9">
        <f t="shared" si="97"/>
        <v>0</v>
      </c>
      <c r="J3084" s="3" t="s">
        <v>4603</v>
      </c>
    </row>
    <row r="3085" spans="1:10" ht="25.5">
      <c r="A3085" s="3" t="s">
        <v>1811</v>
      </c>
      <c r="B3085" s="3" t="s">
        <v>3942</v>
      </c>
      <c r="C3085" s="4">
        <v>261</v>
      </c>
      <c r="D3085" s="3" t="s">
        <v>17</v>
      </c>
      <c r="E3085" s="3" t="s">
        <v>18</v>
      </c>
      <c r="F3085" s="5">
        <v>6696.84</v>
      </c>
      <c r="G3085" s="5">
        <v>8539.5300000000007</v>
      </c>
      <c r="H3085" s="5">
        <f t="shared" si="96"/>
        <v>1842.6900000000005</v>
      </c>
      <c r="I3085" s="9">
        <f t="shared" si="97"/>
        <v>0.27515813428422975</v>
      </c>
      <c r="J3085" s="3" t="s">
        <v>4603</v>
      </c>
    </row>
    <row r="3086" spans="1:10" ht="25.5">
      <c r="A3086" s="3" t="s">
        <v>1811</v>
      </c>
      <c r="B3086" s="3" t="s">
        <v>3943</v>
      </c>
      <c r="C3086" s="4">
        <v>93</v>
      </c>
      <c r="D3086" s="3" t="s">
        <v>42</v>
      </c>
      <c r="E3086" s="3" t="s">
        <v>8</v>
      </c>
      <c r="F3086" s="5">
        <v>53643.21</v>
      </c>
      <c r="G3086" s="5">
        <v>50250.54</v>
      </c>
      <c r="H3086" s="5">
        <f t="shared" si="96"/>
        <v>-3392.6699999999983</v>
      </c>
      <c r="I3086" s="9">
        <f t="shared" si="97"/>
        <v>-6.3245096630123343E-2</v>
      </c>
      <c r="J3086" s="3" t="s">
        <v>4603</v>
      </c>
    </row>
    <row r="3087" spans="1:10" ht="25.5">
      <c r="A3087" s="3" t="s">
        <v>1811</v>
      </c>
      <c r="B3087" s="3" t="s">
        <v>3944</v>
      </c>
      <c r="C3087" s="4">
        <v>194</v>
      </c>
      <c r="D3087" s="3" t="s">
        <v>179</v>
      </c>
      <c r="E3087" s="3" t="s">
        <v>13</v>
      </c>
      <c r="F3087" s="5">
        <v>5959.8</v>
      </c>
      <c r="G3087" s="5">
        <v>6519.36</v>
      </c>
      <c r="H3087" s="5">
        <f t="shared" si="96"/>
        <v>559.55999999999949</v>
      </c>
      <c r="I3087" s="9">
        <f t="shared" si="97"/>
        <v>9.3889056679754335E-2</v>
      </c>
      <c r="J3087" s="3" t="s">
        <v>4603</v>
      </c>
    </row>
    <row r="3088" spans="1:10" ht="25.5">
      <c r="A3088" s="3" t="s">
        <v>1811</v>
      </c>
      <c r="B3088" s="3" t="s">
        <v>3945</v>
      </c>
      <c r="C3088" s="4">
        <v>194</v>
      </c>
      <c r="D3088" s="3" t="s">
        <v>179</v>
      </c>
      <c r="E3088" s="3" t="s">
        <v>13</v>
      </c>
      <c r="F3088" s="5">
        <v>6302.52</v>
      </c>
      <c r="G3088" s="5">
        <v>5052.6000000000004</v>
      </c>
      <c r="H3088" s="5">
        <f t="shared" si="96"/>
        <v>-1249.92</v>
      </c>
      <c r="I3088" s="9">
        <f t="shared" si="97"/>
        <v>-0.19832067173130752</v>
      </c>
      <c r="J3088" s="3" t="s">
        <v>4603</v>
      </c>
    </row>
    <row r="3089" spans="1:10" ht="25.5">
      <c r="A3089" s="3" t="s">
        <v>1811</v>
      </c>
      <c r="B3089" s="3" t="s">
        <v>3946</v>
      </c>
      <c r="C3089" s="4">
        <v>197</v>
      </c>
      <c r="D3089" s="3" t="s">
        <v>23</v>
      </c>
      <c r="E3089" s="3" t="s">
        <v>22</v>
      </c>
      <c r="F3089" s="5">
        <v>2402.2800000000002</v>
      </c>
      <c r="G3089" s="5">
        <v>0</v>
      </c>
      <c r="H3089" s="5">
        <f t="shared" si="96"/>
        <v>-2402.2800000000002</v>
      </c>
      <c r="I3089" s="9">
        <f t="shared" si="97"/>
        <v>-1</v>
      </c>
      <c r="J3089" s="3" t="s">
        <v>4603</v>
      </c>
    </row>
    <row r="3090" spans="1:10" ht="25.5">
      <c r="A3090" s="3" t="s">
        <v>1811</v>
      </c>
      <c r="B3090" s="3" t="s">
        <v>3947</v>
      </c>
      <c r="C3090" s="4">
        <v>218</v>
      </c>
      <c r="D3090" s="3" t="s">
        <v>155</v>
      </c>
      <c r="E3090" s="3" t="s">
        <v>13</v>
      </c>
      <c r="F3090" s="5">
        <v>3167.28</v>
      </c>
      <c r="G3090" s="5">
        <v>3195.6</v>
      </c>
      <c r="H3090" s="5">
        <f t="shared" si="96"/>
        <v>28.319999999999709</v>
      </c>
      <c r="I3090" s="9">
        <f t="shared" si="97"/>
        <v>8.9414260816851332E-3</v>
      </c>
      <c r="J3090" s="3" t="s">
        <v>4603</v>
      </c>
    </row>
    <row r="3091" spans="1:10">
      <c r="A3091" s="3" t="s">
        <v>1811</v>
      </c>
      <c r="B3091" s="3" t="s">
        <v>3948</v>
      </c>
      <c r="C3091" s="4">
        <v>231</v>
      </c>
      <c r="D3091" s="3" t="s">
        <v>89</v>
      </c>
      <c r="E3091" s="3" t="s">
        <v>8</v>
      </c>
      <c r="F3091" s="5">
        <v>0</v>
      </c>
      <c r="G3091" s="5">
        <v>11345.16</v>
      </c>
      <c r="H3091" s="5">
        <f t="shared" si="96"/>
        <v>11345.16</v>
      </c>
      <c r="I3091" s="9">
        <f t="shared" si="97"/>
        <v>0</v>
      </c>
      <c r="J3091" s="3" t="s">
        <v>4603</v>
      </c>
    </row>
    <row r="3092" spans="1:10" ht="38.25">
      <c r="A3092" s="3" t="s">
        <v>1811</v>
      </c>
      <c r="B3092" s="3" t="s">
        <v>3949</v>
      </c>
      <c r="C3092" s="4">
        <v>45</v>
      </c>
      <c r="D3092" s="3" t="s">
        <v>16</v>
      </c>
      <c r="E3092" s="3" t="s">
        <v>8</v>
      </c>
      <c r="F3092" s="5">
        <v>11164.23</v>
      </c>
      <c r="G3092" s="5">
        <v>7676.61</v>
      </c>
      <c r="H3092" s="5">
        <f t="shared" si="96"/>
        <v>-3487.62</v>
      </c>
      <c r="I3092" s="9">
        <f t="shared" si="97"/>
        <v>-0.31239234591189902</v>
      </c>
      <c r="J3092" s="3" t="s">
        <v>4603</v>
      </c>
    </row>
    <row r="3093" spans="1:10" ht="25.5">
      <c r="A3093" s="3" t="s">
        <v>1811</v>
      </c>
      <c r="B3093" s="3" t="s">
        <v>3950</v>
      </c>
      <c r="C3093" s="4">
        <v>297</v>
      </c>
      <c r="D3093" s="3" t="s">
        <v>209</v>
      </c>
      <c r="E3093" s="3" t="s">
        <v>22</v>
      </c>
      <c r="F3093" s="5">
        <v>8709.0300000000007</v>
      </c>
      <c r="G3093" s="5">
        <v>16060.46</v>
      </c>
      <c r="H3093" s="5">
        <f t="shared" si="96"/>
        <v>7351.4299999999985</v>
      </c>
      <c r="I3093" s="9">
        <f t="shared" si="97"/>
        <v>0.84411582001669516</v>
      </c>
      <c r="J3093" s="3" t="s">
        <v>4603</v>
      </c>
    </row>
    <row r="3094" spans="1:10" ht="38.25">
      <c r="A3094" s="3" t="s">
        <v>1811</v>
      </c>
      <c r="B3094" s="3" t="s">
        <v>3951</v>
      </c>
      <c r="C3094" s="4">
        <v>45</v>
      </c>
      <c r="D3094" s="3" t="s">
        <v>16</v>
      </c>
      <c r="E3094" s="3" t="s">
        <v>8</v>
      </c>
      <c r="F3094" s="5">
        <v>0</v>
      </c>
      <c r="G3094" s="5">
        <v>7402.08</v>
      </c>
      <c r="H3094" s="5">
        <f t="shared" si="96"/>
        <v>7402.08</v>
      </c>
      <c r="I3094" s="9">
        <f t="shared" si="97"/>
        <v>0</v>
      </c>
      <c r="J3094" s="3" t="s">
        <v>4603</v>
      </c>
    </row>
    <row r="3095" spans="1:10" ht="38.25">
      <c r="A3095" s="3" t="s">
        <v>1811</v>
      </c>
      <c r="B3095" s="3" t="s">
        <v>3952</v>
      </c>
      <c r="C3095" s="4">
        <v>34</v>
      </c>
      <c r="D3095" s="3" t="s">
        <v>136</v>
      </c>
      <c r="E3095" s="3" t="s">
        <v>30</v>
      </c>
      <c r="F3095" s="5">
        <v>3683.4</v>
      </c>
      <c r="G3095" s="5">
        <v>0</v>
      </c>
      <c r="H3095" s="5">
        <f t="shared" si="96"/>
        <v>-3683.4</v>
      </c>
      <c r="I3095" s="9">
        <f t="shared" si="97"/>
        <v>-1</v>
      </c>
      <c r="J3095" s="3" t="s">
        <v>4603</v>
      </c>
    </row>
    <row r="3096" spans="1:10" ht="25.5">
      <c r="A3096" s="3" t="s">
        <v>1811</v>
      </c>
      <c r="B3096" s="3" t="s">
        <v>3953</v>
      </c>
      <c r="C3096" s="4">
        <v>315</v>
      </c>
      <c r="D3096" s="3" t="s">
        <v>79</v>
      </c>
      <c r="E3096" s="3" t="s">
        <v>8</v>
      </c>
      <c r="F3096" s="5">
        <v>0</v>
      </c>
      <c r="G3096" s="5">
        <v>5309.43</v>
      </c>
      <c r="H3096" s="5">
        <f t="shared" si="96"/>
        <v>5309.43</v>
      </c>
      <c r="I3096" s="9">
        <f t="shared" si="97"/>
        <v>0</v>
      </c>
      <c r="J3096" s="3" t="s">
        <v>4603</v>
      </c>
    </row>
    <row r="3097" spans="1:10" ht="25.5">
      <c r="A3097" s="3" t="s">
        <v>1811</v>
      </c>
      <c r="B3097" s="3" t="s">
        <v>3954</v>
      </c>
      <c r="C3097" s="4">
        <v>178</v>
      </c>
      <c r="D3097" s="3" t="s">
        <v>92</v>
      </c>
      <c r="E3097" s="3" t="s">
        <v>8</v>
      </c>
      <c r="F3097" s="5">
        <v>0</v>
      </c>
      <c r="G3097" s="5">
        <v>17572.919999999998</v>
      </c>
      <c r="H3097" s="5">
        <f t="shared" si="96"/>
        <v>17572.919999999998</v>
      </c>
      <c r="I3097" s="9">
        <f t="shared" si="97"/>
        <v>0</v>
      </c>
      <c r="J3097" s="3" t="s">
        <v>4603</v>
      </c>
    </row>
    <row r="3098" spans="1:10" ht="25.5">
      <c r="A3098" s="3" t="s">
        <v>1811</v>
      </c>
      <c r="B3098" s="3" t="s">
        <v>3955</v>
      </c>
      <c r="C3098" s="4">
        <v>187</v>
      </c>
      <c r="D3098" s="3" t="s">
        <v>460</v>
      </c>
      <c r="E3098" s="3" t="s">
        <v>8</v>
      </c>
      <c r="F3098" s="5">
        <v>5071.2</v>
      </c>
      <c r="G3098" s="5">
        <v>5394.06</v>
      </c>
      <c r="H3098" s="5">
        <f t="shared" si="96"/>
        <v>322.86000000000058</v>
      </c>
      <c r="I3098" s="9">
        <f t="shared" si="97"/>
        <v>6.3665404637955669E-2</v>
      </c>
      <c r="J3098" s="3" t="s">
        <v>4603</v>
      </c>
    </row>
    <row r="3099" spans="1:10" ht="38.25">
      <c r="A3099" s="3" t="s">
        <v>1811</v>
      </c>
      <c r="B3099" s="3" t="s">
        <v>3956</v>
      </c>
      <c r="C3099" s="4">
        <v>34</v>
      </c>
      <c r="D3099" s="3" t="s">
        <v>136</v>
      </c>
      <c r="E3099" s="3" t="s">
        <v>30</v>
      </c>
      <c r="F3099" s="5">
        <v>11756.04</v>
      </c>
      <c r="G3099" s="5">
        <v>12821.49</v>
      </c>
      <c r="H3099" s="5">
        <f t="shared" si="96"/>
        <v>1065.4499999999989</v>
      </c>
      <c r="I3099" s="9">
        <f t="shared" si="97"/>
        <v>9.0630008063939727E-2</v>
      </c>
      <c r="J3099" s="3" t="s">
        <v>4603</v>
      </c>
    </row>
    <row r="3100" spans="1:10" ht="25.5">
      <c r="A3100" s="3" t="s">
        <v>1811</v>
      </c>
      <c r="B3100" s="3" t="s">
        <v>3957</v>
      </c>
      <c r="C3100" s="4">
        <v>217</v>
      </c>
      <c r="D3100" s="3" t="s">
        <v>253</v>
      </c>
      <c r="E3100" s="3" t="s">
        <v>13</v>
      </c>
      <c r="F3100" s="5">
        <v>0</v>
      </c>
      <c r="G3100" s="5">
        <v>14272.47</v>
      </c>
      <c r="H3100" s="5">
        <f t="shared" si="96"/>
        <v>14272.47</v>
      </c>
      <c r="I3100" s="9">
        <f t="shared" si="97"/>
        <v>0</v>
      </c>
      <c r="J3100" s="3" t="s">
        <v>4603</v>
      </c>
    </row>
    <row r="3101" spans="1:10" ht="38.25">
      <c r="A3101" s="3" t="s">
        <v>1811</v>
      </c>
      <c r="B3101" s="3" t="s">
        <v>3958</v>
      </c>
      <c r="C3101" s="4">
        <v>371</v>
      </c>
      <c r="D3101" s="3" t="s">
        <v>29</v>
      </c>
      <c r="E3101" s="3" t="s">
        <v>30</v>
      </c>
      <c r="F3101" s="5">
        <v>8506.44</v>
      </c>
      <c r="G3101" s="5">
        <v>7431.3</v>
      </c>
      <c r="H3101" s="5">
        <f t="shared" si="96"/>
        <v>-1075.1400000000003</v>
      </c>
      <c r="I3101" s="9">
        <f t="shared" si="97"/>
        <v>-0.12639129882771172</v>
      </c>
      <c r="J3101" s="3" t="s">
        <v>4603</v>
      </c>
    </row>
    <row r="3102" spans="1:10">
      <c r="A3102" s="3" t="s">
        <v>1811</v>
      </c>
      <c r="B3102" s="3" t="s">
        <v>3959</v>
      </c>
      <c r="C3102" s="4">
        <v>315</v>
      </c>
      <c r="D3102" s="3" t="s">
        <v>79</v>
      </c>
      <c r="E3102" s="3" t="s">
        <v>8</v>
      </c>
      <c r="F3102" s="5">
        <v>6252.06</v>
      </c>
      <c r="G3102" s="5">
        <v>5743.32</v>
      </c>
      <c r="H3102" s="5">
        <f t="shared" si="96"/>
        <v>-508.74000000000069</v>
      </c>
      <c r="I3102" s="9">
        <f t="shared" si="97"/>
        <v>-8.1371579927256077E-2</v>
      </c>
      <c r="J3102" s="3" t="s">
        <v>4603</v>
      </c>
    </row>
    <row r="3103" spans="1:10" ht="25.5">
      <c r="A3103" s="3" t="s">
        <v>1811</v>
      </c>
      <c r="B3103" s="3" t="s">
        <v>3960</v>
      </c>
      <c r="C3103" s="4">
        <v>273</v>
      </c>
      <c r="D3103" s="3" t="s">
        <v>771</v>
      </c>
      <c r="E3103" s="3" t="s">
        <v>13</v>
      </c>
      <c r="F3103" s="5">
        <v>3008.19</v>
      </c>
      <c r="G3103" s="5">
        <v>0</v>
      </c>
      <c r="H3103" s="5">
        <f t="shared" si="96"/>
        <v>-3008.19</v>
      </c>
      <c r="I3103" s="9">
        <f t="shared" si="97"/>
        <v>-1</v>
      </c>
      <c r="J3103" s="3" t="s">
        <v>4604</v>
      </c>
    </row>
    <row r="3104" spans="1:10">
      <c r="A3104" s="3" t="s">
        <v>1811</v>
      </c>
      <c r="B3104" s="3" t="s">
        <v>3961</v>
      </c>
      <c r="C3104" s="4">
        <v>240</v>
      </c>
      <c r="D3104" s="3" t="s">
        <v>152</v>
      </c>
      <c r="E3104" s="3" t="s">
        <v>13</v>
      </c>
      <c r="F3104" s="5">
        <v>3218.46</v>
      </c>
      <c r="G3104" s="5">
        <v>0</v>
      </c>
      <c r="H3104" s="5">
        <f t="shared" si="96"/>
        <v>-3218.46</v>
      </c>
      <c r="I3104" s="9">
        <f t="shared" si="97"/>
        <v>-1</v>
      </c>
      <c r="J3104" s="3" t="s">
        <v>4603</v>
      </c>
    </row>
    <row r="3105" spans="1:10" ht="25.5">
      <c r="A3105" s="3" t="s">
        <v>1811</v>
      </c>
      <c r="B3105" s="3" t="s">
        <v>3962</v>
      </c>
      <c r="C3105" s="4">
        <v>337</v>
      </c>
      <c r="D3105" s="3" t="s">
        <v>218</v>
      </c>
      <c r="E3105" s="3" t="s">
        <v>13</v>
      </c>
      <c r="F3105" s="5">
        <v>7112.76</v>
      </c>
      <c r="G3105" s="5">
        <v>4260.8999999999996</v>
      </c>
      <c r="H3105" s="5">
        <f t="shared" si="96"/>
        <v>-2851.8600000000006</v>
      </c>
      <c r="I3105" s="9">
        <f t="shared" si="97"/>
        <v>-0.40094984225532715</v>
      </c>
      <c r="J3105" s="3" t="s">
        <v>4603</v>
      </c>
    </row>
    <row r="3106" spans="1:10" ht="25.5">
      <c r="A3106" s="3" t="s">
        <v>1811</v>
      </c>
      <c r="B3106" s="3" t="s">
        <v>3963</v>
      </c>
      <c r="C3106" s="4">
        <v>208</v>
      </c>
      <c r="D3106" s="3" t="s">
        <v>58</v>
      </c>
      <c r="E3106" s="3" t="s">
        <v>13</v>
      </c>
      <c r="F3106" s="5">
        <v>45581.279999999999</v>
      </c>
      <c r="G3106" s="5">
        <v>44529.72</v>
      </c>
      <c r="H3106" s="5">
        <f t="shared" si="96"/>
        <v>-1051.5599999999977</v>
      </c>
      <c r="I3106" s="9">
        <f t="shared" si="97"/>
        <v>-2.3069997156727418E-2</v>
      </c>
      <c r="J3106" s="3" t="s">
        <v>4603</v>
      </c>
    </row>
    <row r="3107" spans="1:10" ht="38.25">
      <c r="A3107" s="3" t="s">
        <v>1811</v>
      </c>
      <c r="B3107" s="3" t="s">
        <v>3964</v>
      </c>
      <c r="C3107" s="4">
        <v>167</v>
      </c>
      <c r="D3107" s="3" t="s">
        <v>335</v>
      </c>
      <c r="E3107" s="3" t="s">
        <v>30</v>
      </c>
      <c r="F3107" s="5">
        <v>8110.44</v>
      </c>
      <c r="G3107" s="5">
        <v>0</v>
      </c>
      <c r="H3107" s="5">
        <f t="shared" si="96"/>
        <v>-8110.44</v>
      </c>
      <c r="I3107" s="9">
        <f t="shared" si="97"/>
        <v>-1</v>
      </c>
      <c r="J3107" s="3" t="s">
        <v>4603</v>
      </c>
    </row>
    <row r="3108" spans="1:10" ht="38.25">
      <c r="A3108" s="3" t="s">
        <v>1811</v>
      </c>
      <c r="B3108" s="3" t="s">
        <v>3965</v>
      </c>
      <c r="C3108" s="4">
        <v>143</v>
      </c>
      <c r="D3108" s="3" t="s">
        <v>21</v>
      </c>
      <c r="E3108" s="3" t="s">
        <v>22</v>
      </c>
      <c r="F3108" s="5">
        <v>0</v>
      </c>
      <c r="G3108" s="5">
        <v>19983.59</v>
      </c>
      <c r="H3108" s="5">
        <f t="shared" si="96"/>
        <v>19983.59</v>
      </c>
      <c r="I3108" s="9">
        <f t="shared" si="97"/>
        <v>0</v>
      </c>
      <c r="J3108" s="3" t="s">
        <v>4603</v>
      </c>
    </row>
    <row r="3109" spans="1:10" ht="25.5">
      <c r="A3109" s="3" t="s">
        <v>1811</v>
      </c>
      <c r="B3109" s="3" t="s">
        <v>3966</v>
      </c>
      <c r="C3109" s="4">
        <v>197</v>
      </c>
      <c r="D3109" s="3" t="s">
        <v>23</v>
      </c>
      <c r="E3109" s="3" t="s">
        <v>22</v>
      </c>
      <c r="F3109" s="5">
        <v>20924.48</v>
      </c>
      <c r="G3109" s="5">
        <v>44585.957000000002</v>
      </c>
      <c r="H3109" s="5">
        <f t="shared" si="96"/>
        <v>23661.477000000003</v>
      </c>
      <c r="I3109" s="9">
        <f t="shared" si="97"/>
        <v>1.1308035850831182</v>
      </c>
      <c r="J3109" s="3" t="s">
        <v>4603</v>
      </c>
    </row>
    <row r="3110" spans="1:10" ht="25.5">
      <c r="A3110" s="3" t="s">
        <v>1811</v>
      </c>
      <c r="B3110" s="3" t="s">
        <v>3967</v>
      </c>
      <c r="C3110" s="4">
        <v>231</v>
      </c>
      <c r="D3110" s="3" t="s">
        <v>89</v>
      </c>
      <c r="E3110" s="3" t="s">
        <v>8</v>
      </c>
      <c r="F3110" s="5">
        <v>3815.28</v>
      </c>
      <c r="G3110" s="5">
        <v>0</v>
      </c>
      <c r="H3110" s="5">
        <f t="shared" si="96"/>
        <v>-3815.28</v>
      </c>
      <c r="I3110" s="9">
        <f t="shared" si="97"/>
        <v>-1</v>
      </c>
      <c r="J3110" s="3" t="s">
        <v>4603</v>
      </c>
    </row>
    <row r="3111" spans="1:10" ht="25.5">
      <c r="A3111" s="3" t="s">
        <v>1811</v>
      </c>
      <c r="B3111" s="3" t="s">
        <v>3968</v>
      </c>
      <c r="C3111" s="4">
        <v>23</v>
      </c>
      <c r="D3111" s="3" t="s">
        <v>71</v>
      </c>
      <c r="E3111" s="3" t="s">
        <v>8</v>
      </c>
      <c r="F3111" s="5">
        <v>3737.28</v>
      </c>
      <c r="G3111" s="5">
        <v>6394.08</v>
      </c>
      <c r="H3111" s="5">
        <f t="shared" si="96"/>
        <v>2656.7999999999997</v>
      </c>
      <c r="I3111" s="9">
        <f t="shared" si="97"/>
        <v>0.71089134343693794</v>
      </c>
      <c r="J3111" s="3" t="s">
        <v>4603</v>
      </c>
    </row>
    <row r="3112" spans="1:10" ht="25.5">
      <c r="A3112" s="3" t="s">
        <v>1811</v>
      </c>
      <c r="B3112" s="3" t="s">
        <v>3969</v>
      </c>
      <c r="C3112" s="4">
        <v>61</v>
      </c>
      <c r="D3112" s="3" t="s">
        <v>114</v>
      </c>
      <c r="E3112" s="3" t="s">
        <v>30</v>
      </c>
      <c r="F3112" s="5">
        <v>0</v>
      </c>
      <c r="G3112" s="5">
        <v>14760.6</v>
      </c>
      <c r="H3112" s="5">
        <f t="shared" si="96"/>
        <v>14760.6</v>
      </c>
      <c r="I3112" s="9">
        <f t="shared" si="97"/>
        <v>0</v>
      </c>
      <c r="J3112" s="3" t="s">
        <v>4603</v>
      </c>
    </row>
    <row r="3113" spans="1:10" ht="38.25">
      <c r="A3113" s="3" t="s">
        <v>1811</v>
      </c>
      <c r="B3113" s="3" t="s">
        <v>3970</v>
      </c>
      <c r="C3113" s="4">
        <v>11</v>
      </c>
      <c r="D3113" s="3" t="s">
        <v>55</v>
      </c>
      <c r="E3113" s="3" t="s">
        <v>18</v>
      </c>
      <c r="F3113" s="5">
        <v>0</v>
      </c>
      <c r="G3113" s="5">
        <v>14300.52</v>
      </c>
      <c r="H3113" s="5">
        <f t="shared" si="96"/>
        <v>14300.52</v>
      </c>
      <c r="I3113" s="9">
        <f t="shared" si="97"/>
        <v>0</v>
      </c>
      <c r="J3113" s="3" t="s">
        <v>4603</v>
      </c>
    </row>
    <row r="3114" spans="1:10" ht="25.5">
      <c r="A3114" s="3" t="s">
        <v>1811</v>
      </c>
      <c r="B3114" s="3" t="s">
        <v>3971</v>
      </c>
      <c r="C3114" s="4">
        <v>23</v>
      </c>
      <c r="D3114" s="3" t="s">
        <v>71</v>
      </c>
      <c r="E3114" s="3" t="s">
        <v>8</v>
      </c>
      <c r="F3114" s="5">
        <v>0</v>
      </c>
      <c r="G3114" s="5">
        <v>4675.2</v>
      </c>
      <c r="H3114" s="5">
        <f t="shared" si="96"/>
        <v>4675.2</v>
      </c>
      <c r="I3114" s="9">
        <f t="shared" si="97"/>
        <v>0</v>
      </c>
      <c r="J3114" s="3" t="s">
        <v>4603</v>
      </c>
    </row>
    <row r="3115" spans="1:10" ht="25.5">
      <c r="A3115" s="3" t="s">
        <v>1811</v>
      </c>
      <c r="B3115" s="3" t="s">
        <v>3972</v>
      </c>
      <c r="C3115" s="4">
        <v>74</v>
      </c>
      <c r="D3115" s="3" t="s">
        <v>86</v>
      </c>
      <c r="E3115" s="3" t="s">
        <v>8</v>
      </c>
      <c r="F3115" s="5">
        <v>28213.68</v>
      </c>
      <c r="G3115" s="5">
        <v>15684.6</v>
      </c>
      <c r="H3115" s="5">
        <f t="shared" si="96"/>
        <v>-12529.08</v>
      </c>
      <c r="I3115" s="9">
        <f t="shared" si="97"/>
        <v>-0.44407819185586561</v>
      </c>
      <c r="J3115" s="3" t="s">
        <v>4604</v>
      </c>
    </row>
    <row r="3116" spans="1:10" ht="38.25">
      <c r="A3116" s="3" t="s">
        <v>1811</v>
      </c>
      <c r="B3116" s="3" t="s">
        <v>3973</v>
      </c>
      <c r="C3116" s="4">
        <v>335</v>
      </c>
      <c r="D3116" s="3" t="s">
        <v>7</v>
      </c>
      <c r="E3116" s="3" t="s">
        <v>8</v>
      </c>
      <c r="F3116" s="5">
        <v>0</v>
      </c>
      <c r="G3116" s="5">
        <v>14838.06</v>
      </c>
      <c r="H3116" s="5">
        <f t="shared" si="96"/>
        <v>14838.06</v>
      </c>
      <c r="I3116" s="9">
        <f t="shared" si="97"/>
        <v>0</v>
      </c>
      <c r="J3116" s="3" t="s">
        <v>4603</v>
      </c>
    </row>
    <row r="3117" spans="1:10" ht="25.5">
      <c r="A3117" s="3" t="s">
        <v>1811</v>
      </c>
      <c r="B3117" s="3" t="s">
        <v>3974</v>
      </c>
      <c r="C3117" s="4">
        <v>93</v>
      </c>
      <c r="D3117" s="3" t="s">
        <v>42</v>
      </c>
      <c r="E3117" s="3" t="s">
        <v>8</v>
      </c>
      <c r="F3117" s="5">
        <v>0</v>
      </c>
      <c r="G3117" s="5">
        <v>6896.76</v>
      </c>
      <c r="H3117" s="5">
        <f t="shared" si="96"/>
        <v>6896.76</v>
      </c>
      <c r="I3117" s="9">
        <f t="shared" si="97"/>
        <v>0</v>
      </c>
      <c r="J3117" s="3" t="s">
        <v>4603</v>
      </c>
    </row>
    <row r="3118" spans="1:10" ht="25.5">
      <c r="A3118" s="3" t="s">
        <v>1811</v>
      </c>
      <c r="B3118" s="3" t="s">
        <v>3975</v>
      </c>
      <c r="C3118" s="4">
        <v>297</v>
      </c>
      <c r="D3118" s="3" t="s">
        <v>209</v>
      </c>
      <c r="E3118" s="3" t="s">
        <v>22</v>
      </c>
      <c r="F3118" s="5">
        <v>0</v>
      </c>
      <c r="G3118" s="5">
        <v>12876.54</v>
      </c>
      <c r="H3118" s="5">
        <f t="shared" si="96"/>
        <v>12876.54</v>
      </c>
      <c r="I3118" s="9">
        <f t="shared" si="97"/>
        <v>0</v>
      </c>
      <c r="J3118" s="3" t="s">
        <v>4603</v>
      </c>
    </row>
    <row r="3119" spans="1:10" ht="25.5">
      <c r="A3119" s="3" t="s">
        <v>1811</v>
      </c>
      <c r="B3119" s="3" t="s">
        <v>3976</v>
      </c>
      <c r="C3119" s="4">
        <v>53</v>
      </c>
      <c r="D3119" s="3" t="s">
        <v>340</v>
      </c>
      <c r="E3119" s="3" t="s">
        <v>13</v>
      </c>
      <c r="F3119" s="5">
        <v>0</v>
      </c>
      <c r="G3119" s="5">
        <v>4047.84</v>
      </c>
      <c r="H3119" s="5">
        <f t="shared" si="96"/>
        <v>4047.84</v>
      </c>
      <c r="I3119" s="9">
        <f t="shared" si="97"/>
        <v>0</v>
      </c>
      <c r="J3119" s="3" t="s">
        <v>4603</v>
      </c>
    </row>
    <row r="3120" spans="1:10" ht="25.5">
      <c r="A3120" s="3" t="s">
        <v>1811</v>
      </c>
      <c r="B3120" s="3" t="s">
        <v>3977</v>
      </c>
      <c r="C3120" s="4">
        <v>270</v>
      </c>
      <c r="D3120" s="3" t="s">
        <v>312</v>
      </c>
      <c r="E3120" s="3" t="s">
        <v>30</v>
      </c>
      <c r="F3120" s="5">
        <v>0</v>
      </c>
      <c r="G3120" s="5">
        <v>4854.24</v>
      </c>
      <c r="H3120" s="5">
        <f t="shared" si="96"/>
        <v>4854.24</v>
      </c>
      <c r="I3120" s="9">
        <f t="shared" si="97"/>
        <v>0</v>
      </c>
      <c r="J3120" s="3" t="s">
        <v>4603</v>
      </c>
    </row>
    <row r="3121" spans="1:10" ht="25.5">
      <c r="A3121" s="3" t="s">
        <v>1811</v>
      </c>
      <c r="B3121" s="3" t="s">
        <v>3978</v>
      </c>
      <c r="C3121" s="4">
        <v>74</v>
      </c>
      <c r="D3121" s="3" t="s">
        <v>86</v>
      </c>
      <c r="E3121" s="3" t="s">
        <v>8</v>
      </c>
      <c r="F3121" s="5">
        <v>27693.9</v>
      </c>
      <c r="G3121" s="5">
        <v>0</v>
      </c>
      <c r="H3121" s="5">
        <f t="shared" si="96"/>
        <v>-27693.9</v>
      </c>
      <c r="I3121" s="9">
        <f t="shared" si="97"/>
        <v>-1</v>
      </c>
      <c r="J3121" s="3" t="s">
        <v>4603</v>
      </c>
    </row>
    <row r="3122" spans="1:10" ht="25.5">
      <c r="A3122" s="3" t="s">
        <v>1811</v>
      </c>
      <c r="B3122" s="3" t="s">
        <v>3979</v>
      </c>
      <c r="C3122" s="4">
        <v>61</v>
      </c>
      <c r="D3122" s="3" t="s">
        <v>114</v>
      </c>
      <c r="E3122" s="3" t="s">
        <v>30</v>
      </c>
      <c r="F3122" s="5">
        <v>10330.32</v>
      </c>
      <c r="G3122" s="5">
        <v>19627.439999999999</v>
      </c>
      <c r="H3122" s="5">
        <f t="shared" si="96"/>
        <v>9297.119999999999</v>
      </c>
      <c r="I3122" s="9">
        <f t="shared" si="97"/>
        <v>0.89998373719303948</v>
      </c>
      <c r="J3122" s="3" t="s">
        <v>4603</v>
      </c>
    </row>
    <row r="3123" spans="1:10" ht="25.5">
      <c r="A3123" s="3" t="s">
        <v>1811</v>
      </c>
      <c r="B3123" s="3" t="s">
        <v>3980</v>
      </c>
      <c r="C3123" s="4">
        <v>74</v>
      </c>
      <c r="D3123" s="3" t="s">
        <v>86</v>
      </c>
      <c r="E3123" s="3" t="s">
        <v>8</v>
      </c>
      <c r="F3123" s="5">
        <v>10216.379999999999</v>
      </c>
      <c r="G3123" s="5">
        <v>0</v>
      </c>
      <c r="H3123" s="5">
        <f t="shared" si="96"/>
        <v>-10216.379999999999</v>
      </c>
      <c r="I3123" s="9">
        <f t="shared" si="97"/>
        <v>-1</v>
      </c>
      <c r="J3123" s="3" t="s">
        <v>4603</v>
      </c>
    </row>
    <row r="3124" spans="1:10" ht="38.25">
      <c r="A3124" s="3" t="s">
        <v>1811</v>
      </c>
      <c r="B3124" s="3" t="s">
        <v>3981</v>
      </c>
      <c r="C3124" s="4">
        <v>371</v>
      </c>
      <c r="D3124" s="3" t="s">
        <v>29</v>
      </c>
      <c r="E3124" s="3" t="s">
        <v>30</v>
      </c>
      <c r="F3124" s="5">
        <v>7020.72</v>
      </c>
      <c r="G3124" s="5">
        <v>0</v>
      </c>
      <c r="H3124" s="5">
        <f t="shared" si="96"/>
        <v>-7020.72</v>
      </c>
      <c r="I3124" s="9">
        <f t="shared" si="97"/>
        <v>-1</v>
      </c>
      <c r="J3124" s="3" t="s">
        <v>4603</v>
      </c>
    </row>
    <row r="3125" spans="1:10" ht="25.5">
      <c r="A3125" s="3" t="s">
        <v>1811</v>
      </c>
      <c r="B3125" s="3" t="s">
        <v>3982</v>
      </c>
      <c r="C3125" s="4">
        <v>23</v>
      </c>
      <c r="D3125" s="3" t="s">
        <v>71</v>
      </c>
      <c r="E3125" s="3" t="s">
        <v>8</v>
      </c>
      <c r="F3125" s="5">
        <v>0</v>
      </c>
      <c r="G3125" s="5">
        <v>9722.16</v>
      </c>
      <c r="H3125" s="5">
        <f t="shared" si="96"/>
        <v>9722.16</v>
      </c>
      <c r="I3125" s="9">
        <f t="shared" si="97"/>
        <v>0</v>
      </c>
      <c r="J3125" s="3" t="s">
        <v>4603</v>
      </c>
    </row>
    <row r="3126" spans="1:10" ht="25.5">
      <c r="A3126" s="3" t="s">
        <v>1811</v>
      </c>
      <c r="B3126" s="3" t="s">
        <v>3983</v>
      </c>
      <c r="C3126" s="4">
        <v>261</v>
      </c>
      <c r="D3126" s="3" t="s">
        <v>17</v>
      </c>
      <c r="E3126" s="3" t="s">
        <v>18</v>
      </c>
      <c r="F3126" s="5">
        <v>0</v>
      </c>
      <c r="G3126" s="5">
        <v>9012.84</v>
      </c>
      <c r="H3126" s="5">
        <f t="shared" si="96"/>
        <v>9012.84</v>
      </c>
      <c r="I3126" s="9">
        <f t="shared" si="97"/>
        <v>0</v>
      </c>
      <c r="J3126" s="3" t="s">
        <v>4603</v>
      </c>
    </row>
    <row r="3127" spans="1:10" ht="38.25">
      <c r="A3127" s="3" t="s">
        <v>1811</v>
      </c>
      <c r="B3127" s="3" t="s">
        <v>3984</v>
      </c>
      <c r="C3127" s="4">
        <v>45</v>
      </c>
      <c r="D3127" s="3" t="s">
        <v>16</v>
      </c>
      <c r="E3127" s="3" t="s">
        <v>8</v>
      </c>
      <c r="F3127" s="5">
        <v>13453.8</v>
      </c>
      <c r="G3127" s="5">
        <v>0</v>
      </c>
      <c r="H3127" s="5">
        <f t="shared" si="96"/>
        <v>-13453.8</v>
      </c>
      <c r="I3127" s="9">
        <f t="shared" si="97"/>
        <v>-1</v>
      </c>
      <c r="J3127" s="3" t="s">
        <v>4603</v>
      </c>
    </row>
    <row r="3128" spans="1:10" ht="25.5">
      <c r="A3128" s="3" t="s">
        <v>1811</v>
      </c>
      <c r="B3128" s="3" t="s">
        <v>3985</v>
      </c>
      <c r="C3128" s="4">
        <v>15</v>
      </c>
      <c r="D3128" s="3" t="s">
        <v>33</v>
      </c>
      <c r="E3128" s="3" t="s">
        <v>13</v>
      </c>
      <c r="F3128" s="5">
        <v>13731.6</v>
      </c>
      <c r="G3128" s="5">
        <v>0</v>
      </c>
      <c r="H3128" s="5">
        <f t="shared" si="96"/>
        <v>-13731.6</v>
      </c>
      <c r="I3128" s="9">
        <f t="shared" si="97"/>
        <v>-1</v>
      </c>
      <c r="J3128" s="3" t="s">
        <v>4603</v>
      </c>
    </row>
    <row r="3129" spans="1:10" ht="25.5">
      <c r="A3129" s="3" t="s">
        <v>1811</v>
      </c>
      <c r="B3129" s="3" t="s">
        <v>3986</v>
      </c>
      <c r="C3129" s="4">
        <v>23</v>
      </c>
      <c r="D3129" s="3" t="s">
        <v>71</v>
      </c>
      <c r="E3129" s="3" t="s">
        <v>8</v>
      </c>
      <c r="F3129" s="5">
        <v>0</v>
      </c>
      <c r="G3129" s="5">
        <v>4567.4399999999996</v>
      </c>
      <c r="H3129" s="5">
        <f t="shared" si="96"/>
        <v>4567.4399999999996</v>
      </c>
      <c r="I3129" s="9">
        <f t="shared" si="97"/>
        <v>0</v>
      </c>
      <c r="J3129" s="3" t="s">
        <v>4603</v>
      </c>
    </row>
    <row r="3130" spans="1:10" ht="25.5">
      <c r="A3130" s="3" t="s">
        <v>1811</v>
      </c>
      <c r="B3130" s="3" t="s">
        <v>3987</v>
      </c>
      <c r="C3130" s="4">
        <v>39</v>
      </c>
      <c r="D3130" s="3" t="s">
        <v>26</v>
      </c>
      <c r="E3130" s="3" t="s">
        <v>9</v>
      </c>
      <c r="F3130" s="5">
        <v>3239.52</v>
      </c>
      <c r="G3130" s="5">
        <v>0</v>
      </c>
      <c r="H3130" s="5">
        <f t="shared" si="96"/>
        <v>-3239.52</v>
      </c>
      <c r="I3130" s="9">
        <f t="shared" si="97"/>
        <v>-1</v>
      </c>
      <c r="J3130" s="3" t="s">
        <v>4603</v>
      </c>
    </row>
    <row r="3131" spans="1:10" ht="38.25">
      <c r="A3131" s="3" t="s">
        <v>1811</v>
      </c>
      <c r="B3131" s="3" t="s">
        <v>3988</v>
      </c>
      <c r="C3131" s="4">
        <v>38</v>
      </c>
      <c r="D3131" s="3" t="s">
        <v>229</v>
      </c>
      <c r="E3131" s="3" t="s">
        <v>30</v>
      </c>
      <c r="F3131" s="5">
        <v>0</v>
      </c>
      <c r="G3131" s="5">
        <v>3691.2</v>
      </c>
      <c r="H3131" s="5">
        <f t="shared" si="96"/>
        <v>3691.2</v>
      </c>
      <c r="I3131" s="9">
        <f t="shared" si="97"/>
        <v>0</v>
      </c>
      <c r="J3131" s="3" t="s">
        <v>4603</v>
      </c>
    </row>
    <row r="3132" spans="1:10" ht="25.5">
      <c r="A3132" s="3" t="s">
        <v>1811</v>
      </c>
      <c r="B3132" s="3" t="s">
        <v>3989</v>
      </c>
      <c r="C3132" s="4">
        <v>270</v>
      </c>
      <c r="D3132" s="3" t="s">
        <v>312</v>
      </c>
      <c r="E3132" s="3" t="s">
        <v>30</v>
      </c>
      <c r="F3132" s="5">
        <v>0</v>
      </c>
      <c r="G3132" s="5">
        <v>5726.88</v>
      </c>
      <c r="H3132" s="5">
        <f t="shared" si="96"/>
        <v>5726.88</v>
      </c>
      <c r="I3132" s="9">
        <f t="shared" si="97"/>
        <v>0</v>
      </c>
      <c r="J3132" s="3" t="s">
        <v>4603</v>
      </c>
    </row>
    <row r="3133" spans="1:10" ht="25.5">
      <c r="A3133" s="3" t="s">
        <v>1811</v>
      </c>
      <c r="B3133" s="3" t="s">
        <v>3990</v>
      </c>
      <c r="C3133" s="4">
        <v>218</v>
      </c>
      <c r="D3133" s="3" t="s">
        <v>155</v>
      </c>
      <c r="E3133" s="3" t="s">
        <v>13</v>
      </c>
      <c r="F3133" s="5">
        <v>3577.56</v>
      </c>
      <c r="G3133" s="5">
        <v>0</v>
      </c>
      <c r="H3133" s="5">
        <f t="shared" si="96"/>
        <v>-3577.56</v>
      </c>
      <c r="I3133" s="9">
        <f t="shared" si="97"/>
        <v>-1</v>
      </c>
      <c r="J3133" s="3" t="s">
        <v>4603</v>
      </c>
    </row>
    <row r="3134" spans="1:10" ht="25.5">
      <c r="A3134" s="3" t="s">
        <v>1811</v>
      </c>
      <c r="B3134" s="3" t="s">
        <v>3991</v>
      </c>
      <c r="C3134" s="4">
        <v>299</v>
      </c>
      <c r="D3134" s="3" t="s">
        <v>246</v>
      </c>
      <c r="E3134" s="3" t="s">
        <v>30</v>
      </c>
      <c r="F3134" s="5">
        <v>6365.04</v>
      </c>
      <c r="G3134" s="5">
        <v>3586.17</v>
      </c>
      <c r="H3134" s="5">
        <f t="shared" si="96"/>
        <v>-2778.87</v>
      </c>
      <c r="I3134" s="9">
        <f t="shared" si="97"/>
        <v>-0.43658327363221594</v>
      </c>
      <c r="J3134" s="3" t="s">
        <v>4603</v>
      </c>
    </row>
    <row r="3135" spans="1:10" ht="38.25">
      <c r="A3135" s="3" t="s">
        <v>1811</v>
      </c>
      <c r="B3135" s="3" t="s">
        <v>3992</v>
      </c>
      <c r="C3135" s="4">
        <v>45</v>
      </c>
      <c r="D3135" s="3" t="s">
        <v>16</v>
      </c>
      <c r="E3135" s="3" t="s">
        <v>8</v>
      </c>
      <c r="F3135" s="5">
        <v>17652.21</v>
      </c>
      <c r="G3135" s="5">
        <v>7366.08</v>
      </c>
      <c r="H3135" s="5">
        <f t="shared" si="96"/>
        <v>-10286.129999999999</v>
      </c>
      <c r="I3135" s="9">
        <f t="shared" si="97"/>
        <v>-0.58271060677388276</v>
      </c>
      <c r="J3135" s="3" t="s">
        <v>4603</v>
      </c>
    </row>
    <row r="3136" spans="1:10" ht="25.5">
      <c r="A3136" s="3" t="s">
        <v>1811</v>
      </c>
      <c r="B3136" s="3" t="s">
        <v>3993</v>
      </c>
      <c r="C3136" s="4">
        <v>61</v>
      </c>
      <c r="D3136" s="3" t="s">
        <v>114</v>
      </c>
      <c r="E3136" s="3" t="s">
        <v>30</v>
      </c>
      <c r="F3136" s="5">
        <v>20290.919999999998</v>
      </c>
      <c r="G3136" s="5">
        <v>19633.2</v>
      </c>
      <c r="H3136" s="5">
        <f t="shared" si="96"/>
        <v>-657.71999999999753</v>
      </c>
      <c r="I3136" s="9">
        <f t="shared" si="97"/>
        <v>-3.2414498701882288E-2</v>
      </c>
      <c r="J3136" s="3" t="s">
        <v>4603</v>
      </c>
    </row>
    <row r="3137" spans="1:10" ht="25.5">
      <c r="A3137" s="3" t="s">
        <v>1811</v>
      </c>
      <c r="B3137" s="3" t="s">
        <v>3994</v>
      </c>
      <c r="C3137" s="4">
        <v>327</v>
      </c>
      <c r="D3137" s="3" t="s">
        <v>76</v>
      </c>
      <c r="E3137" s="3" t="s">
        <v>8</v>
      </c>
      <c r="F3137" s="5">
        <v>0</v>
      </c>
      <c r="G3137" s="5">
        <v>5526.3670000000002</v>
      </c>
      <c r="H3137" s="5">
        <f t="shared" si="96"/>
        <v>5526.3670000000002</v>
      </c>
      <c r="I3137" s="9">
        <f t="shared" si="97"/>
        <v>0</v>
      </c>
      <c r="J3137" s="3" t="s">
        <v>4603</v>
      </c>
    </row>
    <row r="3138" spans="1:10" ht="38.25">
      <c r="A3138" s="3" t="s">
        <v>1811</v>
      </c>
      <c r="B3138" s="3" t="s">
        <v>3995</v>
      </c>
      <c r="C3138" s="4">
        <v>45</v>
      </c>
      <c r="D3138" s="3" t="s">
        <v>16</v>
      </c>
      <c r="E3138" s="3" t="s">
        <v>8</v>
      </c>
      <c r="F3138" s="5">
        <v>0</v>
      </c>
      <c r="G3138" s="5">
        <v>3892.2</v>
      </c>
      <c r="H3138" s="5">
        <f t="shared" si="96"/>
        <v>3892.2</v>
      </c>
      <c r="I3138" s="9">
        <f t="shared" si="97"/>
        <v>0</v>
      </c>
      <c r="J3138" s="3" t="s">
        <v>4603</v>
      </c>
    </row>
    <row r="3139" spans="1:10" ht="25.5">
      <c r="A3139" s="3" t="s">
        <v>1811</v>
      </c>
      <c r="B3139" s="3" t="s">
        <v>3996</v>
      </c>
      <c r="C3139" s="4">
        <v>317</v>
      </c>
      <c r="D3139" s="3" t="s">
        <v>54</v>
      </c>
      <c r="E3139" s="3" t="s">
        <v>18</v>
      </c>
      <c r="F3139" s="5">
        <v>0</v>
      </c>
      <c r="G3139" s="5">
        <v>4947.99</v>
      </c>
      <c r="H3139" s="5">
        <f t="shared" ref="H3139:H3202" si="98">G3139-F3139</f>
        <v>4947.99</v>
      </c>
      <c r="I3139" s="9">
        <f t="shared" ref="I3139:I3202" si="99">IFERROR(G3139/F3139-1,0)</f>
        <v>0</v>
      </c>
      <c r="J3139" s="3" t="s">
        <v>4603</v>
      </c>
    </row>
    <row r="3140" spans="1:10" ht="25.5">
      <c r="A3140" s="3" t="s">
        <v>1811</v>
      </c>
      <c r="B3140" s="3" t="s">
        <v>3997</v>
      </c>
      <c r="C3140" s="4">
        <v>19</v>
      </c>
      <c r="D3140" s="3" t="s">
        <v>53</v>
      </c>
      <c r="E3140" s="3" t="s">
        <v>22</v>
      </c>
      <c r="F3140" s="5">
        <v>0</v>
      </c>
      <c r="G3140" s="5">
        <v>14967.12</v>
      </c>
      <c r="H3140" s="5">
        <f t="shared" si="98"/>
        <v>14967.12</v>
      </c>
      <c r="I3140" s="9">
        <f t="shared" si="99"/>
        <v>0</v>
      </c>
      <c r="J3140" s="3" t="s">
        <v>4603</v>
      </c>
    </row>
    <row r="3141" spans="1:10" ht="25.5">
      <c r="A3141" s="3" t="s">
        <v>1811</v>
      </c>
      <c r="B3141" s="3" t="s">
        <v>3998</v>
      </c>
      <c r="C3141" s="4">
        <v>31</v>
      </c>
      <c r="D3141" s="3" t="s">
        <v>172</v>
      </c>
      <c r="E3141" s="3" t="s">
        <v>13</v>
      </c>
      <c r="F3141" s="5">
        <v>12883.92</v>
      </c>
      <c r="G3141" s="5">
        <v>19555.47</v>
      </c>
      <c r="H3141" s="5">
        <f t="shared" si="98"/>
        <v>6671.5500000000011</v>
      </c>
      <c r="I3141" s="9">
        <f t="shared" si="99"/>
        <v>0.51781988711510163</v>
      </c>
      <c r="J3141" s="3" t="s">
        <v>4603</v>
      </c>
    </row>
    <row r="3142" spans="1:10" ht="25.5">
      <c r="A3142" s="3" t="s">
        <v>1811</v>
      </c>
      <c r="B3142" s="3" t="s">
        <v>3999</v>
      </c>
      <c r="C3142" s="4">
        <v>208</v>
      </c>
      <c r="D3142" s="3" t="s">
        <v>58</v>
      </c>
      <c r="E3142" s="3" t="s">
        <v>13</v>
      </c>
      <c r="F3142" s="5">
        <v>9442.32</v>
      </c>
      <c r="G3142" s="5">
        <v>21454.799999999999</v>
      </c>
      <c r="H3142" s="5">
        <f t="shared" si="98"/>
        <v>12012.48</v>
      </c>
      <c r="I3142" s="9">
        <f t="shared" si="99"/>
        <v>1.2721958162824389</v>
      </c>
      <c r="J3142" s="3" t="s">
        <v>4603</v>
      </c>
    </row>
    <row r="3143" spans="1:10" ht="38.25">
      <c r="A3143" s="3" t="s">
        <v>1811</v>
      </c>
      <c r="B3143" s="3" t="s">
        <v>4000</v>
      </c>
      <c r="C3143" s="4">
        <v>38</v>
      </c>
      <c r="D3143" s="3" t="s">
        <v>229</v>
      </c>
      <c r="E3143" s="3" t="s">
        <v>30</v>
      </c>
      <c r="F3143" s="5">
        <v>10224.84</v>
      </c>
      <c r="G3143" s="5">
        <v>11903.68</v>
      </c>
      <c r="H3143" s="5">
        <f t="shared" si="98"/>
        <v>1678.8400000000001</v>
      </c>
      <c r="I3143" s="9">
        <f t="shared" si="99"/>
        <v>0.16419230031961374</v>
      </c>
      <c r="J3143" s="3" t="s">
        <v>4603</v>
      </c>
    </row>
    <row r="3144" spans="1:10" ht="25.5">
      <c r="A3144" s="3" t="s">
        <v>1811</v>
      </c>
      <c r="B3144" s="3" t="s">
        <v>4001</v>
      </c>
      <c r="C3144" s="4">
        <v>296</v>
      </c>
      <c r="D3144" s="3" t="s">
        <v>137</v>
      </c>
      <c r="E3144" s="3" t="s">
        <v>18</v>
      </c>
      <c r="F3144" s="5">
        <v>0</v>
      </c>
      <c r="G3144" s="5">
        <v>2481.7339999999999</v>
      </c>
      <c r="H3144" s="5">
        <f t="shared" si="98"/>
        <v>2481.7339999999999</v>
      </c>
      <c r="I3144" s="9">
        <f t="shared" si="99"/>
        <v>0</v>
      </c>
      <c r="J3144" s="3" t="s">
        <v>4603</v>
      </c>
    </row>
    <row r="3145" spans="1:10" ht="25.5">
      <c r="A3145" s="3" t="s">
        <v>1811</v>
      </c>
      <c r="B3145" s="3" t="s">
        <v>4001</v>
      </c>
      <c r="C3145" s="4">
        <v>296</v>
      </c>
      <c r="D3145" s="3" t="s">
        <v>137</v>
      </c>
      <c r="E3145" s="3" t="s">
        <v>30</v>
      </c>
      <c r="F3145" s="5">
        <v>0</v>
      </c>
      <c r="G3145" s="5">
        <v>2481.7339999999999</v>
      </c>
      <c r="H3145" s="5">
        <f t="shared" si="98"/>
        <v>2481.7339999999999</v>
      </c>
      <c r="I3145" s="9">
        <f t="shared" si="99"/>
        <v>0</v>
      </c>
      <c r="J3145" s="3" t="s">
        <v>4603</v>
      </c>
    </row>
    <row r="3146" spans="1:10" ht="38.25">
      <c r="A3146" s="3" t="s">
        <v>1811</v>
      </c>
      <c r="B3146" s="3" t="s">
        <v>4002</v>
      </c>
      <c r="C3146" s="4">
        <v>301</v>
      </c>
      <c r="D3146" s="3" t="s">
        <v>12</v>
      </c>
      <c r="E3146" s="3" t="s">
        <v>13</v>
      </c>
      <c r="F3146" s="5">
        <v>0</v>
      </c>
      <c r="G3146" s="5">
        <v>5324.16</v>
      </c>
      <c r="H3146" s="5">
        <f t="shared" si="98"/>
        <v>5324.16</v>
      </c>
      <c r="I3146" s="9">
        <f t="shared" si="99"/>
        <v>0</v>
      </c>
      <c r="J3146" s="3" t="s">
        <v>4603</v>
      </c>
    </row>
    <row r="3147" spans="1:10" ht="25.5">
      <c r="A3147" s="3" t="s">
        <v>1811</v>
      </c>
      <c r="B3147" s="3" t="s">
        <v>4003</v>
      </c>
      <c r="C3147" s="4">
        <v>327</v>
      </c>
      <c r="D3147" s="3" t="s">
        <v>76</v>
      </c>
      <c r="E3147" s="3" t="s">
        <v>8</v>
      </c>
      <c r="F3147" s="5">
        <v>11620.32</v>
      </c>
      <c r="G3147" s="5">
        <v>0</v>
      </c>
      <c r="H3147" s="5">
        <f t="shared" si="98"/>
        <v>-11620.32</v>
      </c>
      <c r="I3147" s="9">
        <f t="shared" si="99"/>
        <v>-1</v>
      </c>
      <c r="J3147" s="3" t="s">
        <v>4603</v>
      </c>
    </row>
    <row r="3148" spans="1:10" ht="25.5">
      <c r="A3148" s="3" t="s">
        <v>1811</v>
      </c>
      <c r="B3148" s="3" t="s">
        <v>4004</v>
      </c>
      <c r="C3148" s="4">
        <v>19</v>
      </c>
      <c r="D3148" s="3" t="s">
        <v>53</v>
      </c>
      <c r="E3148" s="3" t="s">
        <v>22</v>
      </c>
      <c r="F3148" s="5">
        <v>0</v>
      </c>
      <c r="G3148" s="5">
        <v>6381.45</v>
      </c>
      <c r="H3148" s="5">
        <f t="shared" si="98"/>
        <v>6381.45</v>
      </c>
      <c r="I3148" s="9">
        <f t="shared" si="99"/>
        <v>0</v>
      </c>
      <c r="J3148" s="3" t="s">
        <v>4603</v>
      </c>
    </row>
    <row r="3149" spans="1:10" ht="25.5">
      <c r="A3149" s="3" t="s">
        <v>1811</v>
      </c>
      <c r="B3149" s="3" t="s">
        <v>4005</v>
      </c>
      <c r="C3149" s="4">
        <v>335</v>
      </c>
      <c r="D3149" s="3" t="s">
        <v>7</v>
      </c>
      <c r="E3149" s="3" t="s">
        <v>8</v>
      </c>
      <c r="F3149" s="5">
        <v>0</v>
      </c>
      <c r="G3149" s="5">
        <v>18599.37</v>
      </c>
      <c r="H3149" s="5">
        <f t="shared" si="98"/>
        <v>18599.37</v>
      </c>
      <c r="I3149" s="9">
        <f t="shared" si="99"/>
        <v>0</v>
      </c>
      <c r="J3149" s="3" t="s">
        <v>4603</v>
      </c>
    </row>
    <row r="3150" spans="1:10">
      <c r="A3150" s="3" t="s">
        <v>1811</v>
      </c>
      <c r="B3150" s="3" t="s">
        <v>4006</v>
      </c>
      <c r="C3150" s="4">
        <v>231</v>
      </c>
      <c r="D3150" s="3" t="s">
        <v>89</v>
      </c>
      <c r="E3150" s="3" t="s">
        <v>8</v>
      </c>
      <c r="F3150" s="5">
        <v>26863.59</v>
      </c>
      <c r="G3150" s="5">
        <v>29423.7</v>
      </c>
      <c r="H3150" s="5">
        <f t="shared" si="98"/>
        <v>2560.1100000000006</v>
      </c>
      <c r="I3150" s="9">
        <f t="shared" si="99"/>
        <v>9.5300367523476925E-2</v>
      </c>
      <c r="J3150" s="3" t="s">
        <v>4603</v>
      </c>
    </row>
    <row r="3151" spans="1:10" ht="51">
      <c r="A3151" s="3" t="s">
        <v>1811</v>
      </c>
      <c r="B3151" s="3" t="s">
        <v>4007</v>
      </c>
      <c r="C3151" s="4">
        <v>282</v>
      </c>
      <c r="D3151" s="3" t="s">
        <v>298</v>
      </c>
      <c r="E3151" s="3" t="s">
        <v>9</v>
      </c>
      <c r="F3151" s="5">
        <v>0</v>
      </c>
      <c r="G3151" s="5">
        <v>6779.9219999999996</v>
      </c>
      <c r="H3151" s="5">
        <f t="shared" si="98"/>
        <v>6779.9219999999996</v>
      </c>
      <c r="I3151" s="9">
        <f t="shared" si="99"/>
        <v>0</v>
      </c>
      <c r="J3151" s="3" t="s">
        <v>4603</v>
      </c>
    </row>
    <row r="3152" spans="1:10" ht="25.5">
      <c r="A3152" s="3" t="s">
        <v>1811</v>
      </c>
      <c r="B3152" s="3" t="s">
        <v>4008</v>
      </c>
      <c r="C3152" s="4">
        <v>297</v>
      </c>
      <c r="D3152" s="3" t="s">
        <v>209</v>
      </c>
      <c r="E3152" s="3" t="s">
        <v>22</v>
      </c>
      <c r="F3152" s="5">
        <v>10526.29</v>
      </c>
      <c r="G3152" s="5">
        <v>30167.792000000001</v>
      </c>
      <c r="H3152" s="5">
        <f t="shared" si="98"/>
        <v>19641.502</v>
      </c>
      <c r="I3152" s="9">
        <f t="shared" si="99"/>
        <v>1.8659472615707906</v>
      </c>
      <c r="J3152" s="3" t="s">
        <v>4603</v>
      </c>
    </row>
    <row r="3153" spans="1:10" ht="38.25">
      <c r="A3153" s="3" t="s">
        <v>1811</v>
      </c>
      <c r="B3153" s="3" t="s">
        <v>4009</v>
      </c>
      <c r="C3153" s="4">
        <v>45</v>
      </c>
      <c r="D3153" s="3" t="s">
        <v>16</v>
      </c>
      <c r="E3153" s="3" t="s">
        <v>8</v>
      </c>
      <c r="F3153" s="5">
        <v>3167.4</v>
      </c>
      <c r="G3153" s="5">
        <v>0</v>
      </c>
      <c r="H3153" s="5">
        <f t="shared" si="98"/>
        <v>-3167.4</v>
      </c>
      <c r="I3153" s="9">
        <f t="shared" si="99"/>
        <v>-1</v>
      </c>
      <c r="J3153" s="3" t="s">
        <v>4603</v>
      </c>
    </row>
    <row r="3154" spans="1:10" ht="25.5">
      <c r="A3154" s="3" t="s">
        <v>1811</v>
      </c>
      <c r="B3154" s="3" t="s">
        <v>4010</v>
      </c>
      <c r="C3154" s="4">
        <v>19</v>
      </c>
      <c r="D3154" s="3" t="s">
        <v>53</v>
      </c>
      <c r="E3154" s="3" t="s">
        <v>22</v>
      </c>
      <c r="F3154" s="5">
        <v>0</v>
      </c>
      <c r="G3154" s="5">
        <v>3750.72</v>
      </c>
      <c r="H3154" s="5">
        <f t="shared" si="98"/>
        <v>3750.72</v>
      </c>
      <c r="I3154" s="9">
        <f t="shared" si="99"/>
        <v>0</v>
      </c>
      <c r="J3154" s="3" t="s">
        <v>4603</v>
      </c>
    </row>
    <row r="3155" spans="1:10" ht="25.5">
      <c r="A3155" s="3" t="s">
        <v>1811</v>
      </c>
      <c r="B3155" s="3" t="s">
        <v>4011</v>
      </c>
      <c r="C3155" s="4">
        <v>240</v>
      </c>
      <c r="D3155" s="3" t="s">
        <v>152</v>
      </c>
      <c r="E3155" s="3" t="s">
        <v>13</v>
      </c>
      <c r="F3155" s="5">
        <v>0</v>
      </c>
      <c r="G3155" s="5">
        <v>10931.52</v>
      </c>
      <c r="H3155" s="5">
        <f t="shared" si="98"/>
        <v>10931.52</v>
      </c>
      <c r="I3155" s="9">
        <f t="shared" si="99"/>
        <v>0</v>
      </c>
      <c r="J3155" s="3" t="s">
        <v>4603</v>
      </c>
    </row>
    <row r="3156" spans="1:10" ht="25.5">
      <c r="A3156" s="3" t="s">
        <v>1811</v>
      </c>
      <c r="B3156" s="3" t="s">
        <v>4012</v>
      </c>
      <c r="C3156" s="4">
        <v>327</v>
      </c>
      <c r="D3156" s="3" t="s">
        <v>76</v>
      </c>
      <c r="E3156" s="3" t="s">
        <v>8</v>
      </c>
      <c r="F3156" s="5">
        <v>0</v>
      </c>
      <c r="G3156" s="5">
        <v>10728.06</v>
      </c>
      <c r="H3156" s="5">
        <f t="shared" si="98"/>
        <v>10728.06</v>
      </c>
      <c r="I3156" s="9">
        <f t="shared" si="99"/>
        <v>0</v>
      </c>
      <c r="J3156" s="3" t="s">
        <v>4603</v>
      </c>
    </row>
    <row r="3157" spans="1:10" ht="25.5">
      <c r="A3157" s="3" t="s">
        <v>1811</v>
      </c>
      <c r="B3157" s="3" t="s">
        <v>4013</v>
      </c>
      <c r="C3157" s="4">
        <v>321</v>
      </c>
      <c r="D3157" s="3" t="s">
        <v>125</v>
      </c>
      <c r="E3157" s="3" t="s">
        <v>22</v>
      </c>
      <c r="F3157" s="5">
        <v>10461.209999999999</v>
      </c>
      <c r="G3157" s="5">
        <v>16577.580000000002</v>
      </c>
      <c r="H3157" s="5">
        <f t="shared" si="98"/>
        <v>6116.3700000000026</v>
      </c>
      <c r="I3157" s="9">
        <f t="shared" si="99"/>
        <v>0.5846713716673313</v>
      </c>
      <c r="J3157" s="3" t="s">
        <v>4603</v>
      </c>
    </row>
    <row r="3158" spans="1:10" ht="25.5">
      <c r="A3158" s="3" t="s">
        <v>1811</v>
      </c>
      <c r="B3158" s="3" t="s">
        <v>4014</v>
      </c>
      <c r="C3158" s="4">
        <v>328</v>
      </c>
      <c r="D3158" s="3" t="s">
        <v>158</v>
      </c>
      <c r="E3158" s="3" t="s">
        <v>22</v>
      </c>
      <c r="F3158" s="5">
        <v>18264.18</v>
      </c>
      <c r="G3158" s="5">
        <v>0</v>
      </c>
      <c r="H3158" s="5">
        <f t="shared" si="98"/>
        <v>-18264.18</v>
      </c>
      <c r="I3158" s="9">
        <f t="shared" si="99"/>
        <v>-1</v>
      </c>
      <c r="J3158" s="3" t="s">
        <v>4603</v>
      </c>
    </row>
    <row r="3159" spans="1:10" ht="25.5">
      <c r="A3159" s="3" t="s">
        <v>1811</v>
      </c>
      <c r="B3159" s="3" t="s">
        <v>4015</v>
      </c>
      <c r="C3159" s="4">
        <v>74</v>
      </c>
      <c r="D3159" s="3" t="s">
        <v>86</v>
      </c>
      <c r="E3159" s="3" t="s">
        <v>8</v>
      </c>
      <c r="F3159" s="5">
        <v>0</v>
      </c>
      <c r="G3159" s="5">
        <v>25177.98</v>
      </c>
      <c r="H3159" s="5">
        <f t="shared" si="98"/>
        <v>25177.98</v>
      </c>
      <c r="I3159" s="9">
        <f t="shared" si="99"/>
        <v>0</v>
      </c>
      <c r="J3159" s="3" t="s">
        <v>4603</v>
      </c>
    </row>
    <row r="3160" spans="1:10" ht="25.5">
      <c r="A3160" s="3" t="s">
        <v>1811</v>
      </c>
      <c r="B3160" s="3" t="s">
        <v>4016</v>
      </c>
      <c r="C3160" s="4">
        <v>217</v>
      </c>
      <c r="D3160" s="3" t="s">
        <v>253</v>
      </c>
      <c r="E3160" s="3" t="s">
        <v>13</v>
      </c>
      <c r="F3160" s="5">
        <v>0</v>
      </c>
      <c r="G3160" s="5">
        <v>27898.92</v>
      </c>
      <c r="H3160" s="5">
        <f t="shared" si="98"/>
        <v>27898.92</v>
      </c>
      <c r="I3160" s="9">
        <f t="shared" si="99"/>
        <v>0</v>
      </c>
      <c r="J3160" s="3" t="s">
        <v>4603</v>
      </c>
    </row>
    <row r="3161" spans="1:10" ht="38.25">
      <c r="A3161" s="3" t="s">
        <v>1811</v>
      </c>
      <c r="B3161" s="3" t="s">
        <v>4017</v>
      </c>
      <c r="C3161" s="4">
        <v>317</v>
      </c>
      <c r="D3161" s="3" t="s">
        <v>54</v>
      </c>
      <c r="E3161" s="3" t="s">
        <v>18</v>
      </c>
      <c r="F3161" s="5">
        <v>9022.92</v>
      </c>
      <c r="G3161" s="5">
        <v>0</v>
      </c>
      <c r="H3161" s="5">
        <f t="shared" si="98"/>
        <v>-9022.92</v>
      </c>
      <c r="I3161" s="9">
        <f t="shared" si="99"/>
        <v>-1</v>
      </c>
      <c r="J3161" s="3" t="s">
        <v>4603</v>
      </c>
    </row>
    <row r="3162" spans="1:10" ht="25.5">
      <c r="A3162" s="3" t="s">
        <v>1811</v>
      </c>
      <c r="B3162" s="3" t="s">
        <v>4018</v>
      </c>
      <c r="C3162" s="4">
        <v>266</v>
      </c>
      <c r="D3162" s="3" t="s">
        <v>111</v>
      </c>
      <c r="E3162" s="3" t="s">
        <v>18</v>
      </c>
      <c r="F3162" s="5">
        <v>0</v>
      </c>
      <c r="G3162" s="5">
        <v>7472.5569999999998</v>
      </c>
      <c r="H3162" s="5">
        <f t="shared" si="98"/>
        <v>7472.5569999999998</v>
      </c>
      <c r="I3162" s="9">
        <f t="shared" si="99"/>
        <v>0</v>
      </c>
      <c r="J3162" s="3" t="s">
        <v>4603</v>
      </c>
    </row>
    <row r="3163" spans="1:10" ht="51">
      <c r="A3163" s="3" t="s">
        <v>1811</v>
      </c>
      <c r="B3163" s="3" t="s">
        <v>4019</v>
      </c>
      <c r="C3163" s="4">
        <v>282</v>
      </c>
      <c r="D3163" s="3" t="s">
        <v>298</v>
      </c>
      <c r="E3163" s="3" t="s">
        <v>9</v>
      </c>
      <c r="F3163" s="5">
        <v>0</v>
      </c>
      <c r="G3163" s="5">
        <v>20233.756000000001</v>
      </c>
      <c r="H3163" s="5">
        <f t="shared" si="98"/>
        <v>20233.756000000001</v>
      </c>
      <c r="I3163" s="9">
        <f t="shared" si="99"/>
        <v>0</v>
      </c>
      <c r="J3163" s="3" t="s">
        <v>4603</v>
      </c>
    </row>
    <row r="3164" spans="1:10" ht="25.5">
      <c r="A3164" s="3" t="s">
        <v>1811</v>
      </c>
      <c r="B3164" s="3" t="s">
        <v>4020</v>
      </c>
      <c r="C3164" s="4">
        <v>299</v>
      </c>
      <c r="D3164" s="3" t="s">
        <v>246</v>
      </c>
      <c r="E3164" s="3" t="s">
        <v>30</v>
      </c>
      <c r="F3164" s="5">
        <v>3439.8</v>
      </c>
      <c r="G3164" s="5">
        <v>0</v>
      </c>
      <c r="H3164" s="5">
        <f t="shared" si="98"/>
        <v>-3439.8</v>
      </c>
      <c r="I3164" s="9">
        <f t="shared" si="99"/>
        <v>-1</v>
      </c>
      <c r="J3164" s="3" t="s">
        <v>4603</v>
      </c>
    </row>
    <row r="3165" spans="1:10" ht="38.25">
      <c r="A3165" s="3" t="s">
        <v>1811</v>
      </c>
      <c r="B3165" s="3" t="s">
        <v>4021</v>
      </c>
      <c r="C3165" s="4">
        <v>371</v>
      </c>
      <c r="D3165" s="3" t="s">
        <v>29</v>
      </c>
      <c r="E3165" s="3" t="s">
        <v>30</v>
      </c>
      <c r="F3165" s="5">
        <v>11793.81</v>
      </c>
      <c r="G3165" s="5">
        <v>12753.72</v>
      </c>
      <c r="H3165" s="5">
        <f t="shared" si="98"/>
        <v>959.90999999999985</v>
      </c>
      <c r="I3165" s="9">
        <f t="shared" si="99"/>
        <v>8.1391000872491626E-2</v>
      </c>
      <c r="J3165" s="3" t="s">
        <v>4603</v>
      </c>
    </row>
    <row r="3166" spans="1:10" ht="25.5">
      <c r="A3166" s="3" t="s">
        <v>1811</v>
      </c>
      <c r="B3166" s="3" t="s">
        <v>4022</v>
      </c>
      <c r="C3166" s="4">
        <v>53</v>
      </c>
      <c r="D3166" s="3" t="s">
        <v>340</v>
      </c>
      <c r="E3166" s="3" t="s">
        <v>13</v>
      </c>
      <c r="F3166" s="5">
        <v>15957.12</v>
      </c>
      <c r="G3166" s="5">
        <v>0</v>
      </c>
      <c r="H3166" s="5">
        <f t="shared" si="98"/>
        <v>-15957.12</v>
      </c>
      <c r="I3166" s="9">
        <f t="shared" si="99"/>
        <v>-1</v>
      </c>
      <c r="J3166" s="3" t="s">
        <v>4603</v>
      </c>
    </row>
    <row r="3167" spans="1:10" ht="25.5">
      <c r="A3167" s="3" t="s">
        <v>1811</v>
      </c>
      <c r="B3167" s="3" t="s">
        <v>4023</v>
      </c>
      <c r="C3167" s="4">
        <v>197</v>
      </c>
      <c r="D3167" s="3" t="s">
        <v>23</v>
      </c>
      <c r="E3167" s="3" t="s">
        <v>22</v>
      </c>
      <c r="F3167" s="5">
        <v>10519.35</v>
      </c>
      <c r="G3167" s="5">
        <v>12522.09</v>
      </c>
      <c r="H3167" s="5">
        <f t="shared" si="98"/>
        <v>2002.7399999999998</v>
      </c>
      <c r="I3167" s="9">
        <f t="shared" si="99"/>
        <v>0.19038628812616754</v>
      </c>
      <c r="J3167" s="3" t="s">
        <v>4603</v>
      </c>
    </row>
    <row r="3168" spans="1:10" ht="38.25">
      <c r="A3168" s="3" t="s">
        <v>1811</v>
      </c>
      <c r="B3168" s="3" t="s">
        <v>4024</v>
      </c>
      <c r="C3168" s="4">
        <v>45</v>
      </c>
      <c r="D3168" s="3" t="s">
        <v>16</v>
      </c>
      <c r="E3168" s="3" t="s">
        <v>8</v>
      </c>
      <c r="F3168" s="5">
        <v>11889.84</v>
      </c>
      <c r="G3168" s="5">
        <v>8994.18</v>
      </c>
      <c r="H3168" s="5">
        <f t="shared" si="98"/>
        <v>-2895.66</v>
      </c>
      <c r="I3168" s="9">
        <f t="shared" si="99"/>
        <v>-0.24354070365959501</v>
      </c>
      <c r="J3168" s="3" t="s">
        <v>4603</v>
      </c>
    </row>
    <row r="3169" spans="1:10" ht="25.5">
      <c r="A3169" s="3" t="s">
        <v>1811</v>
      </c>
      <c r="B3169" s="3" t="s">
        <v>4025</v>
      </c>
      <c r="C3169" s="4">
        <v>93</v>
      </c>
      <c r="D3169" s="3" t="s">
        <v>42</v>
      </c>
      <c r="E3169" s="3" t="s">
        <v>8</v>
      </c>
      <c r="F3169" s="5">
        <v>0</v>
      </c>
      <c r="G3169" s="5">
        <v>8327.0400000000009</v>
      </c>
      <c r="H3169" s="5">
        <f t="shared" si="98"/>
        <v>8327.0400000000009</v>
      </c>
      <c r="I3169" s="9">
        <f t="shared" si="99"/>
        <v>0</v>
      </c>
      <c r="J3169" s="3" t="s">
        <v>4603</v>
      </c>
    </row>
    <row r="3170" spans="1:10" ht="25.5">
      <c r="A3170" s="3" t="s">
        <v>1811</v>
      </c>
      <c r="B3170" s="3" t="s">
        <v>4026</v>
      </c>
      <c r="C3170" s="4">
        <v>23</v>
      </c>
      <c r="D3170" s="3" t="s">
        <v>71</v>
      </c>
      <c r="E3170" s="3" t="s">
        <v>8</v>
      </c>
      <c r="F3170" s="5">
        <v>2783.52</v>
      </c>
      <c r="G3170" s="5">
        <v>1597.92</v>
      </c>
      <c r="H3170" s="5">
        <f t="shared" si="98"/>
        <v>-1185.5999999999999</v>
      </c>
      <c r="I3170" s="9">
        <f t="shared" si="99"/>
        <v>-0.42593550612174513</v>
      </c>
      <c r="J3170" s="3" t="s">
        <v>4603</v>
      </c>
    </row>
    <row r="3171" spans="1:10" ht="25.5">
      <c r="A3171" s="3" t="s">
        <v>1811</v>
      </c>
      <c r="B3171" s="3" t="s">
        <v>4027</v>
      </c>
      <c r="C3171" s="4">
        <v>315</v>
      </c>
      <c r="D3171" s="3" t="s">
        <v>79</v>
      </c>
      <c r="E3171" s="3" t="s">
        <v>8</v>
      </c>
      <c r="F3171" s="5">
        <v>6540.06</v>
      </c>
      <c r="G3171" s="5">
        <v>7282.32</v>
      </c>
      <c r="H3171" s="5">
        <f t="shared" si="98"/>
        <v>742.25999999999931</v>
      </c>
      <c r="I3171" s="9">
        <f t="shared" si="99"/>
        <v>0.11349437161126952</v>
      </c>
      <c r="J3171" s="3" t="s">
        <v>4603</v>
      </c>
    </row>
    <row r="3172" spans="1:10" ht="38.25">
      <c r="A3172" s="3" t="s">
        <v>1811</v>
      </c>
      <c r="B3172" s="3" t="s">
        <v>4028</v>
      </c>
      <c r="C3172" s="4">
        <v>34</v>
      </c>
      <c r="D3172" s="3" t="s">
        <v>136</v>
      </c>
      <c r="E3172" s="3" t="s">
        <v>30</v>
      </c>
      <c r="F3172" s="5">
        <v>5651.04</v>
      </c>
      <c r="G3172" s="5">
        <v>0</v>
      </c>
      <c r="H3172" s="5">
        <f t="shared" si="98"/>
        <v>-5651.04</v>
      </c>
      <c r="I3172" s="9">
        <f t="shared" si="99"/>
        <v>-1</v>
      </c>
      <c r="J3172" s="3" t="s">
        <v>4603</v>
      </c>
    </row>
    <row r="3173" spans="1:10" ht="25.5">
      <c r="A3173" s="3" t="s">
        <v>1811</v>
      </c>
      <c r="B3173" s="3" t="s">
        <v>4029</v>
      </c>
      <c r="C3173" s="4">
        <v>240</v>
      </c>
      <c r="D3173" s="3" t="s">
        <v>152</v>
      </c>
      <c r="E3173" s="3" t="s">
        <v>13</v>
      </c>
      <c r="F3173" s="5">
        <v>3989.64</v>
      </c>
      <c r="G3173" s="5">
        <v>0</v>
      </c>
      <c r="H3173" s="5">
        <f t="shared" si="98"/>
        <v>-3989.64</v>
      </c>
      <c r="I3173" s="9">
        <f t="shared" si="99"/>
        <v>-1</v>
      </c>
      <c r="J3173" s="3" t="s">
        <v>4603</v>
      </c>
    </row>
    <row r="3174" spans="1:10" ht="25.5">
      <c r="A3174" s="3" t="s">
        <v>1811</v>
      </c>
      <c r="B3174" s="3" t="s">
        <v>4030</v>
      </c>
      <c r="C3174" s="4">
        <v>270</v>
      </c>
      <c r="D3174" s="3" t="s">
        <v>312</v>
      </c>
      <c r="E3174" s="3" t="s">
        <v>30</v>
      </c>
      <c r="F3174" s="5">
        <v>12169.56</v>
      </c>
      <c r="G3174" s="5">
        <v>15871.8</v>
      </c>
      <c r="H3174" s="5">
        <f t="shared" si="98"/>
        <v>3702.24</v>
      </c>
      <c r="I3174" s="9">
        <f t="shared" si="99"/>
        <v>0.30422135229211245</v>
      </c>
      <c r="J3174" s="3" t="s">
        <v>4603</v>
      </c>
    </row>
    <row r="3175" spans="1:10" ht="25.5">
      <c r="A3175" s="3" t="s">
        <v>1811</v>
      </c>
      <c r="B3175" s="3" t="s">
        <v>4031</v>
      </c>
      <c r="C3175" s="4">
        <v>19</v>
      </c>
      <c r="D3175" s="3" t="s">
        <v>53</v>
      </c>
      <c r="E3175" s="3" t="s">
        <v>22</v>
      </c>
      <c r="F3175" s="5">
        <v>8519.0400000000009</v>
      </c>
      <c r="G3175" s="5">
        <v>18156.810000000001</v>
      </c>
      <c r="H3175" s="5">
        <f t="shared" si="98"/>
        <v>9637.77</v>
      </c>
      <c r="I3175" s="9">
        <f t="shared" si="99"/>
        <v>1.1313211347757495</v>
      </c>
      <c r="J3175" s="3" t="s">
        <v>4603</v>
      </c>
    </row>
    <row r="3176" spans="1:10" ht="25.5">
      <c r="A3176" s="3" t="s">
        <v>1811</v>
      </c>
      <c r="B3176" s="3" t="s">
        <v>4032</v>
      </c>
      <c r="C3176" s="4">
        <v>266</v>
      </c>
      <c r="D3176" s="3" t="s">
        <v>111</v>
      </c>
      <c r="E3176" s="3" t="s">
        <v>18</v>
      </c>
      <c r="F3176" s="5">
        <v>7966.98</v>
      </c>
      <c r="G3176" s="5">
        <v>0</v>
      </c>
      <c r="H3176" s="5">
        <f t="shared" si="98"/>
        <v>-7966.98</v>
      </c>
      <c r="I3176" s="9">
        <f t="shared" si="99"/>
        <v>-1</v>
      </c>
      <c r="J3176" s="3" t="s">
        <v>4603</v>
      </c>
    </row>
    <row r="3177" spans="1:10" ht="25.5">
      <c r="A3177" s="3" t="s">
        <v>1811</v>
      </c>
      <c r="B3177" s="3" t="s">
        <v>4033</v>
      </c>
      <c r="C3177" s="4">
        <v>261</v>
      </c>
      <c r="D3177" s="3" t="s">
        <v>17</v>
      </c>
      <c r="E3177" s="3" t="s">
        <v>18</v>
      </c>
      <c r="F3177" s="5">
        <v>6346.98</v>
      </c>
      <c r="G3177" s="5">
        <v>4005.57</v>
      </c>
      <c r="H3177" s="5">
        <f t="shared" si="98"/>
        <v>-2341.4099999999994</v>
      </c>
      <c r="I3177" s="9">
        <f t="shared" si="99"/>
        <v>-0.36890143028652989</v>
      </c>
      <c r="J3177" s="3" t="s">
        <v>4603</v>
      </c>
    </row>
    <row r="3178" spans="1:10" ht="25.5">
      <c r="A3178" s="3" t="s">
        <v>1811</v>
      </c>
      <c r="B3178" s="3" t="s">
        <v>4034</v>
      </c>
      <c r="C3178" s="4">
        <v>53</v>
      </c>
      <c r="D3178" s="3" t="s">
        <v>340</v>
      </c>
      <c r="E3178" s="3" t="s">
        <v>13</v>
      </c>
      <c r="F3178" s="5">
        <v>3230.64</v>
      </c>
      <c r="G3178" s="5">
        <v>0</v>
      </c>
      <c r="H3178" s="5">
        <f t="shared" si="98"/>
        <v>-3230.64</v>
      </c>
      <c r="I3178" s="9">
        <f t="shared" si="99"/>
        <v>-1</v>
      </c>
      <c r="J3178" s="3" t="s">
        <v>4603</v>
      </c>
    </row>
    <row r="3179" spans="1:10" ht="38.25">
      <c r="A3179" s="3" t="s">
        <v>1811</v>
      </c>
      <c r="B3179" s="3" t="s">
        <v>4035</v>
      </c>
      <c r="C3179" s="4">
        <v>331</v>
      </c>
      <c r="D3179" s="3" t="s">
        <v>1728</v>
      </c>
      <c r="E3179" s="3" t="s">
        <v>9</v>
      </c>
      <c r="F3179" s="5">
        <v>0</v>
      </c>
      <c r="G3179" s="5">
        <v>4055.76</v>
      </c>
      <c r="H3179" s="5">
        <f t="shared" si="98"/>
        <v>4055.76</v>
      </c>
      <c r="I3179" s="9">
        <f t="shared" si="99"/>
        <v>0</v>
      </c>
      <c r="J3179" s="3" t="s">
        <v>4603</v>
      </c>
    </row>
    <row r="3180" spans="1:10" ht="25.5">
      <c r="A3180" s="3" t="s">
        <v>1811</v>
      </c>
      <c r="B3180" s="3" t="s">
        <v>4036</v>
      </c>
      <c r="C3180" s="4">
        <v>23</v>
      </c>
      <c r="D3180" s="3" t="s">
        <v>71</v>
      </c>
      <c r="E3180" s="3" t="s">
        <v>8</v>
      </c>
      <c r="F3180" s="5">
        <v>0</v>
      </c>
      <c r="G3180" s="5">
        <v>20425.59</v>
      </c>
      <c r="H3180" s="5">
        <f t="shared" si="98"/>
        <v>20425.59</v>
      </c>
      <c r="I3180" s="9">
        <f t="shared" si="99"/>
        <v>0</v>
      </c>
      <c r="J3180" s="3" t="s">
        <v>4603</v>
      </c>
    </row>
    <row r="3181" spans="1:10" ht="38.25">
      <c r="A3181" s="3" t="s">
        <v>1811</v>
      </c>
      <c r="B3181" s="3" t="s">
        <v>4037</v>
      </c>
      <c r="C3181" s="4">
        <v>334</v>
      </c>
      <c r="D3181" s="3" t="s">
        <v>585</v>
      </c>
      <c r="E3181" s="3" t="s">
        <v>8</v>
      </c>
      <c r="F3181" s="5">
        <v>0</v>
      </c>
      <c r="G3181" s="5">
        <v>3036.96</v>
      </c>
      <c r="H3181" s="5">
        <f t="shared" si="98"/>
        <v>3036.96</v>
      </c>
      <c r="I3181" s="9">
        <f t="shared" si="99"/>
        <v>0</v>
      </c>
      <c r="J3181" s="3" t="s">
        <v>4603</v>
      </c>
    </row>
    <row r="3182" spans="1:10" ht="25.5">
      <c r="A3182" s="3" t="s">
        <v>1811</v>
      </c>
      <c r="B3182" s="3" t="s">
        <v>4038</v>
      </c>
      <c r="C3182" s="4">
        <v>194</v>
      </c>
      <c r="D3182" s="3" t="s">
        <v>179</v>
      </c>
      <c r="E3182" s="3" t="s">
        <v>13</v>
      </c>
      <c r="F3182" s="5">
        <v>0</v>
      </c>
      <c r="G3182" s="5">
        <v>10101.84</v>
      </c>
      <c r="H3182" s="5">
        <f t="shared" si="98"/>
        <v>10101.84</v>
      </c>
      <c r="I3182" s="9">
        <f t="shared" si="99"/>
        <v>0</v>
      </c>
      <c r="J3182" s="3" t="s">
        <v>4603</v>
      </c>
    </row>
    <row r="3183" spans="1:10" ht="25.5">
      <c r="A3183" s="3" t="s">
        <v>1811</v>
      </c>
      <c r="B3183" s="3" t="s">
        <v>4039</v>
      </c>
      <c r="C3183" s="4">
        <v>19</v>
      </c>
      <c r="D3183" s="3" t="s">
        <v>53</v>
      </c>
      <c r="E3183" s="3" t="s">
        <v>22</v>
      </c>
      <c r="F3183" s="5">
        <v>7140.66</v>
      </c>
      <c r="G3183" s="5">
        <v>0</v>
      </c>
      <c r="H3183" s="5">
        <f t="shared" si="98"/>
        <v>-7140.66</v>
      </c>
      <c r="I3183" s="9">
        <f t="shared" si="99"/>
        <v>-1</v>
      </c>
      <c r="J3183" s="3" t="s">
        <v>4603</v>
      </c>
    </row>
    <row r="3184" spans="1:10" ht="38.25">
      <c r="A3184" s="3" t="s">
        <v>1811</v>
      </c>
      <c r="B3184" s="3" t="s">
        <v>4040</v>
      </c>
      <c r="C3184" s="4">
        <v>371</v>
      </c>
      <c r="D3184" s="3" t="s">
        <v>29</v>
      </c>
      <c r="E3184" s="3" t="s">
        <v>30</v>
      </c>
      <c r="F3184" s="5">
        <v>6467.68</v>
      </c>
      <c r="G3184" s="5">
        <v>4829.6400000000003</v>
      </c>
      <c r="H3184" s="5">
        <f t="shared" si="98"/>
        <v>-1638.04</v>
      </c>
      <c r="I3184" s="9">
        <f t="shared" si="99"/>
        <v>-0.25326546767929148</v>
      </c>
      <c r="J3184" s="3" t="s">
        <v>4603</v>
      </c>
    </row>
    <row r="3185" spans="1:10" ht="25.5">
      <c r="A3185" s="3" t="s">
        <v>1811</v>
      </c>
      <c r="B3185" s="3" t="s">
        <v>4041</v>
      </c>
      <c r="C3185" s="4">
        <v>197</v>
      </c>
      <c r="D3185" s="3" t="s">
        <v>23</v>
      </c>
      <c r="E3185" s="3" t="s">
        <v>22</v>
      </c>
      <c r="F3185" s="5">
        <v>4727.16</v>
      </c>
      <c r="G3185" s="5">
        <v>0</v>
      </c>
      <c r="H3185" s="5">
        <f t="shared" si="98"/>
        <v>-4727.16</v>
      </c>
      <c r="I3185" s="9">
        <f t="shared" si="99"/>
        <v>-1</v>
      </c>
      <c r="J3185" s="3" t="s">
        <v>4603</v>
      </c>
    </row>
    <row r="3186" spans="1:10" ht="38.25">
      <c r="A3186" s="3" t="s">
        <v>1811</v>
      </c>
      <c r="B3186" s="3" t="s">
        <v>4042</v>
      </c>
      <c r="C3186" s="4">
        <v>143</v>
      </c>
      <c r="D3186" s="3" t="s">
        <v>21</v>
      </c>
      <c r="E3186" s="3" t="s">
        <v>22</v>
      </c>
      <c r="F3186" s="5">
        <v>0</v>
      </c>
      <c r="G3186" s="5">
        <v>6673.92</v>
      </c>
      <c r="H3186" s="5">
        <f t="shared" si="98"/>
        <v>6673.92</v>
      </c>
      <c r="I3186" s="9">
        <f t="shared" si="99"/>
        <v>0</v>
      </c>
      <c r="J3186" s="3" t="s">
        <v>4603</v>
      </c>
    </row>
    <row r="3187" spans="1:10">
      <c r="A3187" s="3" t="s">
        <v>1811</v>
      </c>
      <c r="B3187" s="3" t="s">
        <v>4043</v>
      </c>
      <c r="C3187" s="4">
        <v>167</v>
      </c>
      <c r="D3187" s="3" t="s">
        <v>335</v>
      </c>
      <c r="E3187" s="3" t="s">
        <v>30</v>
      </c>
      <c r="F3187" s="5">
        <v>0</v>
      </c>
      <c r="G3187" s="5">
        <v>14733.9</v>
      </c>
      <c r="H3187" s="5">
        <f t="shared" si="98"/>
        <v>14733.9</v>
      </c>
      <c r="I3187" s="9">
        <f t="shared" si="99"/>
        <v>0</v>
      </c>
      <c r="J3187" s="3" t="s">
        <v>4603</v>
      </c>
    </row>
    <row r="3188" spans="1:10" ht="25.5">
      <c r="A3188" s="3" t="s">
        <v>1811</v>
      </c>
      <c r="B3188" s="3" t="s">
        <v>4044</v>
      </c>
      <c r="C3188" s="4">
        <v>194</v>
      </c>
      <c r="D3188" s="3" t="s">
        <v>179</v>
      </c>
      <c r="E3188" s="3" t="s">
        <v>13</v>
      </c>
      <c r="F3188" s="5">
        <v>10255.56</v>
      </c>
      <c r="G3188" s="5">
        <v>6254.22</v>
      </c>
      <c r="H3188" s="5">
        <f t="shared" si="98"/>
        <v>-4001.3399999999992</v>
      </c>
      <c r="I3188" s="9">
        <f t="shared" si="99"/>
        <v>-0.39016299451224501</v>
      </c>
      <c r="J3188" s="3" t="s">
        <v>4603</v>
      </c>
    </row>
    <row r="3189" spans="1:10" ht="25.5">
      <c r="A3189" s="3" t="s">
        <v>1811</v>
      </c>
      <c r="B3189" s="3" t="s">
        <v>4045</v>
      </c>
      <c r="C3189" s="4">
        <v>296</v>
      </c>
      <c r="D3189" s="3" t="s">
        <v>137</v>
      </c>
      <c r="E3189" s="3" t="s">
        <v>8</v>
      </c>
      <c r="F3189" s="5">
        <v>3060.09</v>
      </c>
      <c r="G3189" s="5">
        <v>0</v>
      </c>
      <c r="H3189" s="5">
        <f t="shared" si="98"/>
        <v>-3060.09</v>
      </c>
      <c r="I3189" s="9">
        <f t="shared" si="99"/>
        <v>-1</v>
      </c>
      <c r="J3189" s="3" t="s">
        <v>4603</v>
      </c>
    </row>
    <row r="3190" spans="1:10" ht="38.25">
      <c r="A3190" s="3" t="s">
        <v>1811</v>
      </c>
      <c r="B3190" s="3" t="s">
        <v>4046</v>
      </c>
      <c r="C3190" s="4">
        <v>45</v>
      </c>
      <c r="D3190" s="3" t="s">
        <v>16</v>
      </c>
      <c r="E3190" s="3" t="s">
        <v>8</v>
      </c>
      <c r="F3190" s="5">
        <v>0</v>
      </c>
      <c r="G3190" s="5">
        <v>21411.99</v>
      </c>
      <c r="H3190" s="5">
        <f t="shared" si="98"/>
        <v>21411.99</v>
      </c>
      <c r="I3190" s="9">
        <f t="shared" si="99"/>
        <v>0</v>
      </c>
      <c r="J3190" s="3" t="s">
        <v>4603</v>
      </c>
    </row>
    <row r="3191" spans="1:10" ht="38.25">
      <c r="A3191" s="3" t="s">
        <v>1811</v>
      </c>
      <c r="B3191" s="3" t="s">
        <v>4047</v>
      </c>
      <c r="C3191" s="4">
        <v>143</v>
      </c>
      <c r="D3191" s="3" t="s">
        <v>21</v>
      </c>
      <c r="E3191" s="3" t="s">
        <v>22</v>
      </c>
      <c r="F3191" s="5">
        <v>13176.21</v>
      </c>
      <c r="G3191" s="5">
        <v>23321.59</v>
      </c>
      <c r="H3191" s="5">
        <f t="shared" si="98"/>
        <v>10145.380000000001</v>
      </c>
      <c r="I3191" s="9">
        <f t="shared" si="99"/>
        <v>0.76997710267216468</v>
      </c>
      <c r="J3191" s="3" t="s">
        <v>4603</v>
      </c>
    </row>
    <row r="3192" spans="1:10" ht="25.5">
      <c r="A3192" s="3" t="s">
        <v>1811</v>
      </c>
      <c r="B3192" s="3" t="s">
        <v>4048</v>
      </c>
      <c r="C3192" s="4">
        <v>93</v>
      </c>
      <c r="D3192" s="3" t="s">
        <v>42</v>
      </c>
      <c r="E3192" s="3" t="s">
        <v>8</v>
      </c>
      <c r="F3192" s="5">
        <v>0</v>
      </c>
      <c r="G3192" s="5">
        <v>10793.04</v>
      </c>
      <c r="H3192" s="5">
        <f t="shared" si="98"/>
        <v>10793.04</v>
      </c>
      <c r="I3192" s="9">
        <f t="shared" si="99"/>
        <v>0</v>
      </c>
      <c r="J3192" s="3" t="s">
        <v>4603</v>
      </c>
    </row>
    <row r="3193" spans="1:10" ht="25.5">
      <c r="A3193" s="3" t="s">
        <v>1811</v>
      </c>
      <c r="B3193" s="3" t="s">
        <v>4049</v>
      </c>
      <c r="C3193" s="4">
        <v>197</v>
      </c>
      <c r="D3193" s="3" t="s">
        <v>23</v>
      </c>
      <c r="E3193" s="3" t="s">
        <v>22</v>
      </c>
      <c r="F3193" s="5">
        <v>3481.68</v>
      </c>
      <c r="G3193" s="5">
        <v>0</v>
      </c>
      <c r="H3193" s="5">
        <f t="shared" si="98"/>
        <v>-3481.68</v>
      </c>
      <c r="I3193" s="9">
        <f t="shared" si="99"/>
        <v>-1</v>
      </c>
      <c r="J3193" s="3" t="s">
        <v>4603</v>
      </c>
    </row>
    <row r="3194" spans="1:10" ht="38.25">
      <c r="A3194" s="3" t="s">
        <v>1811</v>
      </c>
      <c r="B3194" s="3" t="s">
        <v>4050</v>
      </c>
      <c r="C3194" s="4">
        <v>143</v>
      </c>
      <c r="D3194" s="3" t="s">
        <v>21</v>
      </c>
      <c r="E3194" s="3" t="s">
        <v>22</v>
      </c>
      <c r="F3194" s="5">
        <v>0</v>
      </c>
      <c r="G3194" s="5">
        <v>44901.98</v>
      </c>
      <c r="H3194" s="5">
        <f t="shared" si="98"/>
        <v>44901.98</v>
      </c>
      <c r="I3194" s="9">
        <f t="shared" si="99"/>
        <v>0</v>
      </c>
      <c r="J3194" s="3" t="s">
        <v>4603</v>
      </c>
    </row>
    <row r="3195" spans="1:10" ht="25.5">
      <c r="A3195" s="3" t="s">
        <v>1811</v>
      </c>
      <c r="B3195" s="3" t="s">
        <v>4051</v>
      </c>
      <c r="C3195" s="4">
        <v>93</v>
      </c>
      <c r="D3195" s="3" t="s">
        <v>42</v>
      </c>
      <c r="E3195" s="3" t="s">
        <v>8</v>
      </c>
      <c r="F3195" s="5">
        <v>5717.13</v>
      </c>
      <c r="G3195" s="5">
        <v>14488.08</v>
      </c>
      <c r="H3195" s="5">
        <f t="shared" si="98"/>
        <v>8770.9500000000007</v>
      </c>
      <c r="I3195" s="9">
        <f t="shared" si="99"/>
        <v>1.5341526255306421</v>
      </c>
      <c r="J3195" s="3" t="s">
        <v>4603</v>
      </c>
    </row>
    <row r="3196" spans="1:10" ht="25.5">
      <c r="A3196" s="3" t="s">
        <v>1811</v>
      </c>
      <c r="B3196" s="3" t="s">
        <v>4052</v>
      </c>
      <c r="C3196" s="4">
        <v>315</v>
      </c>
      <c r="D3196" s="3" t="s">
        <v>79</v>
      </c>
      <c r="E3196" s="3" t="s">
        <v>8</v>
      </c>
      <c r="F3196" s="5">
        <v>12694.77</v>
      </c>
      <c r="G3196" s="5">
        <v>22030.29</v>
      </c>
      <c r="H3196" s="5">
        <f t="shared" si="98"/>
        <v>9335.52</v>
      </c>
      <c r="I3196" s="9">
        <f t="shared" si="99"/>
        <v>0.73538315384997133</v>
      </c>
      <c r="J3196" s="3" t="s">
        <v>4603</v>
      </c>
    </row>
    <row r="3197" spans="1:10" ht="38.25">
      <c r="A3197" s="3" t="s">
        <v>1811</v>
      </c>
      <c r="B3197" s="3" t="s">
        <v>4053</v>
      </c>
      <c r="C3197" s="4">
        <v>143</v>
      </c>
      <c r="D3197" s="3" t="s">
        <v>21</v>
      </c>
      <c r="E3197" s="3" t="s">
        <v>22</v>
      </c>
      <c r="F3197" s="5">
        <v>7726.68</v>
      </c>
      <c r="G3197" s="5">
        <v>4367.5200000000004</v>
      </c>
      <c r="H3197" s="5">
        <f t="shared" si="98"/>
        <v>-3359.16</v>
      </c>
      <c r="I3197" s="9">
        <f t="shared" si="99"/>
        <v>-0.43474817127149046</v>
      </c>
      <c r="J3197" s="3" t="s">
        <v>4603</v>
      </c>
    </row>
    <row r="3198" spans="1:10" ht="38.25">
      <c r="A3198" s="3" t="s">
        <v>1811</v>
      </c>
      <c r="B3198" s="3" t="s">
        <v>4054</v>
      </c>
      <c r="C3198" s="4">
        <v>292</v>
      </c>
      <c r="D3198" s="3" t="s">
        <v>619</v>
      </c>
      <c r="E3198" s="3" t="s">
        <v>30</v>
      </c>
      <c r="F3198" s="5">
        <v>29928.51</v>
      </c>
      <c r="G3198" s="5">
        <v>42168.169000000002</v>
      </c>
      <c r="H3198" s="5">
        <f t="shared" si="98"/>
        <v>12239.659000000003</v>
      </c>
      <c r="I3198" s="9">
        <f t="shared" si="99"/>
        <v>0.40896319262135017</v>
      </c>
      <c r="J3198" s="3" t="s">
        <v>4604</v>
      </c>
    </row>
    <row r="3199" spans="1:10" ht="25.5">
      <c r="A3199" s="3" t="s">
        <v>1811</v>
      </c>
      <c r="B3199" s="3" t="s">
        <v>4055</v>
      </c>
      <c r="C3199" s="4">
        <v>266</v>
      </c>
      <c r="D3199" s="3" t="s">
        <v>111</v>
      </c>
      <c r="E3199" s="3" t="s">
        <v>18</v>
      </c>
      <c r="F3199" s="5">
        <v>0</v>
      </c>
      <c r="G3199" s="5">
        <v>2966.518</v>
      </c>
      <c r="H3199" s="5">
        <f t="shared" si="98"/>
        <v>2966.518</v>
      </c>
      <c r="I3199" s="9">
        <f t="shared" si="99"/>
        <v>0</v>
      </c>
      <c r="J3199" s="3" t="s">
        <v>4603</v>
      </c>
    </row>
    <row r="3200" spans="1:10" ht="25.5">
      <c r="A3200" s="3" t="s">
        <v>1811</v>
      </c>
      <c r="B3200" s="3" t="s">
        <v>4056</v>
      </c>
      <c r="C3200" s="4">
        <v>194</v>
      </c>
      <c r="D3200" s="3" t="s">
        <v>179</v>
      </c>
      <c r="E3200" s="3" t="s">
        <v>13</v>
      </c>
      <c r="F3200" s="5">
        <v>0</v>
      </c>
      <c r="G3200" s="5">
        <v>14369.28</v>
      </c>
      <c r="H3200" s="5">
        <f t="shared" si="98"/>
        <v>14369.28</v>
      </c>
      <c r="I3200" s="9">
        <f t="shared" si="99"/>
        <v>0</v>
      </c>
      <c r="J3200" s="3" t="s">
        <v>4603</v>
      </c>
    </row>
    <row r="3201" spans="1:10" ht="25.5">
      <c r="A3201" s="3" t="s">
        <v>1811</v>
      </c>
      <c r="B3201" s="3" t="s">
        <v>4057</v>
      </c>
      <c r="C3201" s="4">
        <v>231</v>
      </c>
      <c r="D3201" s="3" t="s">
        <v>89</v>
      </c>
      <c r="E3201" s="3" t="s">
        <v>8</v>
      </c>
      <c r="F3201" s="5">
        <v>0</v>
      </c>
      <c r="G3201" s="5">
        <v>7261.02</v>
      </c>
      <c r="H3201" s="5">
        <f t="shared" si="98"/>
        <v>7261.02</v>
      </c>
      <c r="I3201" s="9">
        <f t="shared" si="99"/>
        <v>0</v>
      </c>
      <c r="J3201" s="3" t="s">
        <v>4603</v>
      </c>
    </row>
    <row r="3202" spans="1:10" ht="25.5">
      <c r="A3202" s="3" t="s">
        <v>1811</v>
      </c>
      <c r="B3202" s="3" t="s">
        <v>4058</v>
      </c>
      <c r="C3202" s="4">
        <v>335</v>
      </c>
      <c r="D3202" s="3" t="s">
        <v>7</v>
      </c>
      <c r="E3202" s="3" t="s">
        <v>8</v>
      </c>
      <c r="F3202" s="5">
        <v>19574.849999999999</v>
      </c>
      <c r="G3202" s="5">
        <v>21571.74</v>
      </c>
      <c r="H3202" s="5">
        <f t="shared" si="98"/>
        <v>1996.8900000000031</v>
      </c>
      <c r="I3202" s="9">
        <f t="shared" si="99"/>
        <v>0.10201304224553454</v>
      </c>
      <c r="J3202" s="3" t="s">
        <v>4603</v>
      </c>
    </row>
    <row r="3203" spans="1:10" ht="25.5">
      <c r="A3203" s="3" t="s">
        <v>1811</v>
      </c>
      <c r="B3203" s="3" t="s">
        <v>4059</v>
      </c>
      <c r="C3203" s="4">
        <v>334</v>
      </c>
      <c r="D3203" s="3" t="s">
        <v>585</v>
      </c>
      <c r="E3203" s="3" t="s">
        <v>8</v>
      </c>
      <c r="F3203" s="5">
        <v>0</v>
      </c>
      <c r="G3203" s="5">
        <v>15537.361000000001</v>
      </c>
      <c r="H3203" s="5">
        <f t="shared" ref="H3203:H3266" si="100">G3203-F3203</f>
        <v>15537.361000000001</v>
      </c>
      <c r="I3203" s="9">
        <f t="shared" ref="I3203:I3266" si="101">IFERROR(G3203/F3203-1,0)</f>
        <v>0</v>
      </c>
      <c r="J3203" s="3" t="s">
        <v>4603</v>
      </c>
    </row>
    <row r="3204" spans="1:10" ht="25.5">
      <c r="A3204" s="3" t="s">
        <v>1811</v>
      </c>
      <c r="B3204" s="3" t="s">
        <v>4060</v>
      </c>
      <c r="C3204" s="4">
        <v>187</v>
      </c>
      <c r="D3204" s="3" t="s">
        <v>460</v>
      </c>
      <c r="E3204" s="3" t="s">
        <v>8</v>
      </c>
      <c r="F3204" s="5">
        <v>3941.76</v>
      </c>
      <c r="G3204" s="5">
        <v>6292.8</v>
      </c>
      <c r="H3204" s="5">
        <f t="shared" si="100"/>
        <v>2351.04</v>
      </c>
      <c r="I3204" s="9">
        <f t="shared" si="101"/>
        <v>0.59644422795908425</v>
      </c>
      <c r="J3204" s="3" t="s">
        <v>4603</v>
      </c>
    </row>
    <row r="3205" spans="1:10" ht="25.5">
      <c r="A3205" s="3" t="s">
        <v>1811</v>
      </c>
      <c r="B3205" s="3" t="s">
        <v>4061</v>
      </c>
      <c r="C3205" s="4">
        <v>317</v>
      </c>
      <c r="D3205" s="3" t="s">
        <v>54</v>
      </c>
      <c r="E3205" s="3" t="s">
        <v>18</v>
      </c>
      <c r="F3205" s="5">
        <v>0</v>
      </c>
      <c r="G3205" s="5">
        <v>2945.64</v>
      </c>
      <c r="H3205" s="5">
        <f t="shared" si="100"/>
        <v>2945.64</v>
      </c>
      <c r="I3205" s="9">
        <f t="shared" si="101"/>
        <v>0</v>
      </c>
      <c r="J3205" s="3" t="s">
        <v>4603</v>
      </c>
    </row>
    <row r="3206" spans="1:10" ht="25.5">
      <c r="A3206" s="3" t="s">
        <v>1811</v>
      </c>
      <c r="B3206" s="3" t="s">
        <v>4062</v>
      </c>
      <c r="C3206" s="4">
        <v>261</v>
      </c>
      <c r="D3206" s="3" t="s">
        <v>17</v>
      </c>
      <c r="E3206" s="3" t="s">
        <v>18</v>
      </c>
      <c r="F3206" s="5">
        <v>8614.68</v>
      </c>
      <c r="G3206" s="5">
        <v>14426.4</v>
      </c>
      <c r="H3206" s="5">
        <f t="shared" si="100"/>
        <v>5811.7199999999993</v>
      </c>
      <c r="I3206" s="9">
        <f t="shared" si="101"/>
        <v>0.67462981793868138</v>
      </c>
      <c r="J3206" s="3" t="s">
        <v>4603</v>
      </c>
    </row>
    <row r="3207" spans="1:10" ht="25.5">
      <c r="A3207" s="3" t="s">
        <v>1811</v>
      </c>
      <c r="B3207" s="3" t="s">
        <v>4063</v>
      </c>
      <c r="C3207" s="4">
        <v>261</v>
      </c>
      <c r="D3207" s="3" t="s">
        <v>17</v>
      </c>
      <c r="E3207" s="3" t="s">
        <v>18</v>
      </c>
      <c r="F3207" s="5">
        <v>0</v>
      </c>
      <c r="G3207" s="5">
        <v>5495.04</v>
      </c>
      <c r="H3207" s="5">
        <f t="shared" si="100"/>
        <v>5495.04</v>
      </c>
      <c r="I3207" s="9">
        <f t="shared" si="101"/>
        <v>0</v>
      </c>
      <c r="J3207" s="3" t="s">
        <v>4603</v>
      </c>
    </row>
    <row r="3208" spans="1:10" ht="25.5">
      <c r="A3208" s="3" t="s">
        <v>1811</v>
      </c>
      <c r="B3208" s="3" t="s">
        <v>4064</v>
      </c>
      <c r="C3208" s="4">
        <v>167</v>
      </c>
      <c r="D3208" s="3" t="s">
        <v>335</v>
      </c>
      <c r="E3208" s="3" t="s">
        <v>30</v>
      </c>
      <c r="F3208" s="5">
        <v>24704.07</v>
      </c>
      <c r="G3208" s="5">
        <v>0</v>
      </c>
      <c r="H3208" s="5">
        <f t="shared" si="100"/>
        <v>-24704.07</v>
      </c>
      <c r="I3208" s="9">
        <f t="shared" si="101"/>
        <v>-1</v>
      </c>
      <c r="J3208" s="3" t="s">
        <v>4603</v>
      </c>
    </row>
    <row r="3209" spans="1:10" ht="25.5">
      <c r="A3209" s="3" t="s">
        <v>1811</v>
      </c>
      <c r="B3209" s="3" t="s">
        <v>4065</v>
      </c>
      <c r="C3209" s="4">
        <v>208</v>
      </c>
      <c r="D3209" s="3" t="s">
        <v>58</v>
      </c>
      <c r="E3209" s="3" t="s">
        <v>13</v>
      </c>
      <c r="F3209" s="5">
        <v>0</v>
      </c>
      <c r="G3209" s="5">
        <v>19447.2</v>
      </c>
      <c r="H3209" s="5">
        <f t="shared" si="100"/>
        <v>19447.2</v>
      </c>
      <c r="I3209" s="9">
        <f t="shared" si="101"/>
        <v>0</v>
      </c>
      <c r="J3209" s="3" t="s">
        <v>4603</v>
      </c>
    </row>
    <row r="3210" spans="1:10" ht="25.5">
      <c r="A3210" s="3" t="s">
        <v>1811</v>
      </c>
      <c r="B3210" s="3" t="s">
        <v>4066</v>
      </c>
      <c r="C3210" s="4">
        <v>217</v>
      </c>
      <c r="D3210" s="3" t="s">
        <v>253</v>
      </c>
      <c r="E3210" s="3" t="s">
        <v>13</v>
      </c>
      <c r="F3210" s="5">
        <v>23899.8</v>
      </c>
      <c r="G3210" s="5">
        <v>0</v>
      </c>
      <c r="H3210" s="5">
        <f t="shared" si="100"/>
        <v>-23899.8</v>
      </c>
      <c r="I3210" s="9">
        <f t="shared" si="101"/>
        <v>-1</v>
      </c>
      <c r="J3210" s="3" t="s">
        <v>4603</v>
      </c>
    </row>
    <row r="3211" spans="1:10" ht="25.5">
      <c r="A3211" s="3" t="s">
        <v>1811</v>
      </c>
      <c r="B3211" s="3" t="s">
        <v>4067</v>
      </c>
      <c r="C3211" s="4">
        <v>208</v>
      </c>
      <c r="D3211" s="3" t="s">
        <v>58</v>
      </c>
      <c r="E3211" s="3" t="s">
        <v>13</v>
      </c>
      <c r="F3211" s="5">
        <v>9598.68</v>
      </c>
      <c r="G3211" s="5">
        <v>0</v>
      </c>
      <c r="H3211" s="5">
        <f t="shared" si="100"/>
        <v>-9598.68</v>
      </c>
      <c r="I3211" s="9">
        <f t="shared" si="101"/>
        <v>-1</v>
      </c>
      <c r="J3211" s="3" t="s">
        <v>4603</v>
      </c>
    </row>
    <row r="3212" spans="1:10" ht="25.5">
      <c r="A3212" s="3" t="s">
        <v>1811</v>
      </c>
      <c r="B3212" s="3" t="s">
        <v>4068</v>
      </c>
      <c r="C3212" s="4">
        <v>194</v>
      </c>
      <c r="D3212" s="3" t="s">
        <v>179</v>
      </c>
      <c r="E3212" s="3" t="s">
        <v>13</v>
      </c>
      <c r="F3212" s="5">
        <v>2986.81</v>
      </c>
      <c r="G3212" s="5">
        <v>3585.78</v>
      </c>
      <c r="H3212" s="5">
        <f t="shared" si="100"/>
        <v>598.97000000000025</v>
      </c>
      <c r="I3212" s="9">
        <f t="shared" si="101"/>
        <v>0.2005383670203329</v>
      </c>
      <c r="J3212" s="3" t="s">
        <v>4603</v>
      </c>
    </row>
    <row r="3213" spans="1:10" ht="38.25">
      <c r="A3213" s="3" t="s">
        <v>1811</v>
      </c>
      <c r="B3213" s="3" t="s">
        <v>4069</v>
      </c>
      <c r="C3213" s="4">
        <v>41</v>
      </c>
      <c r="D3213" s="3" t="s">
        <v>106</v>
      </c>
      <c r="E3213" s="3" t="s">
        <v>22</v>
      </c>
      <c r="F3213" s="5">
        <v>0</v>
      </c>
      <c r="G3213" s="5">
        <v>4254.3599999999997</v>
      </c>
      <c r="H3213" s="5">
        <f t="shared" si="100"/>
        <v>4254.3599999999997</v>
      </c>
      <c r="I3213" s="9">
        <f t="shared" si="101"/>
        <v>0</v>
      </c>
      <c r="J3213" s="3" t="s">
        <v>4603</v>
      </c>
    </row>
    <row r="3214" spans="1:10" ht="25.5">
      <c r="A3214" s="3" t="s">
        <v>1811</v>
      </c>
      <c r="B3214" s="3" t="s">
        <v>4070</v>
      </c>
      <c r="C3214" s="4">
        <v>273</v>
      </c>
      <c r="D3214" s="3" t="s">
        <v>771</v>
      </c>
      <c r="E3214" s="3" t="s">
        <v>13</v>
      </c>
      <c r="F3214" s="5">
        <v>0</v>
      </c>
      <c r="G3214" s="5">
        <v>7531.86</v>
      </c>
      <c r="H3214" s="5">
        <f t="shared" si="100"/>
        <v>7531.86</v>
      </c>
      <c r="I3214" s="9">
        <f t="shared" si="101"/>
        <v>0</v>
      </c>
      <c r="J3214" s="3" t="s">
        <v>4603</v>
      </c>
    </row>
    <row r="3215" spans="1:10" ht="38.25">
      <c r="A3215" s="3" t="s">
        <v>1811</v>
      </c>
      <c r="B3215" s="3" t="s">
        <v>4071</v>
      </c>
      <c r="C3215" s="4">
        <v>231</v>
      </c>
      <c r="D3215" s="3" t="s">
        <v>89</v>
      </c>
      <c r="E3215" s="3" t="s">
        <v>8</v>
      </c>
      <c r="F3215" s="5">
        <v>24680.04</v>
      </c>
      <c r="G3215" s="5">
        <v>0</v>
      </c>
      <c r="H3215" s="5">
        <f t="shared" si="100"/>
        <v>-24680.04</v>
      </c>
      <c r="I3215" s="9">
        <f t="shared" si="101"/>
        <v>-1</v>
      </c>
      <c r="J3215" s="3" t="s">
        <v>4603</v>
      </c>
    </row>
    <row r="3216" spans="1:10" ht="25.5">
      <c r="A3216" s="3" t="s">
        <v>1811</v>
      </c>
      <c r="B3216" s="3" t="s">
        <v>4072</v>
      </c>
      <c r="C3216" s="4">
        <v>93</v>
      </c>
      <c r="D3216" s="3" t="s">
        <v>42</v>
      </c>
      <c r="E3216" s="3" t="s">
        <v>8</v>
      </c>
      <c r="F3216" s="5">
        <v>3734.46</v>
      </c>
      <c r="G3216" s="5">
        <v>7044.57</v>
      </c>
      <c r="H3216" s="5">
        <f t="shared" si="100"/>
        <v>3310.1099999999997</v>
      </c>
      <c r="I3216" s="9">
        <f t="shared" si="101"/>
        <v>0.88636911360678639</v>
      </c>
      <c r="J3216" s="3" t="s">
        <v>4603</v>
      </c>
    </row>
    <row r="3217" spans="1:10" ht="25.5">
      <c r="A3217" s="3" t="s">
        <v>1811</v>
      </c>
      <c r="B3217" s="3" t="s">
        <v>4073</v>
      </c>
      <c r="C3217" s="4">
        <v>337</v>
      </c>
      <c r="D3217" s="3" t="s">
        <v>218</v>
      </c>
      <c r="E3217" s="3" t="s">
        <v>13</v>
      </c>
      <c r="F3217" s="5">
        <v>6179.64</v>
      </c>
      <c r="G3217" s="5">
        <v>7563.36</v>
      </c>
      <c r="H3217" s="5">
        <f t="shared" si="100"/>
        <v>1383.7199999999993</v>
      </c>
      <c r="I3217" s="9">
        <f t="shared" si="101"/>
        <v>0.22391595626929717</v>
      </c>
      <c r="J3217" s="3" t="s">
        <v>4603</v>
      </c>
    </row>
    <row r="3218" spans="1:10" ht="25.5">
      <c r="A3218" s="3" t="s">
        <v>1811</v>
      </c>
      <c r="B3218" s="3" t="s">
        <v>4074</v>
      </c>
      <c r="C3218" s="4">
        <v>53</v>
      </c>
      <c r="D3218" s="3" t="s">
        <v>340</v>
      </c>
      <c r="E3218" s="3" t="s">
        <v>13</v>
      </c>
      <c r="F3218" s="5">
        <v>11752.2</v>
      </c>
      <c r="G3218" s="5">
        <v>21121.919999999998</v>
      </c>
      <c r="H3218" s="5">
        <f t="shared" si="100"/>
        <v>9369.7199999999975</v>
      </c>
      <c r="I3218" s="9">
        <f t="shared" si="101"/>
        <v>0.79727370194516745</v>
      </c>
      <c r="J3218" s="3" t="s">
        <v>4603</v>
      </c>
    </row>
    <row r="3219" spans="1:10" ht="25.5">
      <c r="A3219" s="3" t="s">
        <v>1811</v>
      </c>
      <c r="B3219" s="3" t="s">
        <v>4075</v>
      </c>
      <c r="C3219" s="4">
        <v>53</v>
      </c>
      <c r="D3219" s="3" t="s">
        <v>340</v>
      </c>
      <c r="E3219" s="3" t="s">
        <v>13</v>
      </c>
      <c r="F3219" s="5">
        <v>21709.919999999998</v>
      </c>
      <c r="G3219" s="5">
        <v>11544.42</v>
      </c>
      <c r="H3219" s="5">
        <f t="shared" si="100"/>
        <v>-10165.499999999998</v>
      </c>
      <c r="I3219" s="9">
        <f t="shared" si="101"/>
        <v>-0.46824216763580884</v>
      </c>
      <c r="J3219" s="3" t="s">
        <v>4604</v>
      </c>
    </row>
    <row r="3220" spans="1:10" ht="25.5">
      <c r="A3220" s="3" t="s">
        <v>1811</v>
      </c>
      <c r="B3220" s="3" t="s">
        <v>4076</v>
      </c>
      <c r="C3220" s="4">
        <v>337</v>
      </c>
      <c r="D3220" s="3" t="s">
        <v>218</v>
      </c>
      <c r="E3220" s="3" t="s">
        <v>13</v>
      </c>
      <c r="F3220" s="5">
        <v>14649.48</v>
      </c>
      <c r="G3220" s="5">
        <v>0</v>
      </c>
      <c r="H3220" s="5">
        <f t="shared" si="100"/>
        <v>-14649.48</v>
      </c>
      <c r="I3220" s="9">
        <f t="shared" si="101"/>
        <v>-1</v>
      </c>
      <c r="J3220" s="3" t="s">
        <v>4603</v>
      </c>
    </row>
    <row r="3221" spans="1:10" ht="25.5">
      <c r="A3221" s="3" t="s">
        <v>1811</v>
      </c>
      <c r="B3221" s="3" t="s">
        <v>4077</v>
      </c>
      <c r="C3221" s="4">
        <v>74</v>
      </c>
      <c r="D3221" s="3" t="s">
        <v>86</v>
      </c>
      <c r="E3221" s="3" t="s">
        <v>8</v>
      </c>
      <c r="F3221" s="5">
        <v>11194.26</v>
      </c>
      <c r="G3221" s="5">
        <v>12406.08</v>
      </c>
      <c r="H3221" s="5">
        <f t="shared" si="100"/>
        <v>1211.8199999999997</v>
      </c>
      <c r="I3221" s="9">
        <f t="shared" si="101"/>
        <v>0.10825369430404508</v>
      </c>
      <c r="J3221" s="3" t="s">
        <v>4603</v>
      </c>
    </row>
    <row r="3222" spans="1:10" ht="25.5">
      <c r="A3222" s="3" t="s">
        <v>1811</v>
      </c>
      <c r="B3222" s="3" t="s">
        <v>4078</v>
      </c>
      <c r="C3222" s="4">
        <v>261</v>
      </c>
      <c r="D3222" s="3" t="s">
        <v>17</v>
      </c>
      <c r="E3222" s="3" t="s">
        <v>18</v>
      </c>
      <c r="F3222" s="5">
        <v>19479.09</v>
      </c>
      <c r="G3222" s="5">
        <v>13817.37</v>
      </c>
      <c r="H3222" s="5">
        <f t="shared" si="100"/>
        <v>-5661.7199999999993</v>
      </c>
      <c r="I3222" s="9">
        <f t="shared" si="101"/>
        <v>-0.29065628835843971</v>
      </c>
      <c r="J3222" s="3" t="s">
        <v>4603</v>
      </c>
    </row>
    <row r="3223" spans="1:10" ht="25.5">
      <c r="A3223" s="3" t="s">
        <v>1811</v>
      </c>
      <c r="B3223" s="3" t="s">
        <v>4079</v>
      </c>
      <c r="C3223" s="4">
        <v>15</v>
      </c>
      <c r="D3223" s="3" t="s">
        <v>33</v>
      </c>
      <c r="E3223" s="3" t="s">
        <v>13</v>
      </c>
      <c r="F3223" s="5">
        <v>8427.84</v>
      </c>
      <c r="G3223" s="5">
        <v>14739.96</v>
      </c>
      <c r="H3223" s="5">
        <f t="shared" si="100"/>
        <v>6312.119999999999</v>
      </c>
      <c r="I3223" s="9">
        <f t="shared" si="101"/>
        <v>0.74896058776626018</v>
      </c>
      <c r="J3223" s="3" t="s">
        <v>4603</v>
      </c>
    </row>
    <row r="3224" spans="1:10" ht="25.5">
      <c r="A3224" s="3" t="s">
        <v>1811</v>
      </c>
      <c r="B3224" s="3" t="s">
        <v>4080</v>
      </c>
      <c r="C3224" s="4">
        <v>267</v>
      </c>
      <c r="D3224" s="3" t="s">
        <v>417</v>
      </c>
      <c r="E3224" s="3" t="s">
        <v>13</v>
      </c>
      <c r="F3224" s="5">
        <v>3167.28</v>
      </c>
      <c r="G3224" s="5">
        <v>2556.48</v>
      </c>
      <c r="H3224" s="5">
        <f t="shared" si="100"/>
        <v>-610.80000000000018</v>
      </c>
      <c r="I3224" s="9">
        <f t="shared" si="101"/>
        <v>-0.19284685913465183</v>
      </c>
      <c r="J3224" s="3" t="s">
        <v>4603</v>
      </c>
    </row>
    <row r="3225" spans="1:10">
      <c r="A3225" s="3" t="s">
        <v>1811</v>
      </c>
      <c r="B3225" s="3" t="s">
        <v>4081</v>
      </c>
      <c r="C3225" s="4">
        <v>232</v>
      </c>
      <c r="D3225" s="3" t="s">
        <v>95</v>
      </c>
      <c r="E3225" s="3" t="s">
        <v>13</v>
      </c>
      <c r="F3225" s="5">
        <v>12397.08</v>
      </c>
      <c r="G3225" s="5">
        <v>13217.31</v>
      </c>
      <c r="H3225" s="5">
        <f t="shared" si="100"/>
        <v>820.22999999999956</v>
      </c>
      <c r="I3225" s="9">
        <f t="shared" si="101"/>
        <v>6.6163161002429582E-2</v>
      </c>
      <c r="J3225" s="3" t="s">
        <v>4604</v>
      </c>
    </row>
    <row r="3226" spans="1:10" ht="25.5">
      <c r="A3226" s="3" t="s">
        <v>1811</v>
      </c>
      <c r="B3226" s="3" t="s">
        <v>4082</v>
      </c>
      <c r="C3226" s="4">
        <v>273</v>
      </c>
      <c r="D3226" s="3" t="s">
        <v>771</v>
      </c>
      <c r="E3226" s="3" t="s">
        <v>13</v>
      </c>
      <c r="F3226" s="5">
        <v>8383.5</v>
      </c>
      <c r="G3226" s="5">
        <v>0</v>
      </c>
      <c r="H3226" s="5">
        <f t="shared" si="100"/>
        <v>-8383.5</v>
      </c>
      <c r="I3226" s="9">
        <f t="shared" si="101"/>
        <v>-1</v>
      </c>
      <c r="J3226" s="3" t="s">
        <v>4603</v>
      </c>
    </row>
    <row r="3227" spans="1:10" ht="25.5">
      <c r="A3227" s="3" t="s">
        <v>1811</v>
      </c>
      <c r="B3227" s="3" t="s">
        <v>4083</v>
      </c>
      <c r="C3227" s="4">
        <v>273</v>
      </c>
      <c r="D3227" s="3" t="s">
        <v>771</v>
      </c>
      <c r="E3227" s="3" t="s">
        <v>13</v>
      </c>
      <c r="F3227" s="5">
        <v>0</v>
      </c>
      <c r="G3227" s="5">
        <v>13828.47</v>
      </c>
      <c r="H3227" s="5">
        <f t="shared" si="100"/>
        <v>13828.47</v>
      </c>
      <c r="I3227" s="9">
        <f t="shared" si="101"/>
        <v>0</v>
      </c>
      <c r="J3227" s="3" t="s">
        <v>4603</v>
      </c>
    </row>
    <row r="3228" spans="1:10" ht="25.5">
      <c r="A3228" s="3" t="s">
        <v>1811</v>
      </c>
      <c r="B3228" s="3" t="s">
        <v>4084</v>
      </c>
      <c r="C3228" s="4">
        <v>41</v>
      </c>
      <c r="D3228" s="3" t="s">
        <v>106</v>
      </c>
      <c r="E3228" s="3" t="s">
        <v>22</v>
      </c>
      <c r="F3228" s="5">
        <v>11832.72</v>
      </c>
      <c r="G3228" s="5">
        <v>17682.72</v>
      </c>
      <c r="H3228" s="5">
        <f t="shared" si="100"/>
        <v>5850.0000000000018</v>
      </c>
      <c r="I3228" s="9">
        <f t="shared" si="101"/>
        <v>0.49439182199866161</v>
      </c>
      <c r="J3228" s="3" t="s">
        <v>4603</v>
      </c>
    </row>
    <row r="3229" spans="1:10" ht="25.5">
      <c r="A3229" s="3" t="s">
        <v>1811</v>
      </c>
      <c r="B3229" s="3" t="s">
        <v>4085</v>
      </c>
      <c r="C3229" s="4">
        <v>267</v>
      </c>
      <c r="D3229" s="3" t="s">
        <v>417</v>
      </c>
      <c r="E3229" s="3" t="s">
        <v>13</v>
      </c>
      <c r="F3229" s="5">
        <v>5206.8</v>
      </c>
      <c r="G3229" s="5">
        <v>7749.6</v>
      </c>
      <c r="H3229" s="5">
        <f t="shared" si="100"/>
        <v>2542.8000000000002</v>
      </c>
      <c r="I3229" s="9">
        <f t="shared" si="101"/>
        <v>0.4883613735883845</v>
      </c>
      <c r="J3229" s="3" t="s">
        <v>4603</v>
      </c>
    </row>
    <row r="3230" spans="1:10" ht="25.5">
      <c r="A3230" s="3" t="s">
        <v>1811</v>
      </c>
      <c r="B3230" s="3" t="s">
        <v>4086</v>
      </c>
      <c r="C3230" s="4">
        <v>267</v>
      </c>
      <c r="D3230" s="3" t="s">
        <v>417</v>
      </c>
      <c r="E3230" s="3" t="s">
        <v>13</v>
      </c>
      <c r="F3230" s="5">
        <v>4463.16</v>
      </c>
      <c r="G3230" s="5">
        <v>5484.24</v>
      </c>
      <c r="H3230" s="5">
        <f t="shared" si="100"/>
        <v>1021.0799999999999</v>
      </c>
      <c r="I3230" s="9">
        <f t="shared" si="101"/>
        <v>0.22877960906622219</v>
      </c>
      <c r="J3230" s="3" t="s">
        <v>4603</v>
      </c>
    </row>
    <row r="3231" spans="1:10">
      <c r="A3231" s="3" t="s">
        <v>1811</v>
      </c>
      <c r="B3231" s="3" t="s">
        <v>4087</v>
      </c>
      <c r="C3231" s="4">
        <v>232</v>
      </c>
      <c r="D3231" s="3" t="s">
        <v>95</v>
      </c>
      <c r="E3231" s="3" t="s">
        <v>13</v>
      </c>
      <c r="F3231" s="5">
        <v>3769.08</v>
      </c>
      <c r="G3231" s="5">
        <v>0</v>
      </c>
      <c r="H3231" s="5">
        <f t="shared" si="100"/>
        <v>-3769.08</v>
      </c>
      <c r="I3231" s="9">
        <f t="shared" si="101"/>
        <v>-1</v>
      </c>
      <c r="J3231" s="3" t="s">
        <v>4603</v>
      </c>
    </row>
    <row r="3232" spans="1:10">
      <c r="A3232" s="3" t="s">
        <v>1811</v>
      </c>
      <c r="B3232" s="3" t="s">
        <v>4088</v>
      </c>
      <c r="C3232" s="4">
        <v>232</v>
      </c>
      <c r="D3232" s="3" t="s">
        <v>95</v>
      </c>
      <c r="E3232" s="3" t="s">
        <v>13</v>
      </c>
      <c r="F3232" s="5">
        <v>0</v>
      </c>
      <c r="G3232" s="5">
        <v>11191.98</v>
      </c>
      <c r="H3232" s="5">
        <f t="shared" si="100"/>
        <v>11191.98</v>
      </c>
      <c r="I3232" s="9">
        <f t="shared" si="101"/>
        <v>0</v>
      </c>
      <c r="J3232" s="3" t="s">
        <v>4603</v>
      </c>
    </row>
    <row r="3233" spans="1:10" ht="25.5">
      <c r="A3233" s="3" t="s">
        <v>1811</v>
      </c>
      <c r="B3233" s="3" t="s">
        <v>4089</v>
      </c>
      <c r="C3233" s="4">
        <v>15</v>
      </c>
      <c r="D3233" s="3" t="s">
        <v>33</v>
      </c>
      <c r="E3233" s="3" t="s">
        <v>13</v>
      </c>
      <c r="F3233" s="5">
        <v>59654.04</v>
      </c>
      <c r="G3233" s="5">
        <v>0</v>
      </c>
      <c r="H3233" s="5">
        <f t="shared" si="100"/>
        <v>-59654.04</v>
      </c>
      <c r="I3233" s="9">
        <f t="shared" si="101"/>
        <v>-1</v>
      </c>
      <c r="J3233" s="3" t="s">
        <v>4603</v>
      </c>
    </row>
    <row r="3234" spans="1:10" ht="38.25">
      <c r="A3234" s="3" t="s">
        <v>1811</v>
      </c>
      <c r="B3234" s="3" t="s">
        <v>4090</v>
      </c>
      <c r="C3234" s="4">
        <v>143</v>
      </c>
      <c r="D3234" s="3" t="s">
        <v>21</v>
      </c>
      <c r="E3234" s="3" t="s">
        <v>22</v>
      </c>
      <c r="F3234" s="5">
        <v>5723.16</v>
      </c>
      <c r="G3234" s="5">
        <v>9094.35</v>
      </c>
      <c r="H3234" s="5">
        <f t="shared" si="100"/>
        <v>3371.1900000000005</v>
      </c>
      <c r="I3234" s="9">
        <f t="shared" si="101"/>
        <v>0.58904346549808162</v>
      </c>
      <c r="J3234" s="3" t="s">
        <v>4603</v>
      </c>
    </row>
    <row r="3235" spans="1:10" ht="25.5">
      <c r="A3235" s="3" t="s">
        <v>1811</v>
      </c>
      <c r="B3235" s="3" t="s">
        <v>4091</v>
      </c>
      <c r="C3235" s="4">
        <v>266</v>
      </c>
      <c r="D3235" s="3" t="s">
        <v>111</v>
      </c>
      <c r="E3235" s="3" t="s">
        <v>18</v>
      </c>
      <c r="F3235" s="5">
        <v>0</v>
      </c>
      <c r="G3235" s="5">
        <v>20716.2</v>
      </c>
      <c r="H3235" s="5">
        <f t="shared" si="100"/>
        <v>20716.2</v>
      </c>
      <c r="I3235" s="9">
        <f t="shared" si="101"/>
        <v>0</v>
      </c>
      <c r="J3235" s="3" t="s">
        <v>4603</v>
      </c>
    </row>
    <row r="3236" spans="1:10" ht="25.5">
      <c r="A3236" s="3" t="s">
        <v>1811</v>
      </c>
      <c r="B3236" s="3" t="s">
        <v>4092</v>
      </c>
      <c r="C3236" s="4">
        <v>15</v>
      </c>
      <c r="D3236" s="3" t="s">
        <v>33</v>
      </c>
      <c r="E3236" s="3" t="s">
        <v>13</v>
      </c>
      <c r="F3236" s="5">
        <v>3230.64</v>
      </c>
      <c r="G3236" s="5">
        <v>0</v>
      </c>
      <c r="H3236" s="5">
        <f t="shared" si="100"/>
        <v>-3230.64</v>
      </c>
      <c r="I3236" s="9">
        <f t="shared" si="101"/>
        <v>-1</v>
      </c>
      <c r="J3236" s="3" t="s">
        <v>4603</v>
      </c>
    </row>
    <row r="3237" spans="1:10" ht="25.5">
      <c r="A3237" s="3" t="s">
        <v>1811</v>
      </c>
      <c r="B3237" s="3" t="s">
        <v>4093</v>
      </c>
      <c r="C3237" s="4">
        <v>93</v>
      </c>
      <c r="D3237" s="3" t="s">
        <v>42</v>
      </c>
      <c r="E3237" s="3" t="s">
        <v>8</v>
      </c>
      <c r="F3237" s="5">
        <v>3881.34</v>
      </c>
      <c r="G3237" s="5">
        <v>0</v>
      </c>
      <c r="H3237" s="5">
        <f t="shared" si="100"/>
        <v>-3881.34</v>
      </c>
      <c r="I3237" s="9">
        <f t="shared" si="101"/>
        <v>-1</v>
      </c>
      <c r="J3237" s="3" t="s">
        <v>4604</v>
      </c>
    </row>
    <row r="3238" spans="1:10" ht="38.25">
      <c r="A3238" s="3" t="s">
        <v>1811</v>
      </c>
      <c r="B3238" s="3" t="s">
        <v>4094</v>
      </c>
      <c r="C3238" s="4">
        <v>143</v>
      </c>
      <c r="D3238" s="3" t="s">
        <v>21</v>
      </c>
      <c r="E3238" s="3" t="s">
        <v>22</v>
      </c>
      <c r="F3238" s="5">
        <v>0</v>
      </c>
      <c r="G3238" s="5">
        <v>9343.2000000000007</v>
      </c>
      <c r="H3238" s="5">
        <f t="shared" si="100"/>
        <v>9343.2000000000007</v>
      </c>
      <c r="I3238" s="9">
        <f t="shared" si="101"/>
        <v>0</v>
      </c>
      <c r="J3238" s="3" t="s">
        <v>4603</v>
      </c>
    </row>
    <row r="3239" spans="1:10" ht="38.25">
      <c r="A3239" s="3" t="s">
        <v>1811</v>
      </c>
      <c r="B3239" s="3" t="s">
        <v>4095</v>
      </c>
      <c r="C3239" s="4">
        <v>38</v>
      </c>
      <c r="D3239" s="3" t="s">
        <v>229</v>
      </c>
      <c r="E3239" s="3" t="s">
        <v>30</v>
      </c>
      <c r="F3239" s="5">
        <v>0</v>
      </c>
      <c r="G3239" s="5">
        <v>16193.64</v>
      </c>
      <c r="H3239" s="5">
        <f t="shared" si="100"/>
        <v>16193.64</v>
      </c>
      <c r="I3239" s="9">
        <f t="shared" si="101"/>
        <v>0</v>
      </c>
      <c r="J3239" s="3" t="s">
        <v>4603</v>
      </c>
    </row>
    <row r="3240" spans="1:10" ht="38.25">
      <c r="A3240" s="3" t="s">
        <v>1811</v>
      </c>
      <c r="B3240" s="3" t="s">
        <v>4096</v>
      </c>
      <c r="C3240" s="4">
        <v>371</v>
      </c>
      <c r="D3240" s="3" t="s">
        <v>29</v>
      </c>
      <c r="E3240" s="3" t="s">
        <v>30</v>
      </c>
      <c r="F3240" s="5">
        <v>0</v>
      </c>
      <c r="G3240" s="5">
        <v>12530.04</v>
      </c>
      <c r="H3240" s="5">
        <f t="shared" si="100"/>
        <v>12530.04</v>
      </c>
      <c r="I3240" s="9">
        <f t="shared" si="101"/>
        <v>0</v>
      </c>
      <c r="J3240" s="3" t="s">
        <v>4603</v>
      </c>
    </row>
    <row r="3241" spans="1:10" ht="25.5">
      <c r="A3241" s="3" t="s">
        <v>1811</v>
      </c>
      <c r="B3241" s="3" t="s">
        <v>4097</v>
      </c>
      <c r="C3241" s="4">
        <v>53</v>
      </c>
      <c r="D3241" s="3" t="s">
        <v>340</v>
      </c>
      <c r="E3241" s="3" t="s">
        <v>13</v>
      </c>
      <c r="F3241" s="5">
        <v>3317.28</v>
      </c>
      <c r="G3241" s="5">
        <v>4028.88</v>
      </c>
      <c r="H3241" s="5">
        <f t="shared" si="100"/>
        <v>711.59999999999991</v>
      </c>
      <c r="I3241" s="9">
        <f t="shared" si="101"/>
        <v>0.21451309506583693</v>
      </c>
      <c r="J3241" s="3" t="s">
        <v>4603</v>
      </c>
    </row>
    <row r="3242" spans="1:10" ht="25.5">
      <c r="A3242" s="3" t="s">
        <v>1811</v>
      </c>
      <c r="B3242" s="3" t="s">
        <v>4098</v>
      </c>
      <c r="C3242" s="4">
        <v>261</v>
      </c>
      <c r="D3242" s="3" t="s">
        <v>17</v>
      </c>
      <c r="E3242" s="3" t="s">
        <v>18</v>
      </c>
      <c r="F3242" s="5">
        <v>9988.3799999999992</v>
      </c>
      <c r="G3242" s="5">
        <v>16730.64</v>
      </c>
      <c r="H3242" s="5">
        <f t="shared" si="100"/>
        <v>6742.26</v>
      </c>
      <c r="I3242" s="9">
        <f t="shared" si="101"/>
        <v>0.67501036204069131</v>
      </c>
      <c r="J3242" s="3" t="s">
        <v>4603</v>
      </c>
    </row>
    <row r="3243" spans="1:10" ht="25.5">
      <c r="A3243" s="3" t="s">
        <v>1811</v>
      </c>
      <c r="B3243" s="3" t="s">
        <v>4099</v>
      </c>
      <c r="C3243" s="4">
        <v>31</v>
      </c>
      <c r="D3243" s="3" t="s">
        <v>172</v>
      </c>
      <c r="E3243" s="3" t="s">
        <v>13</v>
      </c>
      <c r="F3243" s="5">
        <v>9272.82</v>
      </c>
      <c r="G3243" s="5">
        <v>7487.1</v>
      </c>
      <c r="H3243" s="5">
        <f t="shared" si="100"/>
        <v>-1785.7199999999993</v>
      </c>
      <c r="I3243" s="9">
        <f t="shared" si="101"/>
        <v>-0.19257572130161049</v>
      </c>
      <c r="J3243" s="3" t="s">
        <v>4603</v>
      </c>
    </row>
    <row r="3244" spans="1:10" ht="38.25">
      <c r="A3244" s="3" t="s">
        <v>1811</v>
      </c>
      <c r="B3244" s="3" t="s">
        <v>4100</v>
      </c>
      <c r="C3244" s="4">
        <v>273</v>
      </c>
      <c r="D3244" s="3" t="s">
        <v>771</v>
      </c>
      <c r="E3244" s="3" t="s">
        <v>18</v>
      </c>
      <c r="F3244" s="5">
        <v>9019.14</v>
      </c>
      <c r="G3244" s="5">
        <v>0</v>
      </c>
      <c r="H3244" s="5">
        <f t="shared" si="100"/>
        <v>-9019.14</v>
      </c>
      <c r="I3244" s="9">
        <f t="shared" si="101"/>
        <v>-1</v>
      </c>
      <c r="J3244" s="3" t="s">
        <v>4604</v>
      </c>
    </row>
    <row r="3245" spans="1:10" ht="25.5">
      <c r="A3245" s="3" t="s">
        <v>1811</v>
      </c>
      <c r="B3245" s="3" t="s">
        <v>4101</v>
      </c>
      <c r="C3245" s="4">
        <v>61</v>
      </c>
      <c r="D3245" s="3" t="s">
        <v>114</v>
      </c>
      <c r="E3245" s="3" t="s">
        <v>30</v>
      </c>
      <c r="F3245" s="5">
        <v>18004.080000000002</v>
      </c>
      <c r="G3245" s="5">
        <v>12545.14</v>
      </c>
      <c r="H3245" s="5">
        <f t="shared" si="100"/>
        <v>-5458.9400000000023</v>
      </c>
      <c r="I3245" s="9">
        <f t="shared" si="101"/>
        <v>-0.30320571781507311</v>
      </c>
      <c r="J3245" s="3" t="s">
        <v>4603</v>
      </c>
    </row>
    <row r="3246" spans="1:10" ht="25.5">
      <c r="A3246" s="3" t="s">
        <v>1811</v>
      </c>
      <c r="B3246" s="3" t="s">
        <v>4102</v>
      </c>
      <c r="C3246" s="4">
        <v>273</v>
      </c>
      <c r="D3246" s="3" t="s">
        <v>771</v>
      </c>
      <c r="E3246" s="3" t="s">
        <v>18</v>
      </c>
      <c r="F3246" s="5">
        <v>4307.76</v>
      </c>
      <c r="G3246" s="5">
        <v>0</v>
      </c>
      <c r="H3246" s="5">
        <f t="shared" si="100"/>
        <v>-4307.76</v>
      </c>
      <c r="I3246" s="9">
        <f t="shared" si="101"/>
        <v>-1</v>
      </c>
      <c r="J3246" s="3" t="s">
        <v>4604</v>
      </c>
    </row>
    <row r="3247" spans="1:10" ht="25.5">
      <c r="A3247" s="3" t="s">
        <v>1811</v>
      </c>
      <c r="B3247" s="3" t="s">
        <v>4103</v>
      </c>
      <c r="C3247" s="4">
        <v>208</v>
      </c>
      <c r="D3247" s="3" t="s">
        <v>58</v>
      </c>
      <c r="E3247" s="3" t="s">
        <v>13</v>
      </c>
      <c r="F3247" s="5">
        <v>6655.68</v>
      </c>
      <c r="G3247" s="5">
        <v>0</v>
      </c>
      <c r="H3247" s="5">
        <f t="shared" si="100"/>
        <v>-6655.68</v>
      </c>
      <c r="I3247" s="9">
        <f t="shared" si="101"/>
        <v>-1</v>
      </c>
      <c r="J3247" s="3" t="s">
        <v>4603</v>
      </c>
    </row>
    <row r="3248" spans="1:10">
      <c r="A3248" s="3" t="s">
        <v>1811</v>
      </c>
      <c r="B3248" s="3" t="s">
        <v>4104</v>
      </c>
      <c r="C3248" s="4">
        <v>232</v>
      </c>
      <c r="D3248" s="3" t="s">
        <v>95</v>
      </c>
      <c r="E3248" s="3" t="s">
        <v>13</v>
      </c>
      <c r="F3248" s="5">
        <v>0</v>
      </c>
      <c r="G3248" s="5">
        <v>4825.08</v>
      </c>
      <c r="H3248" s="5">
        <f t="shared" si="100"/>
        <v>4825.08</v>
      </c>
      <c r="I3248" s="9">
        <f t="shared" si="101"/>
        <v>0</v>
      </c>
      <c r="J3248" s="3" t="s">
        <v>4603</v>
      </c>
    </row>
    <row r="3249" spans="1:10" ht="25.5">
      <c r="A3249" s="3" t="s">
        <v>1811</v>
      </c>
      <c r="B3249" s="3" t="s">
        <v>4105</v>
      </c>
      <c r="C3249" s="4">
        <v>232</v>
      </c>
      <c r="D3249" s="3" t="s">
        <v>95</v>
      </c>
      <c r="E3249" s="3" t="s">
        <v>13</v>
      </c>
      <c r="F3249" s="5">
        <v>0</v>
      </c>
      <c r="G3249" s="5">
        <v>3694.8</v>
      </c>
      <c r="H3249" s="5">
        <f t="shared" si="100"/>
        <v>3694.8</v>
      </c>
      <c r="I3249" s="9">
        <f t="shared" si="101"/>
        <v>0</v>
      </c>
      <c r="J3249" s="3" t="s">
        <v>4603</v>
      </c>
    </row>
    <row r="3250" spans="1:10" ht="25.5">
      <c r="A3250" s="3" t="s">
        <v>1811</v>
      </c>
      <c r="B3250" s="3" t="s">
        <v>4106</v>
      </c>
      <c r="C3250" s="4">
        <v>218</v>
      </c>
      <c r="D3250" s="3" t="s">
        <v>155</v>
      </c>
      <c r="E3250" s="3" t="s">
        <v>13</v>
      </c>
      <c r="F3250" s="5">
        <v>0</v>
      </c>
      <c r="G3250" s="5">
        <v>11105.55</v>
      </c>
      <c r="H3250" s="5">
        <f t="shared" si="100"/>
        <v>11105.55</v>
      </c>
      <c r="I3250" s="9">
        <f t="shared" si="101"/>
        <v>0</v>
      </c>
      <c r="J3250" s="3" t="s">
        <v>4603</v>
      </c>
    </row>
    <row r="3251" spans="1:10" ht="38.25">
      <c r="A3251" s="3" t="s">
        <v>1811</v>
      </c>
      <c r="B3251" s="3" t="s">
        <v>4107</v>
      </c>
      <c r="C3251" s="4">
        <v>208</v>
      </c>
      <c r="D3251" s="3" t="s">
        <v>58</v>
      </c>
      <c r="E3251" s="3" t="s">
        <v>13</v>
      </c>
      <c r="F3251" s="5">
        <v>19371.599999999999</v>
      </c>
      <c r="G3251" s="5">
        <v>0</v>
      </c>
      <c r="H3251" s="5">
        <f t="shared" si="100"/>
        <v>-19371.599999999999</v>
      </c>
      <c r="I3251" s="9">
        <f t="shared" si="101"/>
        <v>-1</v>
      </c>
      <c r="J3251" s="3" t="s">
        <v>4603</v>
      </c>
    </row>
    <row r="3252" spans="1:10">
      <c r="A3252" s="3" t="s">
        <v>1811</v>
      </c>
      <c r="B3252" s="3" t="s">
        <v>4108</v>
      </c>
      <c r="C3252" s="4">
        <v>232</v>
      </c>
      <c r="D3252" s="3" t="s">
        <v>95</v>
      </c>
      <c r="E3252" s="3" t="s">
        <v>13</v>
      </c>
      <c r="F3252" s="5">
        <v>0</v>
      </c>
      <c r="G3252" s="5">
        <v>6745.29</v>
      </c>
      <c r="H3252" s="5">
        <f t="shared" si="100"/>
        <v>6745.29</v>
      </c>
      <c r="I3252" s="9">
        <f t="shared" si="101"/>
        <v>0</v>
      </c>
      <c r="J3252" s="3" t="s">
        <v>4603</v>
      </c>
    </row>
    <row r="3253" spans="1:10" ht="25.5">
      <c r="A3253" s="3" t="s">
        <v>1811</v>
      </c>
      <c r="B3253" s="3" t="s">
        <v>4109</v>
      </c>
      <c r="C3253" s="4">
        <v>197</v>
      </c>
      <c r="D3253" s="3" t="s">
        <v>23</v>
      </c>
      <c r="E3253" s="3" t="s">
        <v>22</v>
      </c>
      <c r="F3253" s="5">
        <v>4501.8500000000004</v>
      </c>
      <c r="G3253" s="5">
        <v>9767.52</v>
      </c>
      <c r="H3253" s="5">
        <f t="shared" si="100"/>
        <v>5265.67</v>
      </c>
      <c r="I3253" s="9">
        <f t="shared" si="101"/>
        <v>1.1696680253673488</v>
      </c>
      <c r="J3253" s="3" t="s">
        <v>4603</v>
      </c>
    </row>
    <row r="3254" spans="1:10" ht="25.5">
      <c r="A3254" s="3" t="s">
        <v>1811</v>
      </c>
      <c r="B3254" s="3" t="s">
        <v>4110</v>
      </c>
      <c r="C3254" s="4">
        <v>327</v>
      </c>
      <c r="D3254" s="3" t="s">
        <v>76</v>
      </c>
      <c r="E3254" s="3" t="s">
        <v>8</v>
      </c>
      <c r="F3254" s="5">
        <v>0</v>
      </c>
      <c r="G3254" s="5">
        <v>3580.74</v>
      </c>
      <c r="H3254" s="5">
        <f t="shared" si="100"/>
        <v>3580.74</v>
      </c>
      <c r="I3254" s="9">
        <f t="shared" si="101"/>
        <v>0</v>
      </c>
      <c r="J3254" s="3" t="s">
        <v>4603</v>
      </c>
    </row>
    <row r="3255" spans="1:10" ht="25.5">
      <c r="A3255" s="3" t="s">
        <v>1811</v>
      </c>
      <c r="B3255" s="3" t="s">
        <v>4111</v>
      </c>
      <c r="C3255" s="4">
        <v>240</v>
      </c>
      <c r="D3255" s="3" t="s">
        <v>152</v>
      </c>
      <c r="E3255" s="3" t="s">
        <v>13</v>
      </c>
      <c r="F3255" s="5">
        <v>4466.6400000000003</v>
      </c>
      <c r="G3255" s="5">
        <v>0</v>
      </c>
      <c r="H3255" s="5">
        <f t="shared" si="100"/>
        <v>-4466.6400000000003</v>
      </c>
      <c r="I3255" s="9">
        <f t="shared" si="101"/>
        <v>-1</v>
      </c>
      <c r="J3255" s="3" t="s">
        <v>4603</v>
      </c>
    </row>
    <row r="3256" spans="1:10" ht="38.25">
      <c r="A3256" s="3" t="s">
        <v>1811</v>
      </c>
      <c r="B3256" s="3" t="s">
        <v>4112</v>
      </c>
      <c r="C3256" s="4">
        <v>45</v>
      </c>
      <c r="D3256" s="3" t="s">
        <v>16</v>
      </c>
      <c r="E3256" s="3" t="s">
        <v>8</v>
      </c>
      <c r="F3256" s="5">
        <v>15110.66</v>
      </c>
      <c r="G3256" s="5">
        <v>14617.41</v>
      </c>
      <c r="H3256" s="5">
        <f t="shared" si="100"/>
        <v>-493.25</v>
      </c>
      <c r="I3256" s="9">
        <f t="shared" si="101"/>
        <v>-3.2642518592834513E-2</v>
      </c>
      <c r="J3256" s="3" t="s">
        <v>4603</v>
      </c>
    </row>
    <row r="3257" spans="1:10" ht="25.5">
      <c r="A3257" s="3" t="s">
        <v>1811</v>
      </c>
      <c r="B3257" s="3" t="s">
        <v>4113</v>
      </c>
      <c r="C3257" s="4">
        <v>167</v>
      </c>
      <c r="D3257" s="3" t="s">
        <v>335</v>
      </c>
      <c r="E3257" s="3" t="s">
        <v>30</v>
      </c>
      <c r="F3257" s="5">
        <v>20924.52</v>
      </c>
      <c r="G3257" s="5">
        <v>23437.919999999998</v>
      </c>
      <c r="H3257" s="5">
        <f t="shared" si="100"/>
        <v>2513.3999999999978</v>
      </c>
      <c r="I3257" s="9">
        <f t="shared" si="101"/>
        <v>0.12011745072288393</v>
      </c>
      <c r="J3257" s="3" t="s">
        <v>4603</v>
      </c>
    </row>
    <row r="3258" spans="1:10" ht="25.5">
      <c r="A3258" s="3" t="s">
        <v>1811</v>
      </c>
      <c r="B3258" s="3" t="s">
        <v>4114</v>
      </c>
      <c r="C3258" s="4">
        <v>23</v>
      </c>
      <c r="D3258" s="3" t="s">
        <v>71</v>
      </c>
      <c r="E3258" s="3" t="s">
        <v>8</v>
      </c>
      <c r="F3258" s="5">
        <v>30420.99</v>
      </c>
      <c r="G3258" s="5">
        <v>25344.720000000001</v>
      </c>
      <c r="H3258" s="5">
        <f t="shared" si="100"/>
        <v>-5076.2700000000004</v>
      </c>
      <c r="I3258" s="9">
        <f t="shared" si="101"/>
        <v>-0.16686735047084267</v>
      </c>
      <c r="J3258" s="3" t="s">
        <v>4604</v>
      </c>
    </row>
    <row r="3259" spans="1:10" ht="25.5">
      <c r="A3259" s="3" t="s">
        <v>1811</v>
      </c>
      <c r="B3259" s="3" t="s">
        <v>4115</v>
      </c>
      <c r="C3259" s="4">
        <v>23</v>
      </c>
      <c r="D3259" s="3" t="s">
        <v>71</v>
      </c>
      <c r="E3259" s="3" t="s">
        <v>8</v>
      </c>
      <c r="F3259" s="5">
        <v>17032.2</v>
      </c>
      <c r="G3259" s="5">
        <v>61338.582000000002</v>
      </c>
      <c r="H3259" s="5">
        <f t="shared" si="100"/>
        <v>44306.381999999998</v>
      </c>
      <c r="I3259" s="9">
        <f t="shared" si="101"/>
        <v>2.6013305386268364</v>
      </c>
      <c r="J3259" s="3" t="s">
        <v>4603</v>
      </c>
    </row>
    <row r="3260" spans="1:10" ht="38.25">
      <c r="A3260" s="3" t="s">
        <v>1811</v>
      </c>
      <c r="B3260" s="3" t="s">
        <v>4116</v>
      </c>
      <c r="C3260" s="4">
        <v>371</v>
      </c>
      <c r="D3260" s="3" t="s">
        <v>29</v>
      </c>
      <c r="E3260" s="3" t="s">
        <v>30</v>
      </c>
      <c r="F3260" s="5">
        <v>2243.4899999999998</v>
      </c>
      <c r="G3260" s="5">
        <v>2636.82</v>
      </c>
      <c r="H3260" s="5">
        <f t="shared" si="100"/>
        <v>393.33000000000038</v>
      </c>
      <c r="I3260" s="9">
        <f t="shared" si="101"/>
        <v>0.17532059425270474</v>
      </c>
      <c r="J3260" s="3" t="s">
        <v>4603</v>
      </c>
    </row>
    <row r="3261" spans="1:10" ht="25.5">
      <c r="A3261" s="3" t="s">
        <v>1811</v>
      </c>
      <c r="B3261" s="3" t="s">
        <v>4117</v>
      </c>
      <c r="C3261" s="4">
        <v>317</v>
      </c>
      <c r="D3261" s="3" t="s">
        <v>54</v>
      </c>
      <c r="E3261" s="3" t="s">
        <v>18</v>
      </c>
      <c r="F3261" s="5">
        <v>0</v>
      </c>
      <c r="G3261" s="5">
        <v>3888.36</v>
      </c>
      <c r="H3261" s="5">
        <f t="shared" si="100"/>
        <v>3888.36</v>
      </c>
      <c r="I3261" s="9">
        <f t="shared" si="101"/>
        <v>0</v>
      </c>
      <c r="J3261" s="3" t="s">
        <v>4604</v>
      </c>
    </row>
    <row r="3262" spans="1:10" ht="25.5">
      <c r="A3262" s="3" t="s">
        <v>1811</v>
      </c>
      <c r="B3262" s="3" t="s">
        <v>4118</v>
      </c>
      <c r="C3262" s="4">
        <v>23</v>
      </c>
      <c r="D3262" s="3" t="s">
        <v>71</v>
      </c>
      <c r="E3262" s="3" t="s">
        <v>8</v>
      </c>
      <c r="F3262" s="5">
        <v>0</v>
      </c>
      <c r="G3262" s="5">
        <v>8748.5400000000009</v>
      </c>
      <c r="H3262" s="5">
        <f t="shared" si="100"/>
        <v>8748.5400000000009</v>
      </c>
      <c r="I3262" s="9">
        <f t="shared" si="101"/>
        <v>0</v>
      </c>
      <c r="J3262" s="3" t="s">
        <v>4603</v>
      </c>
    </row>
    <row r="3263" spans="1:10" ht="38.25">
      <c r="A3263" s="3" t="s">
        <v>1811</v>
      </c>
      <c r="B3263" s="3" t="s">
        <v>4119</v>
      </c>
      <c r="C3263" s="4">
        <v>45</v>
      </c>
      <c r="D3263" s="3" t="s">
        <v>16</v>
      </c>
      <c r="E3263" s="3" t="s">
        <v>8</v>
      </c>
      <c r="F3263" s="5">
        <v>0</v>
      </c>
      <c r="G3263" s="5">
        <v>27351.78</v>
      </c>
      <c r="H3263" s="5">
        <f t="shared" si="100"/>
        <v>27351.78</v>
      </c>
      <c r="I3263" s="9">
        <f t="shared" si="101"/>
        <v>0</v>
      </c>
      <c r="J3263" s="3" t="s">
        <v>4603</v>
      </c>
    </row>
    <row r="3264" spans="1:10" ht="38.25">
      <c r="A3264" s="3" t="s">
        <v>1811</v>
      </c>
      <c r="B3264" s="3" t="s">
        <v>4120</v>
      </c>
      <c r="C3264" s="4">
        <v>143</v>
      </c>
      <c r="D3264" s="3" t="s">
        <v>21</v>
      </c>
      <c r="E3264" s="3" t="s">
        <v>22</v>
      </c>
      <c r="F3264" s="5">
        <v>3683.4</v>
      </c>
      <c r="G3264" s="5">
        <v>0</v>
      </c>
      <c r="H3264" s="5">
        <f t="shared" si="100"/>
        <v>-3683.4</v>
      </c>
      <c r="I3264" s="9">
        <f t="shared" si="101"/>
        <v>-1</v>
      </c>
      <c r="J3264" s="3" t="s">
        <v>4604</v>
      </c>
    </row>
    <row r="3265" spans="1:10" ht="25.5">
      <c r="A3265" s="3" t="s">
        <v>1811</v>
      </c>
      <c r="B3265" s="3" t="s">
        <v>4121</v>
      </c>
      <c r="C3265" s="4">
        <v>23</v>
      </c>
      <c r="D3265" s="3" t="s">
        <v>71</v>
      </c>
      <c r="E3265" s="3" t="s">
        <v>8</v>
      </c>
      <c r="F3265" s="5">
        <v>0</v>
      </c>
      <c r="G3265" s="5">
        <v>1597.92</v>
      </c>
      <c r="H3265" s="5">
        <f t="shared" si="100"/>
        <v>1597.92</v>
      </c>
      <c r="I3265" s="9">
        <f t="shared" si="101"/>
        <v>0</v>
      </c>
      <c r="J3265" s="3" t="s">
        <v>4603</v>
      </c>
    </row>
    <row r="3266" spans="1:10" ht="38.25">
      <c r="A3266" s="3" t="s">
        <v>1811</v>
      </c>
      <c r="B3266" s="3" t="s">
        <v>4122</v>
      </c>
      <c r="C3266" s="4">
        <v>45</v>
      </c>
      <c r="D3266" s="3" t="s">
        <v>16</v>
      </c>
      <c r="E3266" s="3" t="s">
        <v>8</v>
      </c>
      <c r="F3266" s="5">
        <v>25504.62</v>
      </c>
      <c r="G3266" s="5">
        <v>10288.32</v>
      </c>
      <c r="H3266" s="5">
        <f t="shared" si="100"/>
        <v>-15216.3</v>
      </c>
      <c r="I3266" s="9">
        <f t="shared" si="101"/>
        <v>-0.59660955544524874</v>
      </c>
      <c r="J3266" s="3" t="s">
        <v>4604</v>
      </c>
    </row>
    <row r="3267" spans="1:10" ht="25.5">
      <c r="A3267" s="3" t="s">
        <v>1811</v>
      </c>
      <c r="B3267" s="3" t="s">
        <v>4123</v>
      </c>
      <c r="C3267" s="4">
        <v>197</v>
      </c>
      <c r="D3267" s="3" t="s">
        <v>23</v>
      </c>
      <c r="E3267" s="3" t="s">
        <v>22</v>
      </c>
      <c r="F3267" s="5">
        <v>1913.7</v>
      </c>
      <c r="G3267" s="5">
        <v>0</v>
      </c>
      <c r="H3267" s="5">
        <f t="shared" ref="H3267:H3330" si="102">G3267-F3267</f>
        <v>-1913.7</v>
      </c>
      <c r="I3267" s="9">
        <f t="shared" ref="I3267:I3330" si="103">IFERROR(G3267/F3267-1,0)</f>
        <v>-1</v>
      </c>
      <c r="J3267" s="3" t="s">
        <v>4603</v>
      </c>
    </row>
    <row r="3268" spans="1:10" ht="25.5">
      <c r="A3268" s="3" t="s">
        <v>1811</v>
      </c>
      <c r="B3268" s="3" t="s">
        <v>4124</v>
      </c>
      <c r="C3268" s="4">
        <v>335</v>
      </c>
      <c r="D3268" s="3" t="s">
        <v>7</v>
      </c>
      <c r="E3268" s="3" t="s">
        <v>8</v>
      </c>
      <c r="F3268" s="5">
        <v>0</v>
      </c>
      <c r="G3268" s="5">
        <v>2237.16</v>
      </c>
      <c r="H3268" s="5">
        <f t="shared" si="102"/>
        <v>2237.16</v>
      </c>
      <c r="I3268" s="9">
        <f t="shared" si="103"/>
        <v>0</v>
      </c>
      <c r="J3268" s="3" t="s">
        <v>4603</v>
      </c>
    </row>
    <row r="3269" spans="1:10" ht="25.5">
      <c r="A3269" s="3" t="s">
        <v>1811</v>
      </c>
      <c r="B3269" s="3" t="s">
        <v>4125</v>
      </c>
      <c r="C3269" s="4">
        <v>297</v>
      </c>
      <c r="D3269" s="3" t="s">
        <v>209</v>
      </c>
      <c r="E3269" s="3" t="s">
        <v>22</v>
      </c>
      <c r="F3269" s="5">
        <v>10218.24</v>
      </c>
      <c r="G3269" s="5">
        <v>0</v>
      </c>
      <c r="H3269" s="5">
        <f t="shared" si="102"/>
        <v>-10218.24</v>
      </c>
      <c r="I3269" s="9">
        <f t="shared" si="103"/>
        <v>-1</v>
      </c>
      <c r="J3269" s="3" t="s">
        <v>4603</v>
      </c>
    </row>
    <row r="3270" spans="1:10" ht="25.5">
      <c r="A3270" s="3" t="s">
        <v>1811</v>
      </c>
      <c r="B3270" s="3" t="s">
        <v>4126</v>
      </c>
      <c r="C3270" s="4">
        <v>299</v>
      </c>
      <c r="D3270" s="3" t="s">
        <v>246</v>
      </c>
      <c r="E3270" s="3" t="s">
        <v>30</v>
      </c>
      <c r="F3270" s="5">
        <v>11488.14</v>
      </c>
      <c r="G3270" s="5">
        <v>10443.93</v>
      </c>
      <c r="H3270" s="5">
        <f t="shared" si="102"/>
        <v>-1044.2099999999991</v>
      </c>
      <c r="I3270" s="9">
        <f t="shared" si="103"/>
        <v>-9.0894609571262164E-2</v>
      </c>
      <c r="J3270" s="3" t="s">
        <v>4603</v>
      </c>
    </row>
    <row r="3271" spans="1:10" ht="25.5">
      <c r="A3271" s="3" t="s">
        <v>1811</v>
      </c>
      <c r="B3271" s="3" t="s">
        <v>4127</v>
      </c>
      <c r="C3271" s="4">
        <v>31</v>
      </c>
      <c r="D3271" s="3" t="s">
        <v>172</v>
      </c>
      <c r="E3271" s="3" t="s">
        <v>13</v>
      </c>
      <c r="F3271" s="5">
        <v>14817.36</v>
      </c>
      <c r="G3271" s="5">
        <v>36290.97</v>
      </c>
      <c r="H3271" s="5">
        <f t="shared" si="102"/>
        <v>21473.61</v>
      </c>
      <c r="I3271" s="9">
        <f t="shared" si="103"/>
        <v>1.449219699055702</v>
      </c>
      <c r="J3271" s="3" t="s">
        <v>4603</v>
      </c>
    </row>
    <row r="3272" spans="1:10" ht="25.5">
      <c r="A3272" s="3" t="s">
        <v>1811</v>
      </c>
      <c r="B3272" s="3" t="s">
        <v>4128</v>
      </c>
      <c r="C3272" s="4">
        <v>270</v>
      </c>
      <c r="D3272" s="3" t="s">
        <v>312</v>
      </c>
      <c r="E3272" s="3" t="s">
        <v>30</v>
      </c>
      <c r="F3272" s="5">
        <v>3437.34</v>
      </c>
      <c r="G3272" s="5">
        <v>0</v>
      </c>
      <c r="H3272" s="5">
        <f t="shared" si="102"/>
        <v>-3437.34</v>
      </c>
      <c r="I3272" s="9">
        <f t="shared" si="103"/>
        <v>-1</v>
      </c>
      <c r="J3272" s="3" t="s">
        <v>4604</v>
      </c>
    </row>
    <row r="3273" spans="1:10" ht="25.5">
      <c r="A3273" s="3" t="s">
        <v>1811</v>
      </c>
      <c r="B3273" s="3" t="s">
        <v>4129</v>
      </c>
      <c r="C3273" s="4">
        <v>74</v>
      </c>
      <c r="D3273" s="3" t="s">
        <v>86</v>
      </c>
      <c r="E3273" s="3" t="s">
        <v>8</v>
      </c>
      <c r="F3273" s="5">
        <v>0</v>
      </c>
      <c r="G3273" s="5">
        <v>8735.8799999999992</v>
      </c>
      <c r="H3273" s="5">
        <f t="shared" si="102"/>
        <v>8735.8799999999992</v>
      </c>
      <c r="I3273" s="9">
        <f t="shared" si="103"/>
        <v>0</v>
      </c>
      <c r="J3273" s="3" t="s">
        <v>4603</v>
      </c>
    </row>
    <row r="3274" spans="1:10" ht="38.25">
      <c r="A3274" s="3" t="s">
        <v>1811</v>
      </c>
      <c r="B3274" s="3" t="s">
        <v>4130</v>
      </c>
      <c r="C3274" s="4">
        <v>74</v>
      </c>
      <c r="D3274" s="3" t="s">
        <v>86</v>
      </c>
      <c r="E3274" s="3" t="s">
        <v>8</v>
      </c>
      <c r="F3274" s="5">
        <v>4571.34</v>
      </c>
      <c r="G3274" s="5">
        <v>0</v>
      </c>
      <c r="H3274" s="5">
        <f t="shared" si="102"/>
        <v>-4571.34</v>
      </c>
      <c r="I3274" s="9">
        <f t="shared" si="103"/>
        <v>-1</v>
      </c>
      <c r="J3274" s="3" t="s">
        <v>4603</v>
      </c>
    </row>
    <row r="3275" spans="1:10" ht="38.25">
      <c r="A3275" s="3" t="s">
        <v>1811</v>
      </c>
      <c r="B3275" s="3" t="s">
        <v>4131</v>
      </c>
      <c r="C3275" s="4">
        <v>45</v>
      </c>
      <c r="D3275" s="3" t="s">
        <v>16</v>
      </c>
      <c r="E3275" s="3" t="s">
        <v>8</v>
      </c>
      <c r="F3275" s="5">
        <v>0</v>
      </c>
      <c r="G3275" s="5">
        <v>3003.6</v>
      </c>
      <c r="H3275" s="5">
        <f t="shared" si="102"/>
        <v>3003.6</v>
      </c>
      <c r="I3275" s="9">
        <f t="shared" si="103"/>
        <v>0</v>
      </c>
      <c r="J3275" s="3" t="s">
        <v>4603</v>
      </c>
    </row>
    <row r="3276" spans="1:10" ht="25.5">
      <c r="A3276" s="3" t="s">
        <v>1811</v>
      </c>
      <c r="B3276" s="3" t="s">
        <v>4132</v>
      </c>
      <c r="C3276" s="4">
        <v>264</v>
      </c>
      <c r="D3276" s="3" t="s">
        <v>632</v>
      </c>
      <c r="E3276" s="3" t="s">
        <v>18</v>
      </c>
      <c r="F3276" s="5">
        <v>1431.6</v>
      </c>
      <c r="G3276" s="5">
        <v>0</v>
      </c>
      <c r="H3276" s="5">
        <f t="shared" si="102"/>
        <v>-1431.6</v>
      </c>
      <c r="I3276" s="9">
        <f t="shared" si="103"/>
        <v>-1</v>
      </c>
      <c r="J3276" s="3" t="s">
        <v>4603</v>
      </c>
    </row>
    <row r="3277" spans="1:10" ht="25.5">
      <c r="A3277" s="3" t="s">
        <v>1811</v>
      </c>
      <c r="B3277" s="3" t="s">
        <v>4132</v>
      </c>
      <c r="C3277" s="4">
        <v>264</v>
      </c>
      <c r="D3277" s="3" t="s">
        <v>632</v>
      </c>
      <c r="E3277" s="3" t="s">
        <v>22</v>
      </c>
      <c r="F3277" s="5">
        <v>1431.6</v>
      </c>
      <c r="G3277" s="5">
        <v>0</v>
      </c>
      <c r="H3277" s="5">
        <f t="shared" si="102"/>
        <v>-1431.6</v>
      </c>
      <c r="I3277" s="9">
        <f t="shared" si="103"/>
        <v>-1</v>
      </c>
      <c r="J3277" s="3" t="s">
        <v>4603</v>
      </c>
    </row>
    <row r="3278" spans="1:10" ht="25.5">
      <c r="A3278" s="3" t="s">
        <v>1811</v>
      </c>
      <c r="B3278" s="3" t="s">
        <v>4132</v>
      </c>
      <c r="C3278" s="4">
        <v>264</v>
      </c>
      <c r="D3278" s="3" t="s">
        <v>632</v>
      </c>
      <c r="E3278" s="3" t="s">
        <v>8</v>
      </c>
      <c r="F3278" s="5">
        <v>1431.6</v>
      </c>
      <c r="G3278" s="5">
        <v>0</v>
      </c>
      <c r="H3278" s="5">
        <f t="shared" si="102"/>
        <v>-1431.6</v>
      </c>
      <c r="I3278" s="9">
        <f t="shared" si="103"/>
        <v>-1</v>
      </c>
      <c r="J3278" s="3" t="s">
        <v>4603</v>
      </c>
    </row>
    <row r="3279" spans="1:10" ht="25.5">
      <c r="A3279" s="3" t="s">
        <v>1811</v>
      </c>
      <c r="B3279" s="3" t="s">
        <v>4133</v>
      </c>
      <c r="C3279" s="4">
        <v>273</v>
      </c>
      <c r="D3279" s="3" t="s">
        <v>771</v>
      </c>
      <c r="E3279" s="3" t="s">
        <v>13</v>
      </c>
      <c r="F3279" s="5">
        <v>9415.74</v>
      </c>
      <c r="G3279" s="5">
        <v>0</v>
      </c>
      <c r="H3279" s="5">
        <f t="shared" si="102"/>
        <v>-9415.74</v>
      </c>
      <c r="I3279" s="9">
        <f t="shared" si="103"/>
        <v>-1</v>
      </c>
      <c r="J3279" s="3" t="s">
        <v>4604</v>
      </c>
    </row>
    <row r="3280" spans="1:10" ht="25.5">
      <c r="A3280" s="3" t="s">
        <v>1811</v>
      </c>
      <c r="B3280" s="3" t="s">
        <v>4134</v>
      </c>
      <c r="C3280" s="4">
        <v>194</v>
      </c>
      <c r="D3280" s="3" t="s">
        <v>179</v>
      </c>
      <c r="E3280" s="3" t="s">
        <v>13</v>
      </c>
      <c r="F3280" s="5">
        <v>14457.3</v>
      </c>
      <c r="G3280" s="5">
        <v>17375.52</v>
      </c>
      <c r="H3280" s="5">
        <f t="shared" si="102"/>
        <v>2918.2200000000012</v>
      </c>
      <c r="I3280" s="9">
        <f t="shared" si="103"/>
        <v>0.20185096802307489</v>
      </c>
      <c r="J3280" s="3" t="s">
        <v>4603</v>
      </c>
    </row>
    <row r="3281" spans="1:10">
      <c r="A3281" s="3" t="s">
        <v>1811</v>
      </c>
      <c r="B3281" s="3" t="s">
        <v>4135</v>
      </c>
      <c r="C3281" s="4">
        <v>315</v>
      </c>
      <c r="D3281" s="3" t="s">
        <v>79</v>
      </c>
      <c r="E3281" s="3" t="s">
        <v>8</v>
      </c>
      <c r="F3281" s="5">
        <v>6476.88</v>
      </c>
      <c r="G3281" s="5">
        <v>9882.9660000000003</v>
      </c>
      <c r="H3281" s="5">
        <f t="shared" si="102"/>
        <v>3406.0860000000002</v>
      </c>
      <c r="I3281" s="9">
        <f t="shared" si="103"/>
        <v>0.52588375884685212</v>
      </c>
      <c r="J3281" s="3" t="s">
        <v>4603</v>
      </c>
    </row>
    <row r="3282" spans="1:10" ht="25.5">
      <c r="A3282" s="3" t="s">
        <v>1811</v>
      </c>
      <c r="B3282" s="3" t="s">
        <v>4136</v>
      </c>
      <c r="C3282" s="4">
        <v>217</v>
      </c>
      <c r="D3282" s="3" t="s">
        <v>253</v>
      </c>
      <c r="E3282" s="3" t="s">
        <v>13</v>
      </c>
      <c r="F3282" s="5">
        <v>5653.68</v>
      </c>
      <c r="G3282" s="5">
        <v>0</v>
      </c>
      <c r="H3282" s="5">
        <f t="shared" si="102"/>
        <v>-5653.68</v>
      </c>
      <c r="I3282" s="9">
        <f t="shared" si="103"/>
        <v>-1</v>
      </c>
      <c r="J3282" s="3" t="s">
        <v>4603</v>
      </c>
    </row>
    <row r="3283" spans="1:10" ht="25.5">
      <c r="A3283" s="3" t="s">
        <v>1811</v>
      </c>
      <c r="B3283" s="3" t="s">
        <v>4137</v>
      </c>
      <c r="C3283" s="4">
        <v>321</v>
      </c>
      <c r="D3283" s="3" t="s">
        <v>125</v>
      </c>
      <c r="E3283" s="3" t="s">
        <v>22</v>
      </c>
      <c r="F3283" s="5">
        <v>4935.8500000000004</v>
      </c>
      <c r="G3283" s="5">
        <v>0</v>
      </c>
      <c r="H3283" s="5">
        <f t="shared" si="102"/>
        <v>-4935.8500000000004</v>
      </c>
      <c r="I3283" s="9">
        <f t="shared" si="103"/>
        <v>-1</v>
      </c>
      <c r="J3283" s="3" t="s">
        <v>4603</v>
      </c>
    </row>
    <row r="3284" spans="1:10" ht="38.25">
      <c r="A3284" s="3" t="s">
        <v>1811</v>
      </c>
      <c r="B3284" s="3" t="s">
        <v>4138</v>
      </c>
      <c r="C3284" s="4">
        <v>143</v>
      </c>
      <c r="D3284" s="3" t="s">
        <v>21</v>
      </c>
      <c r="E3284" s="3" t="s">
        <v>22</v>
      </c>
      <c r="F3284" s="5">
        <v>0</v>
      </c>
      <c r="G3284" s="5">
        <v>8050.92</v>
      </c>
      <c r="H3284" s="5">
        <f t="shared" si="102"/>
        <v>8050.92</v>
      </c>
      <c r="I3284" s="9">
        <f t="shared" si="103"/>
        <v>0</v>
      </c>
      <c r="J3284" s="3" t="s">
        <v>4604</v>
      </c>
    </row>
    <row r="3285" spans="1:10" ht="51">
      <c r="A3285" s="3" t="s">
        <v>1811</v>
      </c>
      <c r="B3285" s="3" t="s">
        <v>4139</v>
      </c>
      <c r="C3285" s="4">
        <v>282</v>
      </c>
      <c r="D3285" s="3" t="s">
        <v>298</v>
      </c>
      <c r="E3285" s="3" t="s">
        <v>9</v>
      </c>
      <c r="F3285" s="5">
        <v>0</v>
      </c>
      <c r="G3285" s="5">
        <v>2720.38</v>
      </c>
      <c r="H3285" s="5">
        <f t="shared" si="102"/>
        <v>2720.38</v>
      </c>
      <c r="I3285" s="9">
        <f t="shared" si="103"/>
        <v>0</v>
      </c>
      <c r="J3285" s="3" t="s">
        <v>4603</v>
      </c>
    </row>
    <row r="3286" spans="1:10" ht="38.25">
      <c r="A3286" s="3" t="s">
        <v>1811</v>
      </c>
      <c r="B3286" s="3" t="s">
        <v>4140</v>
      </c>
      <c r="C3286" s="4">
        <v>38</v>
      </c>
      <c r="D3286" s="3" t="s">
        <v>229</v>
      </c>
      <c r="E3286" s="3" t="s">
        <v>30</v>
      </c>
      <c r="F3286" s="5">
        <v>0</v>
      </c>
      <c r="G3286" s="5">
        <v>3912.06</v>
      </c>
      <c r="H3286" s="5">
        <f t="shared" si="102"/>
        <v>3912.06</v>
      </c>
      <c r="I3286" s="9">
        <f t="shared" si="103"/>
        <v>0</v>
      </c>
      <c r="J3286" s="3" t="s">
        <v>4603</v>
      </c>
    </row>
    <row r="3287" spans="1:10">
      <c r="A3287" s="3" t="s">
        <v>1811</v>
      </c>
      <c r="B3287" s="3" t="s">
        <v>4141</v>
      </c>
      <c r="C3287" s="4">
        <v>15</v>
      </c>
      <c r="D3287" s="3" t="s">
        <v>33</v>
      </c>
      <c r="E3287" s="3" t="s">
        <v>13</v>
      </c>
      <c r="F3287" s="5">
        <v>0</v>
      </c>
      <c r="G3287" s="5">
        <v>40587.300000000003</v>
      </c>
      <c r="H3287" s="5">
        <f t="shared" si="102"/>
        <v>40587.300000000003</v>
      </c>
      <c r="I3287" s="9">
        <f t="shared" si="103"/>
        <v>0</v>
      </c>
      <c r="J3287" s="3" t="s">
        <v>4604</v>
      </c>
    </row>
    <row r="3288" spans="1:10" ht="25.5">
      <c r="A3288" s="3" t="s">
        <v>1811</v>
      </c>
      <c r="B3288" s="3" t="s">
        <v>4142</v>
      </c>
      <c r="C3288" s="4">
        <v>187</v>
      </c>
      <c r="D3288" s="3" t="s">
        <v>460</v>
      </c>
      <c r="E3288" s="3" t="s">
        <v>8</v>
      </c>
      <c r="F3288" s="5">
        <v>3014.28</v>
      </c>
      <c r="G3288" s="5">
        <v>3667.2</v>
      </c>
      <c r="H3288" s="5">
        <f t="shared" si="102"/>
        <v>652.91999999999962</v>
      </c>
      <c r="I3288" s="9">
        <f t="shared" si="103"/>
        <v>0.21660894143875131</v>
      </c>
      <c r="J3288" s="3" t="s">
        <v>4603</v>
      </c>
    </row>
    <row r="3289" spans="1:10" ht="38.25">
      <c r="A3289" s="3" t="s">
        <v>1811</v>
      </c>
      <c r="B3289" s="3" t="s">
        <v>4143</v>
      </c>
      <c r="C3289" s="4">
        <v>45</v>
      </c>
      <c r="D3289" s="3" t="s">
        <v>16</v>
      </c>
      <c r="E3289" s="3" t="s">
        <v>8</v>
      </c>
      <c r="F3289" s="5">
        <v>0</v>
      </c>
      <c r="G3289" s="5">
        <v>14001.54</v>
      </c>
      <c r="H3289" s="5">
        <f t="shared" si="102"/>
        <v>14001.54</v>
      </c>
      <c r="I3289" s="9">
        <f t="shared" si="103"/>
        <v>0</v>
      </c>
      <c r="J3289" s="3" t="s">
        <v>4603</v>
      </c>
    </row>
    <row r="3290" spans="1:10" ht="25.5">
      <c r="A3290" s="3" t="s">
        <v>1811</v>
      </c>
      <c r="B3290" s="3" t="s">
        <v>4144</v>
      </c>
      <c r="C3290" s="4">
        <v>93</v>
      </c>
      <c r="D3290" s="3" t="s">
        <v>42</v>
      </c>
      <c r="E3290" s="3" t="s">
        <v>8</v>
      </c>
      <c r="F3290" s="5">
        <v>0</v>
      </c>
      <c r="G3290" s="5">
        <v>8036.76</v>
      </c>
      <c r="H3290" s="5">
        <f t="shared" si="102"/>
        <v>8036.76</v>
      </c>
      <c r="I3290" s="9">
        <f t="shared" si="103"/>
        <v>0</v>
      </c>
      <c r="J3290" s="3" t="s">
        <v>4603</v>
      </c>
    </row>
    <row r="3291" spans="1:10" ht="25.5">
      <c r="A3291" s="3" t="s">
        <v>1811</v>
      </c>
      <c r="B3291" s="3" t="s">
        <v>4145</v>
      </c>
      <c r="C3291" s="4">
        <v>23</v>
      </c>
      <c r="D3291" s="3" t="s">
        <v>71</v>
      </c>
      <c r="E3291" s="3" t="s">
        <v>8</v>
      </c>
      <c r="F3291" s="5">
        <v>0</v>
      </c>
      <c r="G3291" s="5">
        <v>7289.76</v>
      </c>
      <c r="H3291" s="5">
        <f t="shared" si="102"/>
        <v>7289.76</v>
      </c>
      <c r="I3291" s="9">
        <f t="shared" si="103"/>
        <v>0</v>
      </c>
      <c r="J3291" s="3" t="s">
        <v>4603</v>
      </c>
    </row>
    <row r="3292" spans="1:10" ht="25.5">
      <c r="A3292" s="3" t="s">
        <v>1811</v>
      </c>
      <c r="B3292" s="3" t="s">
        <v>4146</v>
      </c>
      <c r="C3292" s="4">
        <v>240</v>
      </c>
      <c r="D3292" s="3" t="s">
        <v>152</v>
      </c>
      <c r="E3292" s="3" t="s">
        <v>13</v>
      </c>
      <c r="F3292" s="5">
        <v>3279.6</v>
      </c>
      <c r="G3292" s="5">
        <v>4509.24</v>
      </c>
      <c r="H3292" s="5">
        <f t="shared" si="102"/>
        <v>1229.6399999999999</v>
      </c>
      <c r="I3292" s="9">
        <f t="shared" si="103"/>
        <v>0.3749359678009514</v>
      </c>
      <c r="J3292" s="3" t="s">
        <v>4603</v>
      </c>
    </row>
    <row r="3293" spans="1:10" ht="25.5">
      <c r="A3293" s="3" t="s">
        <v>1811</v>
      </c>
      <c r="B3293" s="3" t="s">
        <v>4147</v>
      </c>
      <c r="C3293" s="4">
        <v>23</v>
      </c>
      <c r="D3293" s="3" t="s">
        <v>71</v>
      </c>
      <c r="E3293" s="3" t="s">
        <v>8</v>
      </c>
      <c r="F3293" s="5">
        <v>8092.68</v>
      </c>
      <c r="G3293" s="5">
        <v>0</v>
      </c>
      <c r="H3293" s="5">
        <f t="shared" si="102"/>
        <v>-8092.68</v>
      </c>
      <c r="I3293" s="9">
        <f t="shared" si="103"/>
        <v>-1</v>
      </c>
      <c r="J3293" s="3" t="s">
        <v>4603</v>
      </c>
    </row>
    <row r="3294" spans="1:10" ht="25.5">
      <c r="A3294" s="3" t="s">
        <v>1811</v>
      </c>
      <c r="B3294" s="3" t="s">
        <v>4148</v>
      </c>
      <c r="C3294" s="4">
        <v>74</v>
      </c>
      <c r="D3294" s="3" t="s">
        <v>86</v>
      </c>
      <c r="E3294" s="3" t="s">
        <v>8</v>
      </c>
      <c r="F3294" s="5">
        <v>0</v>
      </c>
      <c r="G3294" s="5">
        <v>10345.5</v>
      </c>
      <c r="H3294" s="5">
        <f t="shared" si="102"/>
        <v>10345.5</v>
      </c>
      <c r="I3294" s="9">
        <f t="shared" si="103"/>
        <v>0</v>
      </c>
      <c r="J3294" s="3" t="s">
        <v>4603</v>
      </c>
    </row>
    <row r="3295" spans="1:10" ht="25.5">
      <c r="A3295" s="3" t="s">
        <v>1811</v>
      </c>
      <c r="B3295" s="3" t="s">
        <v>4149</v>
      </c>
      <c r="C3295" s="4">
        <v>231</v>
      </c>
      <c r="D3295" s="3" t="s">
        <v>89</v>
      </c>
      <c r="E3295" s="3" t="s">
        <v>8</v>
      </c>
      <c r="F3295" s="5">
        <v>4283.28</v>
      </c>
      <c r="G3295" s="5">
        <v>0</v>
      </c>
      <c r="H3295" s="5">
        <f t="shared" si="102"/>
        <v>-4283.28</v>
      </c>
      <c r="I3295" s="9">
        <f t="shared" si="103"/>
        <v>-1</v>
      </c>
      <c r="J3295" s="3" t="s">
        <v>4603</v>
      </c>
    </row>
    <row r="3296" spans="1:10" ht="25.5">
      <c r="A3296" s="3" t="s">
        <v>1811</v>
      </c>
      <c r="B3296" s="3" t="s">
        <v>4150</v>
      </c>
      <c r="C3296" s="4">
        <v>321</v>
      </c>
      <c r="D3296" s="3" t="s">
        <v>125</v>
      </c>
      <c r="E3296" s="3" t="s">
        <v>22</v>
      </c>
      <c r="F3296" s="5">
        <v>16433.78</v>
      </c>
      <c r="G3296" s="5">
        <v>10727.75</v>
      </c>
      <c r="H3296" s="5">
        <f t="shared" si="102"/>
        <v>-5706.0299999999988</v>
      </c>
      <c r="I3296" s="9">
        <f t="shared" si="103"/>
        <v>-0.34721348344690017</v>
      </c>
      <c r="J3296" s="3" t="s">
        <v>4603</v>
      </c>
    </row>
    <row r="3297" spans="1:10" ht="25.5">
      <c r="A3297" s="3" t="s">
        <v>1811</v>
      </c>
      <c r="B3297" s="3" t="s">
        <v>4151</v>
      </c>
      <c r="C3297" s="4">
        <v>321</v>
      </c>
      <c r="D3297" s="3" t="s">
        <v>125</v>
      </c>
      <c r="E3297" s="3" t="s">
        <v>22</v>
      </c>
      <c r="F3297" s="5">
        <v>0</v>
      </c>
      <c r="G3297" s="5">
        <v>2046.72</v>
      </c>
      <c r="H3297" s="5">
        <f t="shared" si="102"/>
        <v>2046.72</v>
      </c>
      <c r="I3297" s="9">
        <f t="shared" si="103"/>
        <v>0</v>
      </c>
      <c r="J3297" s="3" t="s">
        <v>4603</v>
      </c>
    </row>
    <row r="3298" spans="1:10" ht="25.5">
      <c r="A3298" s="3" t="s">
        <v>1811</v>
      </c>
      <c r="B3298" s="3" t="s">
        <v>4152</v>
      </c>
      <c r="C3298" s="4">
        <v>218</v>
      </c>
      <c r="D3298" s="3" t="s">
        <v>155</v>
      </c>
      <c r="E3298" s="3" t="s">
        <v>13</v>
      </c>
      <c r="F3298" s="5">
        <v>0</v>
      </c>
      <c r="G3298" s="5">
        <v>3368.28</v>
      </c>
      <c r="H3298" s="5">
        <f t="shared" si="102"/>
        <v>3368.28</v>
      </c>
      <c r="I3298" s="9">
        <f t="shared" si="103"/>
        <v>0</v>
      </c>
      <c r="J3298" s="3" t="s">
        <v>4603</v>
      </c>
    </row>
    <row r="3299" spans="1:10" ht="38.25">
      <c r="A3299" s="3" t="s">
        <v>1811</v>
      </c>
      <c r="B3299" s="3" t="s">
        <v>4153</v>
      </c>
      <c r="C3299" s="4">
        <v>194</v>
      </c>
      <c r="D3299" s="3" t="s">
        <v>179</v>
      </c>
      <c r="E3299" s="3" t="s">
        <v>13</v>
      </c>
      <c r="F3299" s="5">
        <v>3143.52</v>
      </c>
      <c r="G3299" s="5">
        <v>8028.12</v>
      </c>
      <c r="H3299" s="5">
        <f t="shared" si="102"/>
        <v>4884.6000000000004</v>
      </c>
      <c r="I3299" s="9">
        <f t="shared" si="103"/>
        <v>1.5538631852191176</v>
      </c>
      <c r="J3299" s="3" t="s">
        <v>4603</v>
      </c>
    </row>
    <row r="3300" spans="1:10">
      <c r="A3300" s="3" t="s">
        <v>1811</v>
      </c>
      <c r="B3300" s="3" t="s">
        <v>4154</v>
      </c>
      <c r="C3300" s="4">
        <v>240</v>
      </c>
      <c r="D3300" s="3" t="s">
        <v>152</v>
      </c>
      <c r="E3300" s="3" t="s">
        <v>13</v>
      </c>
      <c r="F3300" s="5">
        <v>0</v>
      </c>
      <c r="G3300" s="5">
        <v>3909.24</v>
      </c>
      <c r="H3300" s="5">
        <f t="shared" si="102"/>
        <v>3909.24</v>
      </c>
      <c r="I3300" s="9">
        <f t="shared" si="103"/>
        <v>0</v>
      </c>
      <c r="J3300" s="3" t="s">
        <v>4603</v>
      </c>
    </row>
    <row r="3301" spans="1:10">
      <c r="A3301" s="3" t="s">
        <v>1811</v>
      </c>
      <c r="B3301" s="3" t="s">
        <v>4155</v>
      </c>
      <c r="C3301" s="4">
        <v>240</v>
      </c>
      <c r="D3301" s="3" t="s">
        <v>152</v>
      </c>
      <c r="E3301" s="3" t="s">
        <v>13</v>
      </c>
      <c r="F3301" s="5">
        <v>11849.22</v>
      </c>
      <c r="G3301" s="5">
        <v>4400.6400000000003</v>
      </c>
      <c r="H3301" s="5">
        <f t="shared" si="102"/>
        <v>-7448.579999999999</v>
      </c>
      <c r="I3301" s="9">
        <f t="shared" si="103"/>
        <v>-0.62861352899178169</v>
      </c>
      <c r="J3301" s="3" t="s">
        <v>4603</v>
      </c>
    </row>
    <row r="3302" spans="1:10" ht="25.5">
      <c r="A3302" s="3" t="s">
        <v>1811</v>
      </c>
      <c r="B3302" s="3" t="s">
        <v>4156</v>
      </c>
      <c r="C3302" s="4">
        <v>273</v>
      </c>
      <c r="D3302" s="3" t="s">
        <v>771</v>
      </c>
      <c r="E3302" s="3" t="s">
        <v>13</v>
      </c>
      <c r="F3302" s="5">
        <v>7525.98</v>
      </c>
      <c r="G3302" s="5">
        <v>1942.92</v>
      </c>
      <c r="H3302" s="5">
        <f t="shared" si="102"/>
        <v>-5583.0599999999995</v>
      </c>
      <c r="I3302" s="9">
        <f t="shared" si="103"/>
        <v>-0.74183827222501253</v>
      </c>
      <c r="J3302" s="3" t="s">
        <v>4603</v>
      </c>
    </row>
    <row r="3303" spans="1:10" ht="25.5">
      <c r="A3303" s="3" t="s">
        <v>1811</v>
      </c>
      <c r="B3303" s="3" t="s">
        <v>4157</v>
      </c>
      <c r="C3303" s="4">
        <v>217</v>
      </c>
      <c r="D3303" s="3" t="s">
        <v>253</v>
      </c>
      <c r="E3303" s="3" t="s">
        <v>13</v>
      </c>
      <c r="F3303" s="5">
        <v>7281.78</v>
      </c>
      <c r="G3303" s="5">
        <v>18500.400000000001</v>
      </c>
      <c r="H3303" s="5">
        <f t="shared" si="102"/>
        <v>11218.620000000003</v>
      </c>
      <c r="I3303" s="9">
        <f t="shared" si="103"/>
        <v>1.5406425352043049</v>
      </c>
      <c r="J3303" s="3" t="s">
        <v>4603</v>
      </c>
    </row>
    <row r="3304" spans="1:10" ht="25.5">
      <c r="A3304" s="3" t="s">
        <v>1811</v>
      </c>
      <c r="B3304" s="3" t="s">
        <v>4158</v>
      </c>
      <c r="C3304" s="4">
        <v>39</v>
      </c>
      <c r="D3304" s="3" t="s">
        <v>26</v>
      </c>
      <c r="E3304" s="3" t="s">
        <v>9</v>
      </c>
      <c r="F3304" s="5">
        <v>17628.59</v>
      </c>
      <c r="G3304" s="5">
        <v>0</v>
      </c>
      <c r="H3304" s="5">
        <f t="shared" si="102"/>
        <v>-17628.59</v>
      </c>
      <c r="I3304" s="9">
        <f t="shared" si="103"/>
        <v>-1</v>
      </c>
      <c r="J3304" s="3" t="s">
        <v>4603</v>
      </c>
    </row>
    <row r="3305" spans="1:10" ht="38.25">
      <c r="A3305" s="3" t="s">
        <v>1811</v>
      </c>
      <c r="B3305" s="3" t="s">
        <v>4159</v>
      </c>
      <c r="C3305" s="4">
        <v>38</v>
      </c>
      <c r="D3305" s="3" t="s">
        <v>229</v>
      </c>
      <c r="E3305" s="3" t="s">
        <v>30</v>
      </c>
      <c r="F3305" s="5">
        <v>6598.5</v>
      </c>
      <c r="G3305" s="5">
        <v>0</v>
      </c>
      <c r="H3305" s="5">
        <f t="shared" si="102"/>
        <v>-6598.5</v>
      </c>
      <c r="I3305" s="9">
        <f t="shared" si="103"/>
        <v>-1</v>
      </c>
      <c r="J3305" s="3" t="s">
        <v>4603</v>
      </c>
    </row>
    <row r="3306" spans="1:10" ht="25.5">
      <c r="A3306" s="3" t="s">
        <v>1811</v>
      </c>
      <c r="B3306" s="3" t="s">
        <v>4160</v>
      </c>
      <c r="C3306" s="4">
        <v>187</v>
      </c>
      <c r="D3306" s="3" t="s">
        <v>460</v>
      </c>
      <c r="E3306" s="3" t="s">
        <v>8</v>
      </c>
      <c r="F3306" s="5">
        <v>5443.77</v>
      </c>
      <c r="G3306" s="5">
        <v>11627.67</v>
      </c>
      <c r="H3306" s="5">
        <f t="shared" si="102"/>
        <v>6183.9</v>
      </c>
      <c r="I3306" s="9">
        <f t="shared" si="103"/>
        <v>1.1359590871767176</v>
      </c>
      <c r="J3306" s="3" t="s">
        <v>4603</v>
      </c>
    </row>
    <row r="3307" spans="1:10" ht="38.25">
      <c r="A3307" s="3" t="s">
        <v>1811</v>
      </c>
      <c r="B3307" s="3" t="s">
        <v>4161</v>
      </c>
      <c r="C3307" s="4">
        <v>371</v>
      </c>
      <c r="D3307" s="3" t="s">
        <v>29</v>
      </c>
      <c r="E3307" s="3" t="s">
        <v>30</v>
      </c>
      <c r="F3307" s="5">
        <v>2207.64</v>
      </c>
      <c r="G3307" s="5">
        <v>0</v>
      </c>
      <c r="H3307" s="5">
        <f t="shared" si="102"/>
        <v>-2207.64</v>
      </c>
      <c r="I3307" s="9">
        <f t="shared" si="103"/>
        <v>-1</v>
      </c>
      <c r="J3307" s="3" t="s">
        <v>4603</v>
      </c>
    </row>
    <row r="3308" spans="1:10" ht="25.5">
      <c r="A3308" s="3" t="s">
        <v>1811</v>
      </c>
      <c r="B3308" s="3" t="s">
        <v>4162</v>
      </c>
      <c r="C3308" s="4">
        <v>194</v>
      </c>
      <c r="D3308" s="3" t="s">
        <v>179</v>
      </c>
      <c r="E3308" s="3" t="s">
        <v>13</v>
      </c>
      <c r="F3308" s="5">
        <v>11931.9</v>
      </c>
      <c r="G3308" s="5">
        <v>0</v>
      </c>
      <c r="H3308" s="5">
        <f t="shared" si="102"/>
        <v>-11931.9</v>
      </c>
      <c r="I3308" s="9">
        <f t="shared" si="103"/>
        <v>-1</v>
      </c>
      <c r="J3308" s="3" t="s">
        <v>4603</v>
      </c>
    </row>
    <row r="3309" spans="1:10" ht="25.5">
      <c r="A3309" s="3" t="s">
        <v>1811</v>
      </c>
      <c r="B3309" s="3" t="s">
        <v>4163</v>
      </c>
      <c r="C3309" s="4">
        <v>310</v>
      </c>
      <c r="D3309" s="3" t="s">
        <v>818</v>
      </c>
      <c r="E3309" s="3" t="s">
        <v>18</v>
      </c>
      <c r="F3309" s="5">
        <v>7040</v>
      </c>
      <c r="G3309" s="5">
        <v>0</v>
      </c>
      <c r="H3309" s="5">
        <f t="shared" si="102"/>
        <v>-7040</v>
      </c>
      <c r="I3309" s="9">
        <f t="shared" si="103"/>
        <v>-1</v>
      </c>
      <c r="J3309" s="3" t="s">
        <v>4603</v>
      </c>
    </row>
    <row r="3310" spans="1:10" ht="25.5">
      <c r="A3310" s="3" t="s">
        <v>1811</v>
      </c>
      <c r="B3310" s="3" t="s">
        <v>4164</v>
      </c>
      <c r="C3310" s="4">
        <v>61</v>
      </c>
      <c r="D3310" s="3" t="s">
        <v>114</v>
      </c>
      <c r="E3310" s="3" t="s">
        <v>30</v>
      </c>
      <c r="F3310" s="5">
        <v>3695.16</v>
      </c>
      <c r="G3310" s="5">
        <v>0</v>
      </c>
      <c r="H3310" s="5">
        <f t="shared" si="102"/>
        <v>-3695.16</v>
      </c>
      <c r="I3310" s="9">
        <f t="shared" si="103"/>
        <v>-1</v>
      </c>
      <c r="J3310" s="3" t="s">
        <v>4603</v>
      </c>
    </row>
    <row r="3311" spans="1:10" ht="25.5">
      <c r="A3311" s="3" t="s">
        <v>1811</v>
      </c>
      <c r="B3311" s="3" t="s">
        <v>4165</v>
      </c>
      <c r="C3311" s="4">
        <v>218</v>
      </c>
      <c r="D3311" s="3" t="s">
        <v>155</v>
      </c>
      <c r="E3311" s="3" t="s">
        <v>13</v>
      </c>
      <c r="F3311" s="5">
        <v>0</v>
      </c>
      <c r="G3311" s="5">
        <v>3195.6</v>
      </c>
      <c r="H3311" s="5">
        <f t="shared" si="102"/>
        <v>3195.6</v>
      </c>
      <c r="I3311" s="9">
        <f t="shared" si="103"/>
        <v>0</v>
      </c>
      <c r="J3311" s="3" t="s">
        <v>4603</v>
      </c>
    </row>
    <row r="3312" spans="1:10" ht="25.5">
      <c r="A3312" s="3" t="s">
        <v>1811</v>
      </c>
      <c r="B3312" s="3" t="s">
        <v>4166</v>
      </c>
      <c r="C3312" s="4">
        <v>273</v>
      </c>
      <c r="D3312" s="3" t="s">
        <v>771</v>
      </c>
      <c r="E3312" s="3" t="s">
        <v>18</v>
      </c>
      <c r="F3312" s="5">
        <v>6548.85</v>
      </c>
      <c r="G3312" s="5">
        <v>0</v>
      </c>
      <c r="H3312" s="5">
        <f t="shared" si="102"/>
        <v>-6548.85</v>
      </c>
      <c r="I3312" s="9">
        <f t="shared" si="103"/>
        <v>-1</v>
      </c>
      <c r="J3312" s="3" t="s">
        <v>4604</v>
      </c>
    </row>
    <row r="3313" spans="1:10" ht="25.5">
      <c r="A3313" s="3" t="s">
        <v>1811</v>
      </c>
      <c r="B3313" s="3" t="s">
        <v>4167</v>
      </c>
      <c r="C3313" s="4">
        <v>178</v>
      </c>
      <c r="D3313" s="3" t="s">
        <v>92</v>
      </c>
      <c r="E3313" s="3" t="s">
        <v>8</v>
      </c>
      <c r="F3313" s="5">
        <v>0</v>
      </c>
      <c r="G3313" s="5">
        <v>9981.84</v>
      </c>
      <c r="H3313" s="5">
        <f t="shared" si="102"/>
        <v>9981.84</v>
      </c>
      <c r="I3313" s="9">
        <f t="shared" si="103"/>
        <v>0</v>
      </c>
      <c r="J3313" s="3" t="s">
        <v>4603</v>
      </c>
    </row>
    <row r="3314" spans="1:10" ht="25.5">
      <c r="A3314" s="3" t="s">
        <v>1811</v>
      </c>
      <c r="B3314" s="3" t="s">
        <v>4168</v>
      </c>
      <c r="C3314" s="4">
        <v>23</v>
      </c>
      <c r="D3314" s="3" t="s">
        <v>71</v>
      </c>
      <c r="E3314" s="3" t="s">
        <v>8</v>
      </c>
      <c r="F3314" s="5">
        <v>9568.5300000000007</v>
      </c>
      <c r="G3314" s="5">
        <v>5535.96</v>
      </c>
      <c r="H3314" s="5">
        <f t="shared" si="102"/>
        <v>-4032.5700000000006</v>
      </c>
      <c r="I3314" s="9">
        <f t="shared" si="103"/>
        <v>-0.42144091098632708</v>
      </c>
      <c r="J3314" s="3" t="s">
        <v>4603</v>
      </c>
    </row>
    <row r="3315" spans="1:10" ht="25.5">
      <c r="A3315" s="3" t="s">
        <v>1811</v>
      </c>
      <c r="B3315" s="3" t="s">
        <v>4169</v>
      </c>
      <c r="C3315" s="4">
        <v>218</v>
      </c>
      <c r="D3315" s="3" t="s">
        <v>155</v>
      </c>
      <c r="E3315" s="3" t="s">
        <v>13</v>
      </c>
      <c r="F3315" s="5">
        <v>3167.28</v>
      </c>
      <c r="G3315" s="5">
        <v>0</v>
      </c>
      <c r="H3315" s="5">
        <f t="shared" si="102"/>
        <v>-3167.28</v>
      </c>
      <c r="I3315" s="9">
        <f t="shared" si="103"/>
        <v>-1</v>
      </c>
      <c r="J3315" s="3" t="s">
        <v>4603</v>
      </c>
    </row>
    <row r="3316" spans="1:10" ht="38.25">
      <c r="A3316" s="3" t="s">
        <v>1811</v>
      </c>
      <c r="B3316" s="3" t="s">
        <v>4170</v>
      </c>
      <c r="C3316" s="4">
        <v>371</v>
      </c>
      <c r="D3316" s="3" t="s">
        <v>29</v>
      </c>
      <c r="E3316" s="3" t="s">
        <v>30</v>
      </c>
      <c r="F3316" s="5">
        <v>6320.07</v>
      </c>
      <c r="G3316" s="5">
        <v>0</v>
      </c>
      <c r="H3316" s="5">
        <f t="shared" si="102"/>
        <v>-6320.07</v>
      </c>
      <c r="I3316" s="9">
        <f t="shared" si="103"/>
        <v>-1</v>
      </c>
      <c r="J3316" s="3" t="s">
        <v>4603</v>
      </c>
    </row>
    <row r="3317" spans="1:10" ht="38.25">
      <c r="A3317" s="3" t="s">
        <v>1811</v>
      </c>
      <c r="B3317" s="3" t="s">
        <v>4171</v>
      </c>
      <c r="C3317" s="4">
        <v>34</v>
      </c>
      <c r="D3317" s="3" t="s">
        <v>136</v>
      </c>
      <c r="E3317" s="3" t="s">
        <v>30</v>
      </c>
      <c r="F3317" s="5">
        <v>0</v>
      </c>
      <c r="G3317" s="5">
        <v>2695.2</v>
      </c>
      <c r="H3317" s="5">
        <f t="shared" si="102"/>
        <v>2695.2</v>
      </c>
      <c r="I3317" s="9">
        <f t="shared" si="103"/>
        <v>0</v>
      </c>
      <c r="J3317" s="3" t="s">
        <v>4603</v>
      </c>
    </row>
    <row r="3318" spans="1:10" ht="25.5">
      <c r="A3318" s="3" t="s">
        <v>1811</v>
      </c>
      <c r="B3318" s="3" t="s">
        <v>4172</v>
      </c>
      <c r="C3318" s="4">
        <v>317</v>
      </c>
      <c r="D3318" s="3" t="s">
        <v>54</v>
      </c>
      <c r="E3318" s="3" t="s">
        <v>18</v>
      </c>
      <c r="F3318" s="5">
        <v>3610.32</v>
      </c>
      <c r="G3318" s="5">
        <v>0</v>
      </c>
      <c r="H3318" s="5">
        <f t="shared" si="102"/>
        <v>-3610.32</v>
      </c>
      <c r="I3318" s="9">
        <f t="shared" si="103"/>
        <v>-1</v>
      </c>
      <c r="J3318" s="3" t="s">
        <v>4603</v>
      </c>
    </row>
    <row r="3319" spans="1:10" ht="38.25">
      <c r="A3319" s="3" t="s">
        <v>1811</v>
      </c>
      <c r="B3319" s="3" t="s">
        <v>4173</v>
      </c>
      <c r="C3319" s="4">
        <v>34</v>
      </c>
      <c r="D3319" s="3" t="s">
        <v>136</v>
      </c>
      <c r="E3319" s="3" t="s">
        <v>30</v>
      </c>
      <c r="F3319" s="5">
        <v>6875.04</v>
      </c>
      <c r="G3319" s="5">
        <v>10745.04</v>
      </c>
      <c r="H3319" s="5">
        <f t="shared" si="102"/>
        <v>3870.0000000000009</v>
      </c>
      <c r="I3319" s="9">
        <f t="shared" si="103"/>
        <v>0.56290581582070809</v>
      </c>
      <c r="J3319" s="3" t="s">
        <v>4603</v>
      </c>
    </row>
    <row r="3320" spans="1:10" ht="51">
      <c r="A3320" s="3" t="s">
        <v>1811</v>
      </c>
      <c r="B3320" s="3" t="s">
        <v>4174</v>
      </c>
      <c r="C3320" s="4">
        <v>282</v>
      </c>
      <c r="D3320" s="3" t="s">
        <v>298</v>
      </c>
      <c r="E3320" s="3" t="s">
        <v>9</v>
      </c>
      <c r="F3320" s="5">
        <v>2413.8000000000002</v>
      </c>
      <c r="G3320" s="5">
        <v>0</v>
      </c>
      <c r="H3320" s="5">
        <f t="shared" si="102"/>
        <v>-2413.8000000000002</v>
      </c>
      <c r="I3320" s="9">
        <f t="shared" si="103"/>
        <v>-1</v>
      </c>
      <c r="J3320" s="3" t="s">
        <v>4603</v>
      </c>
    </row>
    <row r="3321" spans="1:10" ht="25.5">
      <c r="A3321" s="3" t="s">
        <v>1811</v>
      </c>
      <c r="B3321" s="3" t="s">
        <v>4175</v>
      </c>
      <c r="C3321" s="4">
        <v>232</v>
      </c>
      <c r="D3321" s="3" t="s">
        <v>95</v>
      </c>
      <c r="E3321" s="3" t="s">
        <v>13</v>
      </c>
      <c r="F3321" s="5">
        <v>0</v>
      </c>
      <c r="G3321" s="5">
        <v>3205.32</v>
      </c>
      <c r="H3321" s="5">
        <f t="shared" si="102"/>
        <v>3205.32</v>
      </c>
      <c r="I3321" s="9">
        <f t="shared" si="103"/>
        <v>0</v>
      </c>
      <c r="J3321" s="3" t="s">
        <v>4603</v>
      </c>
    </row>
    <row r="3322" spans="1:10" ht="38.25">
      <c r="A3322" s="3" t="s">
        <v>1811</v>
      </c>
      <c r="B3322" s="3" t="s">
        <v>4176</v>
      </c>
      <c r="C3322" s="4">
        <v>34</v>
      </c>
      <c r="D3322" s="3" t="s">
        <v>136</v>
      </c>
      <c r="E3322" s="3" t="s">
        <v>30</v>
      </c>
      <c r="F3322" s="5">
        <v>5111.04</v>
      </c>
      <c r="G3322" s="5">
        <v>0</v>
      </c>
      <c r="H3322" s="5">
        <f t="shared" si="102"/>
        <v>-5111.04</v>
      </c>
      <c r="I3322" s="9">
        <f t="shared" si="103"/>
        <v>-1</v>
      </c>
      <c r="J3322" s="3" t="s">
        <v>4603</v>
      </c>
    </row>
    <row r="3323" spans="1:10" ht="25.5">
      <c r="A3323" s="3" t="s">
        <v>1811</v>
      </c>
      <c r="B3323" s="3" t="s">
        <v>4177</v>
      </c>
      <c r="C3323" s="4">
        <v>317</v>
      </c>
      <c r="D3323" s="3" t="s">
        <v>54</v>
      </c>
      <c r="E3323" s="3" t="s">
        <v>18</v>
      </c>
      <c r="F3323" s="5">
        <v>4852.5600000000004</v>
      </c>
      <c r="G3323" s="5">
        <v>10317.48</v>
      </c>
      <c r="H3323" s="5">
        <f t="shared" si="102"/>
        <v>5464.9199999999992</v>
      </c>
      <c r="I3323" s="9">
        <f t="shared" si="103"/>
        <v>1.1261931846283195</v>
      </c>
      <c r="J3323" s="3" t="s">
        <v>4603</v>
      </c>
    </row>
    <row r="3324" spans="1:10" ht="25.5">
      <c r="A3324" s="3" t="s">
        <v>1811</v>
      </c>
      <c r="B3324" s="3" t="s">
        <v>4178</v>
      </c>
      <c r="C3324" s="4">
        <v>261</v>
      </c>
      <c r="D3324" s="3" t="s">
        <v>17</v>
      </c>
      <c r="E3324" s="3" t="s">
        <v>18</v>
      </c>
      <c r="F3324" s="5">
        <v>7126.68</v>
      </c>
      <c r="G3324" s="5">
        <v>14221.59</v>
      </c>
      <c r="H3324" s="5">
        <f t="shared" si="102"/>
        <v>7094.91</v>
      </c>
      <c r="I3324" s="9">
        <f t="shared" si="103"/>
        <v>0.99554210375658791</v>
      </c>
      <c r="J3324" s="3" t="s">
        <v>4603</v>
      </c>
    </row>
    <row r="3325" spans="1:10" ht="38.25">
      <c r="A3325" s="3" t="s">
        <v>1811</v>
      </c>
      <c r="B3325" s="3" t="s">
        <v>4179</v>
      </c>
      <c r="C3325" s="4">
        <v>38</v>
      </c>
      <c r="D3325" s="3" t="s">
        <v>229</v>
      </c>
      <c r="E3325" s="3" t="s">
        <v>30</v>
      </c>
      <c r="F3325" s="5">
        <v>8032.74</v>
      </c>
      <c r="G3325" s="5">
        <v>0</v>
      </c>
      <c r="H3325" s="5">
        <f t="shared" si="102"/>
        <v>-8032.74</v>
      </c>
      <c r="I3325" s="9">
        <f t="shared" si="103"/>
        <v>-1</v>
      </c>
      <c r="J3325" s="3" t="s">
        <v>4603</v>
      </c>
    </row>
    <row r="3326" spans="1:10" ht="25.5">
      <c r="A3326" s="3" t="s">
        <v>1811</v>
      </c>
      <c r="B3326" s="3" t="s">
        <v>4180</v>
      </c>
      <c r="C3326" s="4">
        <v>61</v>
      </c>
      <c r="D3326" s="3" t="s">
        <v>114</v>
      </c>
      <c r="E3326" s="3" t="s">
        <v>30</v>
      </c>
      <c r="F3326" s="5">
        <v>6203.04</v>
      </c>
      <c r="G3326" s="5">
        <v>4879.5600000000004</v>
      </c>
      <c r="H3326" s="5">
        <f t="shared" si="102"/>
        <v>-1323.4799999999996</v>
      </c>
      <c r="I3326" s="9">
        <f t="shared" si="103"/>
        <v>-0.21335990095179136</v>
      </c>
      <c r="J3326" s="3" t="s">
        <v>4603</v>
      </c>
    </row>
    <row r="3327" spans="1:10" ht="25.5">
      <c r="A3327" s="3" t="s">
        <v>1811</v>
      </c>
      <c r="B3327" s="3" t="s">
        <v>4181</v>
      </c>
      <c r="C3327" s="4">
        <v>218</v>
      </c>
      <c r="D3327" s="3" t="s">
        <v>155</v>
      </c>
      <c r="E3327" s="3" t="s">
        <v>13</v>
      </c>
      <c r="F3327" s="5">
        <v>3167.28</v>
      </c>
      <c r="G3327" s="5">
        <v>0</v>
      </c>
      <c r="H3327" s="5">
        <f t="shared" si="102"/>
        <v>-3167.28</v>
      </c>
      <c r="I3327" s="9">
        <f t="shared" si="103"/>
        <v>-1</v>
      </c>
      <c r="J3327" s="3" t="s">
        <v>4603</v>
      </c>
    </row>
    <row r="3328" spans="1:10" ht="25.5">
      <c r="A3328" s="3" t="s">
        <v>1811</v>
      </c>
      <c r="B3328" s="3" t="s">
        <v>4182</v>
      </c>
      <c r="C3328" s="4">
        <v>187</v>
      </c>
      <c r="D3328" s="3" t="s">
        <v>460</v>
      </c>
      <c r="E3328" s="3" t="s">
        <v>8</v>
      </c>
      <c r="F3328" s="5">
        <v>0</v>
      </c>
      <c r="G3328" s="5">
        <v>5671.5940000000001</v>
      </c>
      <c r="H3328" s="5">
        <f t="shared" si="102"/>
        <v>5671.5940000000001</v>
      </c>
      <c r="I3328" s="9">
        <f t="shared" si="103"/>
        <v>0</v>
      </c>
      <c r="J3328" s="3" t="s">
        <v>4603</v>
      </c>
    </row>
    <row r="3329" spans="1:10">
      <c r="A3329" s="3" t="s">
        <v>1811</v>
      </c>
      <c r="B3329" s="3" t="s">
        <v>4183</v>
      </c>
      <c r="C3329" s="4">
        <v>240</v>
      </c>
      <c r="D3329" s="3" t="s">
        <v>152</v>
      </c>
      <c r="E3329" s="3" t="s">
        <v>13</v>
      </c>
      <c r="F3329" s="5">
        <v>5323.56</v>
      </c>
      <c r="G3329" s="5">
        <v>10357.32</v>
      </c>
      <c r="H3329" s="5">
        <f t="shared" si="102"/>
        <v>5033.7599999999993</v>
      </c>
      <c r="I3329" s="9">
        <f t="shared" si="103"/>
        <v>0.94556274372788107</v>
      </c>
      <c r="J3329" s="3" t="s">
        <v>4603</v>
      </c>
    </row>
    <row r="3330" spans="1:10" ht="25.5">
      <c r="A3330" s="3" t="s">
        <v>1811</v>
      </c>
      <c r="B3330" s="3" t="s">
        <v>4184</v>
      </c>
      <c r="C3330" s="4">
        <v>217</v>
      </c>
      <c r="D3330" s="3" t="s">
        <v>253</v>
      </c>
      <c r="E3330" s="3" t="s">
        <v>13</v>
      </c>
      <c r="F3330" s="5">
        <v>10380.36</v>
      </c>
      <c r="G3330" s="5">
        <v>0</v>
      </c>
      <c r="H3330" s="5">
        <f t="shared" si="102"/>
        <v>-10380.36</v>
      </c>
      <c r="I3330" s="9">
        <f t="shared" si="103"/>
        <v>-1</v>
      </c>
      <c r="J3330" s="3" t="s">
        <v>4603</v>
      </c>
    </row>
    <row r="3331" spans="1:10">
      <c r="A3331" s="3" t="s">
        <v>1811</v>
      </c>
      <c r="B3331" s="3" t="s">
        <v>4185</v>
      </c>
      <c r="C3331" s="4">
        <v>167</v>
      </c>
      <c r="D3331" s="3" t="s">
        <v>335</v>
      </c>
      <c r="E3331" s="3" t="s">
        <v>30</v>
      </c>
      <c r="F3331" s="5">
        <v>23110.67</v>
      </c>
      <c r="G3331" s="5">
        <v>20491.560000000001</v>
      </c>
      <c r="H3331" s="5">
        <f t="shared" ref="H3331:H3394" si="104">G3331-F3331</f>
        <v>-2619.1099999999969</v>
      </c>
      <c r="I3331" s="9">
        <f t="shared" ref="I3331:I3394" si="105">IFERROR(G3331/F3331-1,0)</f>
        <v>-0.1133290380590436</v>
      </c>
      <c r="J3331" s="3" t="s">
        <v>4603</v>
      </c>
    </row>
    <row r="3332" spans="1:10" ht="25.5">
      <c r="A3332" s="3" t="s">
        <v>1811</v>
      </c>
      <c r="B3332" s="3" t="s">
        <v>4186</v>
      </c>
      <c r="C3332" s="4">
        <v>320</v>
      </c>
      <c r="D3332" s="3" t="s">
        <v>188</v>
      </c>
      <c r="E3332" s="3" t="s">
        <v>30</v>
      </c>
      <c r="F3332" s="5">
        <v>12105.96</v>
      </c>
      <c r="G3332" s="5">
        <v>0</v>
      </c>
      <c r="H3332" s="5">
        <f t="shared" si="104"/>
        <v>-12105.96</v>
      </c>
      <c r="I3332" s="9">
        <f t="shared" si="105"/>
        <v>-1</v>
      </c>
      <c r="J3332" s="3" t="s">
        <v>4603</v>
      </c>
    </row>
    <row r="3333" spans="1:10" ht="25.5">
      <c r="A3333" s="3" t="s">
        <v>1811</v>
      </c>
      <c r="B3333" s="3" t="s">
        <v>4187</v>
      </c>
      <c r="C3333" s="4">
        <v>178</v>
      </c>
      <c r="D3333" s="3" t="s">
        <v>92</v>
      </c>
      <c r="E3333" s="3" t="s">
        <v>8</v>
      </c>
      <c r="F3333" s="5">
        <v>36414.239999999998</v>
      </c>
      <c r="G3333" s="5">
        <v>0</v>
      </c>
      <c r="H3333" s="5">
        <f t="shared" si="104"/>
        <v>-36414.239999999998</v>
      </c>
      <c r="I3333" s="9">
        <f t="shared" si="105"/>
        <v>-1</v>
      </c>
      <c r="J3333" s="3" t="s">
        <v>4603</v>
      </c>
    </row>
    <row r="3334" spans="1:10" ht="25.5">
      <c r="A3334" s="3" t="s">
        <v>1811</v>
      </c>
      <c r="B3334" s="3" t="s">
        <v>4188</v>
      </c>
      <c r="C3334" s="4">
        <v>61</v>
      </c>
      <c r="D3334" s="3" t="s">
        <v>114</v>
      </c>
      <c r="E3334" s="3" t="s">
        <v>30</v>
      </c>
      <c r="F3334" s="5">
        <v>0</v>
      </c>
      <c r="G3334" s="5">
        <v>10026.9</v>
      </c>
      <c r="H3334" s="5">
        <f t="shared" si="104"/>
        <v>10026.9</v>
      </c>
      <c r="I3334" s="9">
        <f t="shared" si="105"/>
        <v>0</v>
      </c>
      <c r="J3334" s="3" t="s">
        <v>4603</v>
      </c>
    </row>
    <row r="3335" spans="1:10" ht="25.5">
      <c r="A3335" s="3" t="s">
        <v>1811</v>
      </c>
      <c r="B3335" s="3" t="s">
        <v>4189</v>
      </c>
      <c r="C3335" s="4">
        <v>53</v>
      </c>
      <c r="D3335" s="3" t="s">
        <v>340</v>
      </c>
      <c r="E3335" s="3" t="s">
        <v>13</v>
      </c>
      <c r="F3335" s="5">
        <v>11484.9</v>
      </c>
      <c r="G3335" s="5">
        <v>0</v>
      </c>
      <c r="H3335" s="5">
        <f t="shared" si="104"/>
        <v>-11484.9</v>
      </c>
      <c r="I3335" s="9">
        <f t="shared" si="105"/>
        <v>-1</v>
      </c>
      <c r="J3335" s="3" t="s">
        <v>4603</v>
      </c>
    </row>
    <row r="3336" spans="1:10" ht="25.5">
      <c r="A3336" s="3" t="s">
        <v>1811</v>
      </c>
      <c r="B3336" s="3" t="s">
        <v>4190</v>
      </c>
      <c r="C3336" s="4">
        <v>273</v>
      </c>
      <c r="D3336" s="3" t="s">
        <v>771</v>
      </c>
      <c r="E3336" s="3" t="s">
        <v>13</v>
      </c>
      <c r="F3336" s="5">
        <v>0</v>
      </c>
      <c r="G3336" s="5">
        <v>2609.88</v>
      </c>
      <c r="H3336" s="5">
        <f t="shared" si="104"/>
        <v>2609.88</v>
      </c>
      <c r="I3336" s="9">
        <f t="shared" si="105"/>
        <v>0</v>
      </c>
      <c r="J3336" s="3" t="s">
        <v>4604</v>
      </c>
    </row>
    <row r="3337" spans="1:10" ht="38.25">
      <c r="A3337" s="3" t="s">
        <v>1811</v>
      </c>
      <c r="B3337" s="3" t="s">
        <v>4191</v>
      </c>
      <c r="C3337" s="4">
        <v>38</v>
      </c>
      <c r="D3337" s="3" t="s">
        <v>229</v>
      </c>
      <c r="E3337" s="3" t="s">
        <v>30</v>
      </c>
      <c r="F3337" s="5">
        <v>2867.58</v>
      </c>
      <c r="G3337" s="5">
        <v>1894.92</v>
      </c>
      <c r="H3337" s="5">
        <f t="shared" si="104"/>
        <v>-972.65999999999985</v>
      </c>
      <c r="I3337" s="9">
        <f t="shared" si="105"/>
        <v>-0.33919193187286834</v>
      </c>
      <c r="J3337" s="3" t="s">
        <v>4603</v>
      </c>
    </row>
    <row r="3338" spans="1:10" ht="25.5">
      <c r="A3338" s="3" t="s">
        <v>1811</v>
      </c>
      <c r="B3338" s="3" t="s">
        <v>4192</v>
      </c>
      <c r="C3338" s="4">
        <v>19</v>
      </c>
      <c r="D3338" s="3" t="s">
        <v>53</v>
      </c>
      <c r="E3338" s="3" t="s">
        <v>22</v>
      </c>
      <c r="F3338" s="5">
        <v>5336.1</v>
      </c>
      <c r="G3338" s="5">
        <v>0</v>
      </c>
      <c r="H3338" s="5">
        <f t="shared" si="104"/>
        <v>-5336.1</v>
      </c>
      <c r="I3338" s="9">
        <f t="shared" si="105"/>
        <v>-1</v>
      </c>
      <c r="J3338" s="3" t="s">
        <v>4603</v>
      </c>
    </row>
    <row r="3339" spans="1:10" ht="25.5">
      <c r="A3339" s="3" t="s">
        <v>1811</v>
      </c>
      <c r="B3339" s="3" t="s">
        <v>4193</v>
      </c>
      <c r="C3339" s="4">
        <v>23</v>
      </c>
      <c r="D3339" s="3" t="s">
        <v>71</v>
      </c>
      <c r="E3339" s="3" t="s">
        <v>8</v>
      </c>
      <c r="F3339" s="5">
        <v>3020.43</v>
      </c>
      <c r="G3339" s="5">
        <v>0</v>
      </c>
      <c r="H3339" s="5">
        <f t="shared" si="104"/>
        <v>-3020.43</v>
      </c>
      <c r="I3339" s="9">
        <f t="shared" si="105"/>
        <v>-1</v>
      </c>
      <c r="J3339" s="3" t="s">
        <v>4603</v>
      </c>
    </row>
    <row r="3340" spans="1:10" ht="25.5">
      <c r="A3340" s="3" t="s">
        <v>1811</v>
      </c>
      <c r="B3340" s="3" t="s">
        <v>4194</v>
      </c>
      <c r="C3340" s="4">
        <v>317</v>
      </c>
      <c r="D3340" s="3" t="s">
        <v>54</v>
      </c>
      <c r="E3340" s="3" t="s">
        <v>18</v>
      </c>
      <c r="F3340" s="5">
        <v>0</v>
      </c>
      <c r="G3340" s="5">
        <v>7304.46</v>
      </c>
      <c r="H3340" s="5">
        <f t="shared" si="104"/>
        <v>7304.46</v>
      </c>
      <c r="I3340" s="9">
        <f t="shared" si="105"/>
        <v>0</v>
      </c>
      <c r="J3340" s="3" t="s">
        <v>4603</v>
      </c>
    </row>
    <row r="3341" spans="1:10" ht="38.25">
      <c r="A3341" s="3" t="s">
        <v>1811</v>
      </c>
      <c r="B3341" s="3" t="s">
        <v>4195</v>
      </c>
      <c r="C3341" s="4">
        <v>143</v>
      </c>
      <c r="D3341" s="3" t="s">
        <v>21</v>
      </c>
      <c r="E3341" s="3" t="s">
        <v>22</v>
      </c>
      <c r="F3341" s="5">
        <v>4775.28</v>
      </c>
      <c r="G3341" s="5">
        <v>0</v>
      </c>
      <c r="H3341" s="5">
        <f t="shared" si="104"/>
        <v>-4775.28</v>
      </c>
      <c r="I3341" s="9">
        <f t="shared" si="105"/>
        <v>-1</v>
      </c>
      <c r="J3341" s="3" t="s">
        <v>4603</v>
      </c>
    </row>
    <row r="3342" spans="1:10" ht="25.5">
      <c r="A3342" s="3" t="s">
        <v>1811</v>
      </c>
      <c r="B3342" s="3" t="s">
        <v>4196</v>
      </c>
      <c r="C3342" s="4">
        <v>296</v>
      </c>
      <c r="D3342" s="3" t="s">
        <v>137</v>
      </c>
      <c r="E3342" s="3" t="s">
        <v>18</v>
      </c>
      <c r="F3342" s="5">
        <v>2767.44</v>
      </c>
      <c r="G3342" s="5">
        <v>0</v>
      </c>
      <c r="H3342" s="5">
        <f t="shared" si="104"/>
        <v>-2767.44</v>
      </c>
      <c r="I3342" s="9">
        <f t="shared" si="105"/>
        <v>-1</v>
      </c>
      <c r="J3342" s="3" t="s">
        <v>4603</v>
      </c>
    </row>
    <row r="3343" spans="1:10" ht="38.25">
      <c r="A3343" s="3" t="s">
        <v>1811</v>
      </c>
      <c r="B3343" s="3" t="s">
        <v>4197</v>
      </c>
      <c r="C3343" s="4">
        <v>143</v>
      </c>
      <c r="D3343" s="3" t="s">
        <v>21</v>
      </c>
      <c r="E3343" s="3" t="s">
        <v>22</v>
      </c>
      <c r="F3343" s="5">
        <v>13821.78</v>
      </c>
      <c r="G3343" s="5">
        <v>9008.64</v>
      </c>
      <c r="H3343" s="5">
        <f t="shared" si="104"/>
        <v>-4813.1400000000012</v>
      </c>
      <c r="I3343" s="9">
        <f t="shared" si="105"/>
        <v>-0.34822866519362927</v>
      </c>
      <c r="J3343" s="3" t="s">
        <v>4603</v>
      </c>
    </row>
    <row r="3344" spans="1:10" ht="25.5">
      <c r="A3344" s="3" t="s">
        <v>1811</v>
      </c>
      <c r="B3344" s="3" t="s">
        <v>4198</v>
      </c>
      <c r="C3344" s="4">
        <v>194</v>
      </c>
      <c r="D3344" s="3" t="s">
        <v>179</v>
      </c>
      <c r="E3344" s="3" t="s">
        <v>13</v>
      </c>
      <c r="F3344" s="5">
        <v>0</v>
      </c>
      <c r="G3344" s="5">
        <v>15743.64</v>
      </c>
      <c r="H3344" s="5">
        <f t="shared" si="104"/>
        <v>15743.64</v>
      </c>
      <c r="I3344" s="9">
        <f t="shared" si="105"/>
        <v>0</v>
      </c>
      <c r="J3344" s="3" t="s">
        <v>4603</v>
      </c>
    </row>
    <row r="3345" spans="1:10" ht="25.5">
      <c r="A3345" s="3" t="s">
        <v>1811</v>
      </c>
      <c r="B3345" s="3" t="s">
        <v>4199</v>
      </c>
      <c r="C3345" s="4">
        <v>53</v>
      </c>
      <c r="D3345" s="3" t="s">
        <v>340</v>
      </c>
      <c r="E3345" s="3" t="s">
        <v>13</v>
      </c>
      <c r="F3345" s="5">
        <v>12561.81</v>
      </c>
      <c r="G3345" s="5">
        <v>0</v>
      </c>
      <c r="H3345" s="5">
        <f t="shared" si="104"/>
        <v>-12561.81</v>
      </c>
      <c r="I3345" s="9">
        <f t="shared" si="105"/>
        <v>-1</v>
      </c>
      <c r="J3345" s="3" t="s">
        <v>4603</v>
      </c>
    </row>
    <row r="3346" spans="1:10" ht="25.5">
      <c r="A3346" s="3" t="s">
        <v>1811</v>
      </c>
      <c r="B3346" s="3" t="s">
        <v>4200</v>
      </c>
      <c r="C3346" s="4">
        <v>197</v>
      </c>
      <c r="D3346" s="3" t="s">
        <v>23</v>
      </c>
      <c r="E3346" s="3" t="s">
        <v>22</v>
      </c>
      <c r="F3346" s="5">
        <v>6067.08</v>
      </c>
      <c r="G3346" s="5">
        <v>0</v>
      </c>
      <c r="H3346" s="5">
        <f t="shared" si="104"/>
        <v>-6067.08</v>
      </c>
      <c r="I3346" s="9">
        <f t="shared" si="105"/>
        <v>-1</v>
      </c>
      <c r="J3346" s="3" t="s">
        <v>4603</v>
      </c>
    </row>
    <row r="3347" spans="1:10" ht="38.25">
      <c r="A3347" s="3" t="s">
        <v>1811</v>
      </c>
      <c r="B3347" s="3" t="s">
        <v>4201</v>
      </c>
      <c r="C3347" s="4">
        <v>143</v>
      </c>
      <c r="D3347" s="3" t="s">
        <v>21</v>
      </c>
      <c r="E3347" s="3" t="s">
        <v>22</v>
      </c>
      <c r="F3347" s="5">
        <v>8422.56</v>
      </c>
      <c r="G3347" s="5">
        <v>0</v>
      </c>
      <c r="H3347" s="5">
        <f t="shared" si="104"/>
        <v>-8422.56</v>
      </c>
      <c r="I3347" s="9">
        <f t="shared" si="105"/>
        <v>-1</v>
      </c>
      <c r="J3347" s="3" t="s">
        <v>4603</v>
      </c>
    </row>
    <row r="3348" spans="1:10" ht="25.5">
      <c r="A3348" s="3" t="s">
        <v>1811</v>
      </c>
      <c r="B3348" s="3" t="s">
        <v>4202</v>
      </c>
      <c r="C3348" s="4">
        <v>194</v>
      </c>
      <c r="D3348" s="3" t="s">
        <v>179</v>
      </c>
      <c r="E3348" s="3" t="s">
        <v>13</v>
      </c>
      <c r="F3348" s="5">
        <v>9646.44</v>
      </c>
      <c r="G3348" s="5">
        <v>0</v>
      </c>
      <c r="H3348" s="5">
        <f t="shared" si="104"/>
        <v>-9646.44</v>
      </c>
      <c r="I3348" s="9">
        <f t="shared" si="105"/>
        <v>-1</v>
      </c>
      <c r="J3348" s="3" t="s">
        <v>4603</v>
      </c>
    </row>
    <row r="3349" spans="1:10" ht="25.5">
      <c r="A3349" s="3" t="s">
        <v>1811</v>
      </c>
      <c r="B3349" s="3" t="s">
        <v>4203</v>
      </c>
      <c r="C3349" s="4">
        <v>266</v>
      </c>
      <c r="D3349" s="3" t="s">
        <v>111</v>
      </c>
      <c r="E3349" s="3" t="s">
        <v>18</v>
      </c>
      <c r="F3349" s="5">
        <v>0</v>
      </c>
      <c r="G3349" s="5">
        <v>378.72</v>
      </c>
      <c r="H3349" s="5">
        <f t="shared" si="104"/>
        <v>378.72</v>
      </c>
      <c r="I3349" s="9">
        <f t="shared" si="105"/>
        <v>0</v>
      </c>
      <c r="J3349" s="3" t="s">
        <v>4603</v>
      </c>
    </row>
    <row r="3350" spans="1:10" ht="25.5">
      <c r="A3350" s="3" t="s">
        <v>1811</v>
      </c>
      <c r="B3350" s="3" t="s">
        <v>4204</v>
      </c>
      <c r="C3350" s="4">
        <v>240</v>
      </c>
      <c r="D3350" s="3" t="s">
        <v>152</v>
      </c>
      <c r="E3350" s="3" t="s">
        <v>13</v>
      </c>
      <c r="F3350" s="5">
        <v>0</v>
      </c>
      <c r="G3350" s="5">
        <v>4161.4799999999996</v>
      </c>
      <c r="H3350" s="5">
        <f t="shared" si="104"/>
        <v>4161.4799999999996</v>
      </c>
      <c r="I3350" s="9">
        <f t="shared" si="105"/>
        <v>0</v>
      </c>
      <c r="J3350" s="3" t="s">
        <v>4603</v>
      </c>
    </row>
    <row r="3351" spans="1:10" ht="38.25">
      <c r="A3351" s="3" t="s">
        <v>1811</v>
      </c>
      <c r="B3351" s="3" t="s">
        <v>4205</v>
      </c>
      <c r="C3351" s="4">
        <v>45</v>
      </c>
      <c r="D3351" s="3" t="s">
        <v>16</v>
      </c>
      <c r="E3351" s="3" t="s">
        <v>8</v>
      </c>
      <c r="F3351" s="5">
        <v>0</v>
      </c>
      <c r="G3351" s="5">
        <v>4003.8</v>
      </c>
      <c r="H3351" s="5">
        <f t="shared" si="104"/>
        <v>4003.8</v>
      </c>
      <c r="I3351" s="9">
        <f t="shared" si="105"/>
        <v>0</v>
      </c>
      <c r="J3351" s="3" t="s">
        <v>4603</v>
      </c>
    </row>
    <row r="3352" spans="1:10" ht="25.5">
      <c r="A3352" s="3" t="s">
        <v>1811</v>
      </c>
      <c r="B3352" s="3" t="s">
        <v>4206</v>
      </c>
      <c r="C3352" s="4">
        <v>327</v>
      </c>
      <c r="D3352" s="3" t="s">
        <v>76</v>
      </c>
      <c r="E3352" s="3" t="s">
        <v>8</v>
      </c>
      <c r="F3352" s="5">
        <v>0</v>
      </c>
      <c r="G3352" s="5">
        <v>6007.65</v>
      </c>
      <c r="H3352" s="5">
        <f t="shared" si="104"/>
        <v>6007.65</v>
      </c>
      <c r="I3352" s="9">
        <f t="shared" si="105"/>
        <v>0</v>
      </c>
      <c r="J3352" s="3" t="s">
        <v>4603</v>
      </c>
    </row>
    <row r="3353" spans="1:10" ht="25.5">
      <c r="A3353" s="3" t="s">
        <v>1811</v>
      </c>
      <c r="B3353" s="3" t="s">
        <v>4207</v>
      </c>
      <c r="C3353" s="4">
        <v>267</v>
      </c>
      <c r="D3353" s="3" t="s">
        <v>417</v>
      </c>
      <c r="E3353" s="3" t="s">
        <v>13</v>
      </c>
      <c r="F3353" s="5">
        <v>0</v>
      </c>
      <c r="G3353" s="5">
        <v>2556.48</v>
      </c>
      <c r="H3353" s="5">
        <f t="shared" si="104"/>
        <v>2556.48</v>
      </c>
      <c r="I3353" s="9">
        <f t="shared" si="105"/>
        <v>0</v>
      </c>
      <c r="J3353" s="3" t="s">
        <v>4603</v>
      </c>
    </row>
    <row r="3354" spans="1:10" ht="25.5">
      <c r="A3354" s="3" t="s">
        <v>1811</v>
      </c>
      <c r="B3354" s="3" t="s">
        <v>4208</v>
      </c>
      <c r="C3354" s="4">
        <v>270</v>
      </c>
      <c r="D3354" s="3" t="s">
        <v>312</v>
      </c>
      <c r="E3354" s="3" t="s">
        <v>30</v>
      </c>
      <c r="F3354" s="5">
        <v>9946.3799999999992</v>
      </c>
      <c r="G3354" s="5">
        <v>0</v>
      </c>
      <c r="H3354" s="5">
        <f t="shared" si="104"/>
        <v>-9946.3799999999992</v>
      </c>
      <c r="I3354" s="9">
        <f t="shared" si="105"/>
        <v>-1</v>
      </c>
      <c r="J3354" s="3" t="s">
        <v>4603</v>
      </c>
    </row>
    <row r="3355" spans="1:10">
      <c r="A3355" s="3" t="s">
        <v>1811</v>
      </c>
      <c r="B3355" s="3" t="s">
        <v>4209</v>
      </c>
      <c r="C3355" s="4">
        <v>232</v>
      </c>
      <c r="D3355" s="3" t="s">
        <v>95</v>
      </c>
      <c r="E3355" s="3" t="s">
        <v>13</v>
      </c>
      <c r="F3355" s="5">
        <v>10390.08</v>
      </c>
      <c r="G3355" s="5">
        <v>0</v>
      </c>
      <c r="H3355" s="5">
        <f t="shared" si="104"/>
        <v>-10390.08</v>
      </c>
      <c r="I3355" s="9">
        <f t="shared" si="105"/>
        <v>-1</v>
      </c>
      <c r="J3355" s="3" t="s">
        <v>4603</v>
      </c>
    </row>
    <row r="3356" spans="1:10" ht="25.5">
      <c r="A3356" s="3" t="s">
        <v>1811</v>
      </c>
      <c r="B3356" s="3" t="s">
        <v>4210</v>
      </c>
      <c r="C3356" s="4">
        <v>327</v>
      </c>
      <c r="D3356" s="3" t="s">
        <v>76</v>
      </c>
      <c r="E3356" s="3" t="s">
        <v>8</v>
      </c>
      <c r="F3356" s="5">
        <v>4262.34</v>
      </c>
      <c r="G3356" s="5">
        <v>0</v>
      </c>
      <c r="H3356" s="5">
        <f t="shared" si="104"/>
        <v>-4262.34</v>
      </c>
      <c r="I3356" s="9">
        <f t="shared" si="105"/>
        <v>-1</v>
      </c>
      <c r="J3356" s="3" t="s">
        <v>4603</v>
      </c>
    </row>
    <row r="3357" spans="1:10" ht="38.25">
      <c r="A3357" s="3" t="s">
        <v>1811</v>
      </c>
      <c r="B3357" s="3" t="s">
        <v>4211</v>
      </c>
      <c r="C3357" s="4">
        <v>292</v>
      </c>
      <c r="D3357" s="3" t="s">
        <v>619</v>
      </c>
      <c r="E3357" s="3" t="s">
        <v>30</v>
      </c>
      <c r="F3357" s="5">
        <v>7138.8</v>
      </c>
      <c r="G3357" s="5">
        <v>5304.36</v>
      </c>
      <c r="H3357" s="5">
        <f t="shared" si="104"/>
        <v>-1834.4400000000005</v>
      </c>
      <c r="I3357" s="9">
        <f t="shared" si="105"/>
        <v>-0.2569675575727014</v>
      </c>
      <c r="J3357" s="3" t="s">
        <v>4603</v>
      </c>
    </row>
    <row r="3358" spans="1:10" ht="25.5">
      <c r="A3358" s="3" t="s">
        <v>1811</v>
      </c>
      <c r="B3358" s="3" t="s">
        <v>4212</v>
      </c>
      <c r="C3358" s="4">
        <v>178</v>
      </c>
      <c r="D3358" s="3" t="s">
        <v>92</v>
      </c>
      <c r="E3358" s="3" t="s">
        <v>8</v>
      </c>
      <c r="F3358" s="5">
        <v>3047.52</v>
      </c>
      <c r="G3358" s="5">
        <v>0</v>
      </c>
      <c r="H3358" s="5">
        <f t="shared" si="104"/>
        <v>-3047.52</v>
      </c>
      <c r="I3358" s="9">
        <f t="shared" si="105"/>
        <v>-1</v>
      </c>
      <c r="J3358" s="3" t="s">
        <v>4603</v>
      </c>
    </row>
    <row r="3359" spans="1:10" ht="25.5">
      <c r="A3359" s="3" t="s">
        <v>1811</v>
      </c>
      <c r="B3359" s="3" t="s">
        <v>4213</v>
      </c>
      <c r="C3359" s="4">
        <v>93</v>
      </c>
      <c r="D3359" s="3" t="s">
        <v>42</v>
      </c>
      <c r="E3359" s="3" t="s">
        <v>8</v>
      </c>
      <c r="F3359" s="5">
        <v>4043.46</v>
      </c>
      <c r="G3359" s="5">
        <v>0</v>
      </c>
      <c r="H3359" s="5">
        <f t="shared" si="104"/>
        <v>-4043.46</v>
      </c>
      <c r="I3359" s="9">
        <f t="shared" si="105"/>
        <v>-1</v>
      </c>
      <c r="J3359" s="3" t="s">
        <v>4603</v>
      </c>
    </row>
    <row r="3360" spans="1:10" ht="25.5">
      <c r="A3360" s="3" t="s">
        <v>1811</v>
      </c>
      <c r="B3360" s="3" t="s">
        <v>4214</v>
      </c>
      <c r="C3360" s="4">
        <v>61</v>
      </c>
      <c r="D3360" s="3" t="s">
        <v>114</v>
      </c>
      <c r="E3360" s="3" t="s">
        <v>30</v>
      </c>
      <c r="F3360" s="5">
        <v>14565.96</v>
      </c>
      <c r="G3360" s="5">
        <v>0</v>
      </c>
      <c r="H3360" s="5">
        <f t="shared" si="104"/>
        <v>-14565.96</v>
      </c>
      <c r="I3360" s="9">
        <f t="shared" si="105"/>
        <v>-1</v>
      </c>
      <c r="J3360" s="3" t="s">
        <v>4603</v>
      </c>
    </row>
    <row r="3361" spans="1:10" ht="38.25">
      <c r="A3361" s="3" t="s">
        <v>1811</v>
      </c>
      <c r="B3361" s="3" t="s">
        <v>4215</v>
      </c>
      <c r="C3361" s="4">
        <v>45</v>
      </c>
      <c r="D3361" s="3" t="s">
        <v>16</v>
      </c>
      <c r="E3361" s="3" t="s">
        <v>8</v>
      </c>
      <c r="F3361" s="5">
        <v>17522.759999999998</v>
      </c>
      <c r="G3361" s="5">
        <v>38179.08</v>
      </c>
      <c r="H3361" s="5">
        <f t="shared" si="104"/>
        <v>20656.320000000003</v>
      </c>
      <c r="I3361" s="9">
        <f t="shared" si="105"/>
        <v>1.1788279928504415</v>
      </c>
      <c r="J3361" s="3" t="s">
        <v>4603</v>
      </c>
    </row>
    <row r="3362" spans="1:10" ht="25.5">
      <c r="A3362" s="3" t="s">
        <v>1811</v>
      </c>
      <c r="B3362" s="3" t="s">
        <v>4216</v>
      </c>
      <c r="C3362" s="4">
        <v>261</v>
      </c>
      <c r="D3362" s="3" t="s">
        <v>17</v>
      </c>
      <c r="E3362" s="3" t="s">
        <v>18</v>
      </c>
      <c r="F3362" s="5">
        <v>2951.52</v>
      </c>
      <c r="G3362" s="5">
        <v>8890.44</v>
      </c>
      <c r="H3362" s="5">
        <f t="shared" si="104"/>
        <v>5938.92</v>
      </c>
      <c r="I3362" s="9">
        <f t="shared" si="105"/>
        <v>2.0121564482029601</v>
      </c>
      <c r="J3362" s="3" t="s">
        <v>4603</v>
      </c>
    </row>
    <row r="3363" spans="1:10" ht="38.25">
      <c r="A3363" s="3" t="s">
        <v>1811</v>
      </c>
      <c r="B3363" s="3" t="s">
        <v>4217</v>
      </c>
      <c r="C3363" s="4">
        <v>11</v>
      </c>
      <c r="D3363" s="3" t="s">
        <v>55</v>
      </c>
      <c r="E3363" s="3" t="s">
        <v>18</v>
      </c>
      <c r="F3363" s="5">
        <v>9851.76</v>
      </c>
      <c r="G3363" s="5">
        <v>0</v>
      </c>
      <c r="H3363" s="5">
        <f t="shared" si="104"/>
        <v>-9851.76</v>
      </c>
      <c r="I3363" s="9">
        <f t="shared" si="105"/>
        <v>-1</v>
      </c>
      <c r="J3363" s="3" t="s">
        <v>4603</v>
      </c>
    </row>
    <row r="3364" spans="1:10" ht="25.5">
      <c r="A3364" s="3" t="s">
        <v>1811</v>
      </c>
      <c r="B3364" s="3" t="s">
        <v>4218</v>
      </c>
      <c r="C3364" s="4">
        <v>39</v>
      </c>
      <c r="D3364" s="3" t="s">
        <v>26</v>
      </c>
      <c r="E3364" s="3" t="s">
        <v>9</v>
      </c>
      <c r="F3364" s="5">
        <v>15909.91</v>
      </c>
      <c r="G3364" s="5">
        <v>12155.77</v>
      </c>
      <c r="H3364" s="5">
        <f t="shared" si="104"/>
        <v>-3754.1399999999994</v>
      </c>
      <c r="I3364" s="9">
        <f t="shared" si="105"/>
        <v>-0.23596236559477701</v>
      </c>
      <c r="J3364" s="3" t="s">
        <v>4603</v>
      </c>
    </row>
    <row r="3365" spans="1:10" ht="25.5">
      <c r="A3365" s="3" t="s">
        <v>1811</v>
      </c>
      <c r="B3365" s="3" t="s">
        <v>4219</v>
      </c>
      <c r="C3365" s="4">
        <v>261</v>
      </c>
      <c r="D3365" s="3" t="s">
        <v>17</v>
      </c>
      <c r="E3365" s="3" t="s">
        <v>18</v>
      </c>
      <c r="F3365" s="5">
        <v>3515.52</v>
      </c>
      <c r="G3365" s="5">
        <v>4527</v>
      </c>
      <c r="H3365" s="5">
        <f t="shared" si="104"/>
        <v>1011.48</v>
      </c>
      <c r="I3365" s="9">
        <f t="shared" si="105"/>
        <v>0.28771845985800115</v>
      </c>
      <c r="J3365" s="3" t="s">
        <v>4603</v>
      </c>
    </row>
    <row r="3366" spans="1:10">
      <c r="A3366" s="3" t="s">
        <v>1811</v>
      </c>
      <c r="B3366" s="3" t="s">
        <v>4220</v>
      </c>
      <c r="C3366" s="4">
        <v>232</v>
      </c>
      <c r="D3366" s="3" t="s">
        <v>95</v>
      </c>
      <c r="E3366" s="3" t="s">
        <v>13</v>
      </c>
      <c r="F3366" s="5">
        <v>6461.28</v>
      </c>
      <c r="G3366" s="5">
        <v>19475.759999999998</v>
      </c>
      <c r="H3366" s="5">
        <f t="shared" si="104"/>
        <v>13014.48</v>
      </c>
      <c r="I3366" s="9">
        <f t="shared" si="105"/>
        <v>2.0142262833370475</v>
      </c>
      <c r="J3366" s="3" t="s">
        <v>4603</v>
      </c>
    </row>
    <row r="3367" spans="1:10" ht="25.5">
      <c r="A3367" s="3" t="s">
        <v>1811</v>
      </c>
      <c r="B3367" s="3" t="s">
        <v>4221</v>
      </c>
      <c r="C3367" s="4">
        <v>327</v>
      </c>
      <c r="D3367" s="3" t="s">
        <v>76</v>
      </c>
      <c r="E3367" s="3" t="s">
        <v>8</v>
      </c>
      <c r="F3367" s="5">
        <v>0</v>
      </c>
      <c r="G3367" s="5">
        <v>2088.2399999999998</v>
      </c>
      <c r="H3367" s="5">
        <f t="shared" si="104"/>
        <v>2088.2399999999998</v>
      </c>
      <c r="I3367" s="9">
        <f t="shared" si="105"/>
        <v>0</v>
      </c>
      <c r="J3367" s="3" t="s">
        <v>4603</v>
      </c>
    </row>
    <row r="3368" spans="1:10">
      <c r="A3368" s="3" t="s">
        <v>1811</v>
      </c>
      <c r="B3368" s="3" t="s">
        <v>4222</v>
      </c>
      <c r="C3368" s="4">
        <v>334</v>
      </c>
      <c r="D3368" s="3" t="s">
        <v>585</v>
      </c>
      <c r="E3368" s="3" t="s">
        <v>8</v>
      </c>
      <c r="F3368" s="5">
        <v>0</v>
      </c>
      <c r="G3368" s="5">
        <v>2873.28</v>
      </c>
      <c r="H3368" s="5">
        <f t="shared" si="104"/>
        <v>2873.28</v>
      </c>
      <c r="I3368" s="9">
        <f t="shared" si="105"/>
        <v>0</v>
      </c>
      <c r="J3368" s="3" t="s">
        <v>4603</v>
      </c>
    </row>
    <row r="3369" spans="1:10" ht="25.5">
      <c r="A3369" s="3" t="s">
        <v>1811</v>
      </c>
      <c r="B3369" s="3" t="s">
        <v>4223</v>
      </c>
      <c r="C3369" s="4">
        <v>93</v>
      </c>
      <c r="D3369" s="3" t="s">
        <v>42</v>
      </c>
      <c r="E3369" s="3" t="s">
        <v>8</v>
      </c>
      <c r="F3369" s="5">
        <v>4823.28</v>
      </c>
      <c r="G3369" s="5">
        <v>0</v>
      </c>
      <c r="H3369" s="5">
        <f t="shared" si="104"/>
        <v>-4823.28</v>
      </c>
      <c r="I3369" s="9">
        <f t="shared" si="105"/>
        <v>-1</v>
      </c>
      <c r="J3369" s="3" t="s">
        <v>4603</v>
      </c>
    </row>
    <row r="3370" spans="1:10" ht="25.5">
      <c r="A3370" s="3" t="s">
        <v>1811</v>
      </c>
      <c r="B3370" s="3" t="s">
        <v>4224</v>
      </c>
      <c r="C3370" s="4">
        <v>217</v>
      </c>
      <c r="D3370" s="3" t="s">
        <v>253</v>
      </c>
      <c r="E3370" s="3" t="s">
        <v>13</v>
      </c>
      <c r="F3370" s="5">
        <v>11702.55</v>
      </c>
      <c r="G3370" s="5">
        <v>7622.28</v>
      </c>
      <c r="H3370" s="5">
        <f t="shared" si="104"/>
        <v>-4080.2699999999995</v>
      </c>
      <c r="I3370" s="9">
        <f t="shared" si="105"/>
        <v>-0.3486650345437533</v>
      </c>
      <c r="J3370" s="3" t="s">
        <v>4603</v>
      </c>
    </row>
    <row r="3371" spans="1:10">
      <c r="A3371" s="3" t="s">
        <v>1811</v>
      </c>
      <c r="B3371" s="3" t="s">
        <v>4225</v>
      </c>
      <c r="C3371" s="4">
        <v>315</v>
      </c>
      <c r="D3371" s="3" t="s">
        <v>79</v>
      </c>
      <c r="E3371" s="3" t="s">
        <v>8</v>
      </c>
      <c r="F3371" s="5">
        <v>0</v>
      </c>
      <c r="G3371" s="5">
        <v>3835.2139999999999</v>
      </c>
      <c r="H3371" s="5">
        <f t="shared" si="104"/>
        <v>3835.2139999999999</v>
      </c>
      <c r="I3371" s="9">
        <f t="shared" si="105"/>
        <v>0</v>
      </c>
      <c r="J3371" s="3" t="s">
        <v>4603</v>
      </c>
    </row>
    <row r="3372" spans="1:10" ht="25.5">
      <c r="A3372" s="3" t="s">
        <v>1811</v>
      </c>
      <c r="B3372" s="3" t="s">
        <v>4226</v>
      </c>
      <c r="C3372" s="4">
        <v>267</v>
      </c>
      <c r="D3372" s="3" t="s">
        <v>417</v>
      </c>
      <c r="E3372" s="3" t="s">
        <v>13</v>
      </c>
      <c r="F3372" s="5">
        <v>2821.8</v>
      </c>
      <c r="G3372" s="5">
        <v>0</v>
      </c>
      <c r="H3372" s="5">
        <f t="shared" si="104"/>
        <v>-2821.8</v>
      </c>
      <c r="I3372" s="9">
        <f t="shared" si="105"/>
        <v>-1</v>
      </c>
      <c r="J3372" s="3" t="s">
        <v>4603</v>
      </c>
    </row>
    <row r="3373" spans="1:10" ht="25.5">
      <c r="A3373" s="3" t="s">
        <v>1811</v>
      </c>
      <c r="B3373" s="3" t="s">
        <v>4227</v>
      </c>
      <c r="C3373" s="4">
        <v>208</v>
      </c>
      <c r="D3373" s="3" t="s">
        <v>58</v>
      </c>
      <c r="E3373" s="3" t="s">
        <v>13</v>
      </c>
      <c r="F3373" s="5">
        <v>0</v>
      </c>
      <c r="G3373" s="5">
        <v>6834.48</v>
      </c>
      <c r="H3373" s="5">
        <f t="shared" si="104"/>
        <v>6834.48</v>
      </c>
      <c r="I3373" s="9">
        <f t="shared" si="105"/>
        <v>0</v>
      </c>
      <c r="J3373" s="3" t="s">
        <v>4603</v>
      </c>
    </row>
    <row r="3374" spans="1:10" ht="25.5">
      <c r="A3374" s="3" t="s">
        <v>1811</v>
      </c>
      <c r="B3374" s="3" t="s">
        <v>4228</v>
      </c>
      <c r="C3374" s="4">
        <v>53</v>
      </c>
      <c r="D3374" s="3" t="s">
        <v>340</v>
      </c>
      <c r="E3374" s="3" t="s">
        <v>13</v>
      </c>
      <c r="F3374" s="5">
        <v>29955</v>
      </c>
      <c r="G3374" s="5">
        <v>0</v>
      </c>
      <c r="H3374" s="5">
        <f t="shared" si="104"/>
        <v>-29955</v>
      </c>
      <c r="I3374" s="9">
        <f t="shared" si="105"/>
        <v>-1</v>
      </c>
      <c r="J3374" s="3" t="s">
        <v>4604</v>
      </c>
    </row>
    <row r="3375" spans="1:10" ht="25.5">
      <c r="A3375" s="3" t="s">
        <v>1811</v>
      </c>
      <c r="B3375" s="3" t="s">
        <v>4229</v>
      </c>
      <c r="C3375" s="4">
        <v>327</v>
      </c>
      <c r="D3375" s="3" t="s">
        <v>76</v>
      </c>
      <c r="E3375" s="3" t="s">
        <v>8</v>
      </c>
      <c r="F3375" s="5">
        <v>7690.68</v>
      </c>
      <c r="G3375" s="5">
        <v>0</v>
      </c>
      <c r="H3375" s="5">
        <f t="shared" si="104"/>
        <v>-7690.68</v>
      </c>
      <c r="I3375" s="9">
        <f t="shared" si="105"/>
        <v>-1</v>
      </c>
      <c r="J3375" s="3" t="s">
        <v>4603</v>
      </c>
    </row>
    <row r="3376" spans="1:10" ht="25.5">
      <c r="A3376" s="3" t="s">
        <v>1811</v>
      </c>
      <c r="B3376" s="3" t="s">
        <v>4230</v>
      </c>
      <c r="C3376" s="4">
        <v>297</v>
      </c>
      <c r="D3376" s="3" t="s">
        <v>209</v>
      </c>
      <c r="E3376" s="3" t="s">
        <v>22</v>
      </c>
      <c r="F3376" s="5">
        <v>8302.56</v>
      </c>
      <c r="G3376" s="5">
        <v>0</v>
      </c>
      <c r="H3376" s="5">
        <f t="shared" si="104"/>
        <v>-8302.56</v>
      </c>
      <c r="I3376" s="9">
        <f t="shared" si="105"/>
        <v>-1</v>
      </c>
      <c r="J3376" s="3" t="s">
        <v>4603</v>
      </c>
    </row>
    <row r="3377" spans="1:10" ht="25.5">
      <c r="A3377" s="3" t="s">
        <v>1811</v>
      </c>
      <c r="B3377" s="3" t="s">
        <v>4231</v>
      </c>
      <c r="C3377" s="4">
        <v>232</v>
      </c>
      <c r="D3377" s="3" t="s">
        <v>95</v>
      </c>
      <c r="E3377" s="3" t="s">
        <v>13</v>
      </c>
      <c r="F3377" s="5">
        <v>5653.62</v>
      </c>
      <c r="G3377" s="5">
        <v>6819.6</v>
      </c>
      <c r="H3377" s="5">
        <f t="shared" si="104"/>
        <v>1165.9800000000005</v>
      </c>
      <c r="I3377" s="9">
        <f t="shared" si="105"/>
        <v>0.20623600454222268</v>
      </c>
      <c r="J3377" s="3" t="s">
        <v>4603</v>
      </c>
    </row>
    <row r="3378" spans="1:10">
      <c r="A3378" s="3" t="s">
        <v>1811</v>
      </c>
      <c r="B3378" s="3" t="s">
        <v>4232</v>
      </c>
      <c r="C3378" s="4">
        <v>232</v>
      </c>
      <c r="D3378" s="3" t="s">
        <v>95</v>
      </c>
      <c r="E3378" s="3" t="s">
        <v>13</v>
      </c>
      <c r="F3378" s="5">
        <v>3610.08</v>
      </c>
      <c r="G3378" s="5">
        <v>0</v>
      </c>
      <c r="H3378" s="5">
        <f t="shared" si="104"/>
        <v>-3610.08</v>
      </c>
      <c r="I3378" s="9">
        <f t="shared" si="105"/>
        <v>-1</v>
      </c>
      <c r="J3378" s="3" t="s">
        <v>4603</v>
      </c>
    </row>
    <row r="3379" spans="1:10" ht="25.5">
      <c r="A3379" s="3" t="s">
        <v>1811</v>
      </c>
      <c r="B3379" s="3" t="s">
        <v>4233</v>
      </c>
      <c r="C3379" s="4">
        <v>267</v>
      </c>
      <c r="D3379" s="3" t="s">
        <v>417</v>
      </c>
      <c r="E3379" s="3" t="s">
        <v>13</v>
      </c>
      <c r="F3379" s="5">
        <v>0</v>
      </c>
      <c r="G3379" s="5">
        <v>4805.76</v>
      </c>
      <c r="H3379" s="5">
        <f t="shared" si="104"/>
        <v>4805.76</v>
      </c>
      <c r="I3379" s="9">
        <f t="shared" si="105"/>
        <v>0</v>
      </c>
      <c r="J3379" s="3" t="s">
        <v>4603</v>
      </c>
    </row>
    <row r="3380" spans="1:10" ht="25.5">
      <c r="A3380" s="3" t="s">
        <v>1811</v>
      </c>
      <c r="B3380" s="3" t="s">
        <v>4234</v>
      </c>
      <c r="C3380" s="4">
        <v>19</v>
      </c>
      <c r="D3380" s="3" t="s">
        <v>53</v>
      </c>
      <c r="E3380" s="3" t="s">
        <v>22</v>
      </c>
      <c r="F3380" s="5">
        <v>8640.69</v>
      </c>
      <c r="G3380" s="5">
        <v>21536.28</v>
      </c>
      <c r="H3380" s="5">
        <f t="shared" si="104"/>
        <v>12895.589999999998</v>
      </c>
      <c r="I3380" s="9">
        <f t="shared" si="105"/>
        <v>1.4924259520941034</v>
      </c>
      <c r="J3380" s="3" t="s">
        <v>4603</v>
      </c>
    </row>
    <row r="3381" spans="1:10" ht="25.5">
      <c r="A3381" s="3" t="s">
        <v>1811</v>
      </c>
      <c r="B3381" s="3" t="s">
        <v>4235</v>
      </c>
      <c r="C3381" s="4">
        <v>316</v>
      </c>
      <c r="D3381" s="3" t="s">
        <v>167</v>
      </c>
      <c r="E3381" s="3" t="s">
        <v>18</v>
      </c>
      <c r="F3381" s="5">
        <v>4973.04</v>
      </c>
      <c r="G3381" s="5">
        <v>7509.72</v>
      </c>
      <c r="H3381" s="5">
        <f t="shared" si="104"/>
        <v>2536.6800000000003</v>
      </c>
      <c r="I3381" s="9">
        <f t="shared" si="105"/>
        <v>0.51008638579219157</v>
      </c>
      <c r="J3381" s="3" t="s">
        <v>4603</v>
      </c>
    </row>
    <row r="3382" spans="1:10" ht="25.5">
      <c r="A3382" s="3" t="s">
        <v>1811</v>
      </c>
      <c r="B3382" s="3" t="s">
        <v>4236</v>
      </c>
      <c r="C3382" s="4">
        <v>299</v>
      </c>
      <c r="D3382" s="3" t="s">
        <v>246</v>
      </c>
      <c r="E3382" s="3" t="s">
        <v>30</v>
      </c>
      <c r="F3382" s="5">
        <v>0</v>
      </c>
      <c r="G3382" s="5">
        <v>7139.58</v>
      </c>
      <c r="H3382" s="5">
        <f t="shared" si="104"/>
        <v>7139.58</v>
      </c>
      <c r="I3382" s="9">
        <f t="shared" si="105"/>
        <v>0</v>
      </c>
      <c r="J3382" s="3" t="s">
        <v>4603</v>
      </c>
    </row>
    <row r="3383" spans="1:10" ht="38.25">
      <c r="A3383" s="3" t="s">
        <v>1811</v>
      </c>
      <c r="B3383" s="3" t="s">
        <v>4237</v>
      </c>
      <c r="C3383" s="4">
        <v>143</v>
      </c>
      <c r="D3383" s="3" t="s">
        <v>21</v>
      </c>
      <c r="E3383" s="3" t="s">
        <v>22</v>
      </c>
      <c r="F3383" s="5">
        <v>8239.44</v>
      </c>
      <c r="G3383" s="5">
        <v>12245.16</v>
      </c>
      <c r="H3383" s="5">
        <f t="shared" si="104"/>
        <v>4005.7199999999993</v>
      </c>
      <c r="I3383" s="9">
        <f t="shared" si="105"/>
        <v>0.48616410824036582</v>
      </c>
      <c r="J3383" s="3" t="s">
        <v>4603</v>
      </c>
    </row>
    <row r="3384" spans="1:10" ht="38.25">
      <c r="A3384" s="3" t="s">
        <v>1811</v>
      </c>
      <c r="B3384" s="3" t="s">
        <v>4238</v>
      </c>
      <c r="C3384" s="4">
        <v>371</v>
      </c>
      <c r="D3384" s="3" t="s">
        <v>29</v>
      </c>
      <c r="E3384" s="3" t="s">
        <v>30</v>
      </c>
      <c r="F3384" s="5">
        <v>14743.92</v>
      </c>
      <c r="G3384" s="5">
        <v>5398.6980000000003</v>
      </c>
      <c r="H3384" s="5">
        <f t="shared" si="104"/>
        <v>-9345.2219999999998</v>
      </c>
      <c r="I3384" s="9">
        <f t="shared" si="105"/>
        <v>-0.63383564208161736</v>
      </c>
      <c r="J3384" s="3" t="s">
        <v>4603</v>
      </c>
    </row>
    <row r="3385" spans="1:10" ht="25.5">
      <c r="A3385" s="3" t="s">
        <v>1811</v>
      </c>
      <c r="B3385" s="3" t="s">
        <v>4239</v>
      </c>
      <c r="C3385" s="4">
        <v>217</v>
      </c>
      <c r="D3385" s="3" t="s">
        <v>253</v>
      </c>
      <c r="E3385" s="3" t="s">
        <v>13</v>
      </c>
      <c r="F3385" s="5">
        <v>3230.64</v>
      </c>
      <c r="G3385" s="5">
        <v>0</v>
      </c>
      <c r="H3385" s="5">
        <f t="shared" si="104"/>
        <v>-3230.64</v>
      </c>
      <c r="I3385" s="9">
        <f t="shared" si="105"/>
        <v>-1</v>
      </c>
      <c r="J3385" s="3" t="s">
        <v>4603</v>
      </c>
    </row>
    <row r="3386" spans="1:10" ht="25.5">
      <c r="A3386" s="3" t="s">
        <v>1811</v>
      </c>
      <c r="B3386" s="3" t="s">
        <v>4240</v>
      </c>
      <c r="C3386" s="4">
        <v>317</v>
      </c>
      <c r="D3386" s="3" t="s">
        <v>54</v>
      </c>
      <c r="E3386" s="3" t="s">
        <v>18</v>
      </c>
      <c r="F3386" s="5">
        <v>19556.400000000001</v>
      </c>
      <c r="G3386" s="5">
        <v>0</v>
      </c>
      <c r="H3386" s="5">
        <f t="shared" si="104"/>
        <v>-19556.400000000001</v>
      </c>
      <c r="I3386" s="9">
        <f t="shared" si="105"/>
        <v>-1</v>
      </c>
      <c r="J3386" s="3" t="s">
        <v>4603</v>
      </c>
    </row>
    <row r="3387" spans="1:10" ht="25.5">
      <c r="A3387" s="3" t="s">
        <v>1811</v>
      </c>
      <c r="B3387" s="3" t="s">
        <v>4241</v>
      </c>
      <c r="C3387" s="4">
        <v>261</v>
      </c>
      <c r="D3387" s="3" t="s">
        <v>17</v>
      </c>
      <c r="E3387" s="3" t="s">
        <v>18</v>
      </c>
      <c r="F3387" s="5">
        <v>0</v>
      </c>
      <c r="G3387" s="5">
        <v>7363.17</v>
      </c>
      <c r="H3387" s="5">
        <f t="shared" si="104"/>
        <v>7363.17</v>
      </c>
      <c r="I3387" s="9">
        <f t="shared" si="105"/>
        <v>0</v>
      </c>
      <c r="J3387" s="3" t="s">
        <v>4603</v>
      </c>
    </row>
    <row r="3388" spans="1:10" ht="25.5">
      <c r="A3388" s="3" t="s">
        <v>1811</v>
      </c>
      <c r="B3388" s="3" t="s">
        <v>4242</v>
      </c>
      <c r="C3388" s="4">
        <v>93</v>
      </c>
      <c r="D3388" s="3" t="s">
        <v>42</v>
      </c>
      <c r="E3388" s="3" t="s">
        <v>8</v>
      </c>
      <c r="F3388" s="5">
        <v>9398.2800000000007</v>
      </c>
      <c r="G3388" s="5">
        <v>0</v>
      </c>
      <c r="H3388" s="5">
        <f t="shared" si="104"/>
        <v>-9398.2800000000007</v>
      </c>
      <c r="I3388" s="9">
        <f t="shared" si="105"/>
        <v>-1</v>
      </c>
      <c r="J3388" s="3" t="s">
        <v>4603</v>
      </c>
    </row>
    <row r="3389" spans="1:10" ht="38.25">
      <c r="A3389" s="3" t="s">
        <v>1811</v>
      </c>
      <c r="B3389" s="3" t="s">
        <v>4243</v>
      </c>
      <c r="C3389" s="4">
        <v>45</v>
      </c>
      <c r="D3389" s="3" t="s">
        <v>16</v>
      </c>
      <c r="E3389" s="3" t="s">
        <v>8</v>
      </c>
      <c r="F3389" s="5">
        <v>11548.14</v>
      </c>
      <c r="G3389" s="5">
        <v>0</v>
      </c>
      <c r="H3389" s="5">
        <f t="shared" si="104"/>
        <v>-11548.14</v>
      </c>
      <c r="I3389" s="9">
        <f t="shared" si="105"/>
        <v>-1</v>
      </c>
      <c r="J3389" s="3" t="s">
        <v>4603</v>
      </c>
    </row>
    <row r="3390" spans="1:10" ht="25.5">
      <c r="A3390" s="3" t="s">
        <v>1811</v>
      </c>
      <c r="B3390" s="3" t="s">
        <v>4244</v>
      </c>
      <c r="C3390" s="4">
        <v>296</v>
      </c>
      <c r="D3390" s="3" t="s">
        <v>137</v>
      </c>
      <c r="E3390" s="3" t="s">
        <v>18</v>
      </c>
      <c r="F3390" s="5">
        <v>8584.26</v>
      </c>
      <c r="G3390" s="5">
        <v>3940.701</v>
      </c>
      <c r="H3390" s="5">
        <f t="shared" si="104"/>
        <v>-4643.5590000000002</v>
      </c>
      <c r="I3390" s="9">
        <f t="shared" si="105"/>
        <v>-0.54093876466929003</v>
      </c>
      <c r="J3390" s="3" t="s">
        <v>4603</v>
      </c>
    </row>
    <row r="3391" spans="1:10" ht="38.25">
      <c r="A3391" s="3" t="s">
        <v>1811</v>
      </c>
      <c r="B3391" s="3" t="s">
        <v>4245</v>
      </c>
      <c r="C3391" s="4">
        <v>371</v>
      </c>
      <c r="D3391" s="3" t="s">
        <v>29</v>
      </c>
      <c r="E3391" s="3" t="s">
        <v>30</v>
      </c>
      <c r="F3391" s="5">
        <v>15264.63</v>
      </c>
      <c r="G3391" s="5">
        <v>24267.956999999999</v>
      </c>
      <c r="H3391" s="5">
        <f t="shared" si="104"/>
        <v>9003.3269999999993</v>
      </c>
      <c r="I3391" s="9">
        <f t="shared" si="105"/>
        <v>0.58981626151436362</v>
      </c>
      <c r="J3391" s="3" t="s">
        <v>4603</v>
      </c>
    </row>
    <row r="3392" spans="1:10" ht="25.5">
      <c r="A3392" s="3" t="s">
        <v>1811</v>
      </c>
      <c r="B3392" s="3" t="s">
        <v>4246</v>
      </c>
      <c r="C3392" s="4">
        <v>178</v>
      </c>
      <c r="D3392" s="3" t="s">
        <v>92</v>
      </c>
      <c r="E3392" s="3" t="s">
        <v>8</v>
      </c>
      <c r="F3392" s="5">
        <v>0</v>
      </c>
      <c r="G3392" s="5">
        <v>30423.24</v>
      </c>
      <c r="H3392" s="5">
        <f t="shared" si="104"/>
        <v>30423.24</v>
      </c>
      <c r="I3392" s="9">
        <f t="shared" si="105"/>
        <v>0</v>
      </c>
      <c r="J3392" s="3" t="s">
        <v>4603</v>
      </c>
    </row>
    <row r="3393" spans="1:10" ht="25.5">
      <c r="A3393" s="3" t="s">
        <v>1811</v>
      </c>
      <c r="B3393" s="3" t="s">
        <v>4247</v>
      </c>
      <c r="C3393" s="4">
        <v>296</v>
      </c>
      <c r="D3393" s="3" t="s">
        <v>137</v>
      </c>
      <c r="E3393" s="3" t="s">
        <v>18</v>
      </c>
      <c r="F3393" s="5">
        <v>5916</v>
      </c>
      <c r="G3393" s="5">
        <v>0</v>
      </c>
      <c r="H3393" s="5">
        <f t="shared" si="104"/>
        <v>-5916</v>
      </c>
      <c r="I3393" s="9">
        <f t="shared" si="105"/>
        <v>-1</v>
      </c>
      <c r="J3393" s="3" t="s">
        <v>4604</v>
      </c>
    </row>
    <row r="3394" spans="1:10" ht="25.5">
      <c r="A3394" s="3" t="s">
        <v>1811</v>
      </c>
      <c r="B3394" s="3" t="s">
        <v>4247</v>
      </c>
      <c r="C3394" s="4">
        <v>296</v>
      </c>
      <c r="D3394" s="3" t="s">
        <v>137</v>
      </c>
      <c r="E3394" s="3" t="s">
        <v>13</v>
      </c>
      <c r="F3394" s="5">
        <v>5916</v>
      </c>
      <c r="G3394" s="5">
        <v>0</v>
      </c>
      <c r="H3394" s="5">
        <f t="shared" si="104"/>
        <v>-5916</v>
      </c>
      <c r="I3394" s="9">
        <f t="shared" si="105"/>
        <v>-1</v>
      </c>
      <c r="J3394" s="3" t="s">
        <v>4604</v>
      </c>
    </row>
    <row r="3395" spans="1:10" ht="38.25">
      <c r="A3395" s="3" t="s">
        <v>1811</v>
      </c>
      <c r="B3395" s="3" t="s">
        <v>4248</v>
      </c>
      <c r="C3395" s="4">
        <v>371</v>
      </c>
      <c r="D3395" s="3" t="s">
        <v>29</v>
      </c>
      <c r="E3395" s="3" t="s">
        <v>30</v>
      </c>
      <c r="F3395" s="5">
        <v>0</v>
      </c>
      <c r="G3395" s="5">
        <v>2343.84</v>
      </c>
      <c r="H3395" s="5">
        <f t="shared" ref="H3395:H3458" si="106">G3395-F3395</f>
        <v>2343.84</v>
      </c>
      <c r="I3395" s="9">
        <f t="shared" ref="I3395:I3458" si="107">IFERROR(G3395/F3395-1,0)</f>
        <v>0</v>
      </c>
      <c r="J3395" s="3" t="s">
        <v>4603</v>
      </c>
    </row>
    <row r="3396" spans="1:10" ht="25.5">
      <c r="A3396" s="3" t="s">
        <v>1811</v>
      </c>
      <c r="B3396" s="3" t="s">
        <v>4249</v>
      </c>
      <c r="C3396" s="4">
        <v>194</v>
      </c>
      <c r="D3396" s="3" t="s">
        <v>179</v>
      </c>
      <c r="E3396" s="3" t="s">
        <v>13</v>
      </c>
      <c r="F3396" s="5">
        <v>10778.64</v>
      </c>
      <c r="G3396" s="5">
        <v>8692.92</v>
      </c>
      <c r="H3396" s="5">
        <f t="shared" si="106"/>
        <v>-2085.7199999999993</v>
      </c>
      <c r="I3396" s="9">
        <f t="shared" si="107"/>
        <v>-0.19350493197657581</v>
      </c>
      <c r="J3396" s="3" t="s">
        <v>4603</v>
      </c>
    </row>
    <row r="3397" spans="1:10" ht="38.25">
      <c r="A3397" s="3" t="s">
        <v>1811</v>
      </c>
      <c r="B3397" s="3" t="s">
        <v>4250</v>
      </c>
      <c r="C3397" s="4">
        <v>217</v>
      </c>
      <c r="D3397" s="3" t="s">
        <v>253</v>
      </c>
      <c r="E3397" s="3" t="s">
        <v>13</v>
      </c>
      <c r="F3397" s="5">
        <v>0</v>
      </c>
      <c r="G3397" s="5">
        <v>4563.84</v>
      </c>
      <c r="H3397" s="5">
        <f t="shared" si="106"/>
        <v>4563.84</v>
      </c>
      <c r="I3397" s="9">
        <f t="shared" si="107"/>
        <v>0</v>
      </c>
      <c r="J3397" s="3" t="s">
        <v>4603</v>
      </c>
    </row>
    <row r="3398" spans="1:10" ht="25.5">
      <c r="A3398" s="3" t="s">
        <v>1811</v>
      </c>
      <c r="B3398" s="3" t="s">
        <v>4251</v>
      </c>
      <c r="C3398" s="4">
        <v>261</v>
      </c>
      <c r="D3398" s="3" t="s">
        <v>17</v>
      </c>
      <c r="E3398" s="3" t="s">
        <v>18</v>
      </c>
      <c r="F3398" s="5">
        <v>8884.5300000000007</v>
      </c>
      <c r="G3398" s="5">
        <v>9381.2099999999991</v>
      </c>
      <c r="H3398" s="5">
        <f t="shared" si="106"/>
        <v>496.67999999999847</v>
      </c>
      <c r="I3398" s="9">
        <f t="shared" si="107"/>
        <v>5.5903913881769629E-2</v>
      </c>
      <c r="J3398" s="3" t="s">
        <v>4603</v>
      </c>
    </row>
    <row r="3399" spans="1:10" ht="25.5">
      <c r="A3399" s="3" t="s">
        <v>1811</v>
      </c>
      <c r="B3399" s="3" t="s">
        <v>4252</v>
      </c>
      <c r="C3399" s="4">
        <v>297</v>
      </c>
      <c r="D3399" s="3" t="s">
        <v>209</v>
      </c>
      <c r="E3399" s="3" t="s">
        <v>22</v>
      </c>
      <c r="F3399" s="5">
        <v>22244.52</v>
      </c>
      <c r="G3399" s="5">
        <v>0</v>
      </c>
      <c r="H3399" s="5">
        <f t="shared" si="106"/>
        <v>-22244.52</v>
      </c>
      <c r="I3399" s="9">
        <f t="shared" si="107"/>
        <v>-1</v>
      </c>
      <c r="J3399" s="3" t="s">
        <v>4603</v>
      </c>
    </row>
    <row r="3400" spans="1:10" ht="25.5">
      <c r="A3400" s="3" t="s">
        <v>1811</v>
      </c>
      <c r="B3400" s="3" t="s">
        <v>4253</v>
      </c>
      <c r="C3400" s="4">
        <v>261</v>
      </c>
      <c r="D3400" s="3" t="s">
        <v>17</v>
      </c>
      <c r="E3400" s="3" t="s">
        <v>18</v>
      </c>
      <c r="F3400" s="5">
        <v>2171.52</v>
      </c>
      <c r="G3400" s="5">
        <v>4295.16</v>
      </c>
      <c r="H3400" s="5">
        <f t="shared" si="106"/>
        <v>2123.64</v>
      </c>
      <c r="I3400" s="9">
        <f t="shared" si="107"/>
        <v>0.97795092838196274</v>
      </c>
      <c r="J3400" s="3" t="s">
        <v>4603</v>
      </c>
    </row>
    <row r="3401" spans="1:10" ht="25.5">
      <c r="A3401" s="3" t="s">
        <v>1811</v>
      </c>
      <c r="B3401" s="3" t="s">
        <v>4254</v>
      </c>
      <c r="C3401" s="4">
        <v>217</v>
      </c>
      <c r="D3401" s="3" t="s">
        <v>253</v>
      </c>
      <c r="E3401" s="3" t="s">
        <v>13</v>
      </c>
      <c r="F3401" s="5">
        <v>12840.84</v>
      </c>
      <c r="G3401" s="5">
        <v>0</v>
      </c>
      <c r="H3401" s="5">
        <f t="shared" si="106"/>
        <v>-12840.84</v>
      </c>
      <c r="I3401" s="9">
        <f t="shared" si="107"/>
        <v>-1</v>
      </c>
      <c r="J3401" s="3" t="s">
        <v>4603</v>
      </c>
    </row>
    <row r="3402" spans="1:10" ht="38.25">
      <c r="A3402" s="3" t="s">
        <v>1811</v>
      </c>
      <c r="B3402" s="3" t="s">
        <v>4255</v>
      </c>
      <c r="C3402" s="4">
        <v>34</v>
      </c>
      <c r="D3402" s="3" t="s">
        <v>136</v>
      </c>
      <c r="E3402" s="3" t="s">
        <v>30</v>
      </c>
      <c r="F3402" s="5">
        <v>0</v>
      </c>
      <c r="G3402" s="5">
        <v>21792.720000000001</v>
      </c>
      <c r="H3402" s="5">
        <f t="shared" si="106"/>
        <v>21792.720000000001</v>
      </c>
      <c r="I3402" s="9">
        <f t="shared" si="107"/>
        <v>0</v>
      </c>
      <c r="J3402" s="3" t="s">
        <v>4603</v>
      </c>
    </row>
    <row r="3403" spans="1:10" ht="38.25">
      <c r="A3403" s="3" t="s">
        <v>1811</v>
      </c>
      <c r="B3403" s="3" t="s">
        <v>4256</v>
      </c>
      <c r="C3403" s="4">
        <v>371</v>
      </c>
      <c r="D3403" s="3" t="s">
        <v>29</v>
      </c>
      <c r="E3403" s="3" t="s">
        <v>30</v>
      </c>
      <c r="F3403" s="5">
        <v>4282.5600000000004</v>
      </c>
      <c r="G3403" s="5">
        <v>0</v>
      </c>
      <c r="H3403" s="5">
        <f t="shared" si="106"/>
        <v>-4282.5600000000004</v>
      </c>
      <c r="I3403" s="9">
        <f t="shared" si="107"/>
        <v>-1</v>
      </c>
      <c r="J3403" s="3" t="s">
        <v>4603</v>
      </c>
    </row>
    <row r="3404" spans="1:10" ht="25.5">
      <c r="A3404" s="3" t="s">
        <v>1811</v>
      </c>
      <c r="B3404" s="3" t="s">
        <v>4257</v>
      </c>
      <c r="C3404" s="4">
        <v>217</v>
      </c>
      <c r="D3404" s="3" t="s">
        <v>253</v>
      </c>
      <c r="E3404" s="3" t="s">
        <v>13</v>
      </c>
      <c r="F3404" s="5">
        <v>15430.77</v>
      </c>
      <c r="G3404" s="5">
        <v>0</v>
      </c>
      <c r="H3404" s="5">
        <f t="shared" si="106"/>
        <v>-15430.77</v>
      </c>
      <c r="I3404" s="9">
        <f t="shared" si="107"/>
        <v>-1</v>
      </c>
      <c r="J3404" s="3" t="s">
        <v>4603</v>
      </c>
    </row>
    <row r="3405" spans="1:10" ht="25.5">
      <c r="A3405" s="3" t="s">
        <v>1811</v>
      </c>
      <c r="B3405" s="3" t="s">
        <v>4258</v>
      </c>
      <c r="C3405" s="4">
        <v>194</v>
      </c>
      <c r="D3405" s="3" t="s">
        <v>179</v>
      </c>
      <c r="E3405" s="3" t="s">
        <v>13</v>
      </c>
      <c r="F3405" s="5">
        <v>9514.32</v>
      </c>
      <c r="G3405" s="5">
        <v>14503.92</v>
      </c>
      <c r="H3405" s="5">
        <f t="shared" si="106"/>
        <v>4989.6000000000004</v>
      </c>
      <c r="I3405" s="9">
        <f t="shared" si="107"/>
        <v>0.52443054259263944</v>
      </c>
      <c r="J3405" s="3" t="s">
        <v>4603</v>
      </c>
    </row>
    <row r="3406" spans="1:10" ht="25.5">
      <c r="A3406" s="3" t="s">
        <v>1811</v>
      </c>
      <c r="B3406" s="3" t="s">
        <v>4259</v>
      </c>
      <c r="C3406" s="4">
        <v>297</v>
      </c>
      <c r="D3406" s="3" t="s">
        <v>209</v>
      </c>
      <c r="E3406" s="3" t="s">
        <v>22</v>
      </c>
      <c r="F3406" s="5">
        <v>12019.12</v>
      </c>
      <c r="G3406" s="5">
        <v>2553.48</v>
      </c>
      <c r="H3406" s="5">
        <f t="shared" si="106"/>
        <v>-9465.6400000000012</v>
      </c>
      <c r="I3406" s="9">
        <f t="shared" si="107"/>
        <v>-0.78754850604703175</v>
      </c>
      <c r="J3406" s="3" t="s">
        <v>4603</v>
      </c>
    </row>
    <row r="3407" spans="1:10" ht="25.5">
      <c r="A3407" s="3" t="s">
        <v>1811</v>
      </c>
      <c r="B3407" s="3" t="s">
        <v>4260</v>
      </c>
      <c r="C3407" s="4">
        <v>194</v>
      </c>
      <c r="D3407" s="3" t="s">
        <v>179</v>
      </c>
      <c r="E3407" s="3" t="s">
        <v>13</v>
      </c>
      <c r="F3407" s="5">
        <v>3120.6</v>
      </c>
      <c r="G3407" s="5">
        <v>8402.1</v>
      </c>
      <c r="H3407" s="5">
        <f t="shared" si="106"/>
        <v>5281.5</v>
      </c>
      <c r="I3407" s="9">
        <f t="shared" si="107"/>
        <v>1.692462987886945</v>
      </c>
      <c r="J3407" s="3" t="s">
        <v>4603</v>
      </c>
    </row>
    <row r="3408" spans="1:10" ht="25.5">
      <c r="A3408" s="3" t="s">
        <v>1811</v>
      </c>
      <c r="B3408" s="3" t="s">
        <v>4261</v>
      </c>
      <c r="C3408" s="4">
        <v>93</v>
      </c>
      <c r="D3408" s="3" t="s">
        <v>42</v>
      </c>
      <c r="E3408" s="3" t="s">
        <v>8</v>
      </c>
      <c r="F3408" s="5">
        <v>0</v>
      </c>
      <c r="G3408" s="5">
        <v>8327.0400000000009</v>
      </c>
      <c r="H3408" s="5">
        <f t="shared" si="106"/>
        <v>8327.0400000000009</v>
      </c>
      <c r="I3408" s="9">
        <f t="shared" si="107"/>
        <v>0</v>
      </c>
      <c r="J3408" s="3" t="s">
        <v>4603</v>
      </c>
    </row>
    <row r="3409" spans="1:10" ht="25.5">
      <c r="A3409" s="3" t="s">
        <v>1811</v>
      </c>
      <c r="B3409" s="3" t="s">
        <v>4262</v>
      </c>
      <c r="C3409" s="4">
        <v>194</v>
      </c>
      <c r="D3409" s="3" t="s">
        <v>179</v>
      </c>
      <c r="E3409" s="3" t="s">
        <v>13</v>
      </c>
      <c r="F3409" s="5">
        <v>5417.46</v>
      </c>
      <c r="G3409" s="5">
        <v>0</v>
      </c>
      <c r="H3409" s="5">
        <f t="shared" si="106"/>
        <v>-5417.46</v>
      </c>
      <c r="I3409" s="9">
        <f t="shared" si="107"/>
        <v>-1</v>
      </c>
      <c r="J3409" s="3" t="s">
        <v>4603</v>
      </c>
    </row>
    <row r="3410" spans="1:10" ht="38.25">
      <c r="A3410" s="3" t="s">
        <v>1811</v>
      </c>
      <c r="B3410" s="3" t="s">
        <v>4263</v>
      </c>
      <c r="C3410" s="4">
        <v>270</v>
      </c>
      <c r="D3410" s="3" t="s">
        <v>312</v>
      </c>
      <c r="E3410" s="3" t="s">
        <v>30</v>
      </c>
      <c r="F3410" s="5">
        <v>16620.150000000001</v>
      </c>
      <c r="G3410" s="5">
        <v>8972.2199999999993</v>
      </c>
      <c r="H3410" s="5">
        <f t="shared" si="106"/>
        <v>-7647.9300000000021</v>
      </c>
      <c r="I3410" s="9">
        <f t="shared" si="107"/>
        <v>-0.46016010685824149</v>
      </c>
      <c r="J3410" s="3" t="s">
        <v>4603</v>
      </c>
    </row>
    <row r="3411" spans="1:10" ht="38.25">
      <c r="A3411" s="3" t="s">
        <v>1811</v>
      </c>
      <c r="B3411" s="3" t="s">
        <v>4264</v>
      </c>
      <c r="C3411" s="4">
        <v>371</v>
      </c>
      <c r="D3411" s="3" t="s">
        <v>29</v>
      </c>
      <c r="E3411" s="3" t="s">
        <v>30</v>
      </c>
      <c r="F3411" s="5">
        <v>0</v>
      </c>
      <c r="G3411" s="5">
        <v>1757.88</v>
      </c>
      <c r="H3411" s="5">
        <f t="shared" si="106"/>
        <v>1757.88</v>
      </c>
      <c r="I3411" s="9">
        <f t="shared" si="107"/>
        <v>0</v>
      </c>
      <c r="J3411" s="3" t="s">
        <v>4603</v>
      </c>
    </row>
    <row r="3412" spans="1:10">
      <c r="A3412" s="3" t="s">
        <v>1811</v>
      </c>
      <c r="B3412" s="3" t="s">
        <v>4265</v>
      </c>
      <c r="C3412" s="4">
        <v>315</v>
      </c>
      <c r="D3412" s="3" t="s">
        <v>79</v>
      </c>
      <c r="E3412" s="3" t="s">
        <v>8</v>
      </c>
      <c r="F3412" s="5">
        <v>5766.12</v>
      </c>
      <c r="G3412" s="5">
        <v>0</v>
      </c>
      <c r="H3412" s="5">
        <f t="shared" si="106"/>
        <v>-5766.12</v>
      </c>
      <c r="I3412" s="9">
        <f t="shared" si="107"/>
        <v>-1</v>
      </c>
      <c r="J3412" s="3" t="s">
        <v>4603</v>
      </c>
    </row>
    <row r="3413" spans="1:10" ht="38.25">
      <c r="A3413" s="3" t="s">
        <v>1811</v>
      </c>
      <c r="B3413" s="3" t="s">
        <v>4266</v>
      </c>
      <c r="C3413" s="4">
        <v>38</v>
      </c>
      <c r="D3413" s="3" t="s">
        <v>229</v>
      </c>
      <c r="E3413" s="3" t="s">
        <v>30</v>
      </c>
      <c r="F3413" s="5">
        <v>20447.759999999998</v>
      </c>
      <c r="G3413" s="5">
        <v>16014.03</v>
      </c>
      <c r="H3413" s="5">
        <f t="shared" si="106"/>
        <v>-4433.7299999999977</v>
      </c>
      <c r="I3413" s="9">
        <f t="shared" si="107"/>
        <v>-0.21683206375661679</v>
      </c>
      <c r="J3413" s="3" t="s">
        <v>4603</v>
      </c>
    </row>
    <row r="3414" spans="1:10" ht="25.5">
      <c r="A3414" s="3" t="s">
        <v>1811</v>
      </c>
      <c r="B3414" s="3" t="s">
        <v>4267</v>
      </c>
      <c r="C3414" s="4">
        <v>297</v>
      </c>
      <c r="D3414" s="3" t="s">
        <v>209</v>
      </c>
      <c r="E3414" s="3" t="s">
        <v>22</v>
      </c>
      <c r="F3414" s="5">
        <v>12187.5</v>
      </c>
      <c r="G3414" s="5">
        <v>22047.55</v>
      </c>
      <c r="H3414" s="5">
        <f t="shared" si="106"/>
        <v>9860.0499999999993</v>
      </c>
      <c r="I3414" s="9">
        <f t="shared" si="107"/>
        <v>0.80902974358974356</v>
      </c>
      <c r="J3414" s="3" t="s">
        <v>4603</v>
      </c>
    </row>
    <row r="3415" spans="1:10" ht="38.25">
      <c r="A3415" s="3" t="s">
        <v>1811</v>
      </c>
      <c r="B3415" s="3" t="s">
        <v>4268</v>
      </c>
      <c r="C3415" s="4">
        <v>38</v>
      </c>
      <c r="D3415" s="3" t="s">
        <v>229</v>
      </c>
      <c r="E3415" s="3" t="s">
        <v>30</v>
      </c>
      <c r="F3415" s="5">
        <v>20348.88</v>
      </c>
      <c r="G3415" s="5">
        <v>0</v>
      </c>
      <c r="H3415" s="5">
        <f t="shared" si="106"/>
        <v>-20348.88</v>
      </c>
      <c r="I3415" s="9">
        <f t="shared" si="107"/>
        <v>-1</v>
      </c>
      <c r="J3415" s="3" t="s">
        <v>4603</v>
      </c>
    </row>
    <row r="3416" spans="1:10" ht="25.5">
      <c r="A3416" s="3" t="s">
        <v>1811</v>
      </c>
      <c r="B3416" s="3" t="s">
        <v>4269</v>
      </c>
      <c r="C3416" s="4">
        <v>187</v>
      </c>
      <c r="D3416" s="3" t="s">
        <v>460</v>
      </c>
      <c r="E3416" s="3" t="s">
        <v>8</v>
      </c>
      <c r="F3416" s="5">
        <v>0</v>
      </c>
      <c r="G3416" s="5">
        <v>39491.79</v>
      </c>
      <c r="H3416" s="5">
        <f t="shared" si="106"/>
        <v>39491.79</v>
      </c>
      <c r="I3416" s="9">
        <f t="shared" si="107"/>
        <v>0</v>
      </c>
      <c r="J3416" s="3" t="s">
        <v>4603</v>
      </c>
    </row>
    <row r="3417" spans="1:10" ht="38.25">
      <c r="A3417" s="3" t="s">
        <v>1811</v>
      </c>
      <c r="B3417" s="3" t="s">
        <v>4270</v>
      </c>
      <c r="C3417" s="4">
        <v>371</v>
      </c>
      <c r="D3417" s="3" t="s">
        <v>29</v>
      </c>
      <c r="E3417" s="3" t="s">
        <v>18</v>
      </c>
      <c r="F3417" s="5">
        <v>6365.49</v>
      </c>
      <c r="G3417" s="5">
        <v>3431.9920000000002</v>
      </c>
      <c r="H3417" s="5">
        <f t="shared" si="106"/>
        <v>-2933.4979999999996</v>
      </c>
      <c r="I3417" s="9">
        <f t="shared" si="107"/>
        <v>-0.46084401986335688</v>
      </c>
      <c r="J3417" s="3" t="s">
        <v>4603</v>
      </c>
    </row>
    <row r="3418" spans="1:10" ht="38.25">
      <c r="A3418" s="3" t="s">
        <v>1811</v>
      </c>
      <c r="B3418" s="3" t="s">
        <v>4270</v>
      </c>
      <c r="C3418" s="4">
        <v>371</v>
      </c>
      <c r="D3418" s="3" t="s">
        <v>29</v>
      </c>
      <c r="E3418" s="3" t="s">
        <v>13</v>
      </c>
      <c r="F3418" s="5">
        <v>6365.49</v>
      </c>
      <c r="G3418" s="5">
        <v>3431.9920000000002</v>
      </c>
      <c r="H3418" s="5">
        <f t="shared" si="106"/>
        <v>-2933.4979999999996</v>
      </c>
      <c r="I3418" s="9">
        <f t="shared" si="107"/>
        <v>-0.46084401986335688</v>
      </c>
      <c r="J3418" s="3" t="s">
        <v>4603</v>
      </c>
    </row>
    <row r="3419" spans="1:10" ht="38.25">
      <c r="A3419" s="3" t="s">
        <v>1811</v>
      </c>
      <c r="B3419" s="3" t="s">
        <v>4270</v>
      </c>
      <c r="C3419" s="4">
        <v>371</v>
      </c>
      <c r="D3419" s="3" t="s">
        <v>29</v>
      </c>
      <c r="E3419" s="3" t="s">
        <v>30</v>
      </c>
      <c r="F3419" s="5">
        <v>6365.49</v>
      </c>
      <c r="G3419" s="5">
        <v>3431.9920000000002</v>
      </c>
      <c r="H3419" s="5">
        <f t="shared" si="106"/>
        <v>-2933.4979999999996</v>
      </c>
      <c r="I3419" s="9">
        <f t="shared" si="107"/>
        <v>-0.46084401986335688</v>
      </c>
      <c r="J3419" s="3" t="s">
        <v>4603</v>
      </c>
    </row>
    <row r="3420" spans="1:10" ht="38.25">
      <c r="A3420" s="3" t="s">
        <v>1811</v>
      </c>
      <c r="B3420" s="3" t="s">
        <v>4271</v>
      </c>
      <c r="C3420" s="4">
        <v>371</v>
      </c>
      <c r="D3420" s="3" t="s">
        <v>29</v>
      </c>
      <c r="E3420" s="3" t="s">
        <v>30</v>
      </c>
      <c r="F3420" s="5">
        <v>4750.92</v>
      </c>
      <c r="G3420" s="5">
        <v>2343.84</v>
      </c>
      <c r="H3420" s="5">
        <f t="shared" si="106"/>
        <v>-2407.08</v>
      </c>
      <c r="I3420" s="9">
        <f t="shared" si="107"/>
        <v>-0.50665555302972898</v>
      </c>
      <c r="J3420" s="3" t="s">
        <v>4603</v>
      </c>
    </row>
    <row r="3421" spans="1:10" ht="25.5">
      <c r="A3421" s="3" t="s">
        <v>1811</v>
      </c>
      <c r="B3421" s="3" t="s">
        <v>4272</v>
      </c>
      <c r="C3421" s="4">
        <v>217</v>
      </c>
      <c r="D3421" s="3" t="s">
        <v>253</v>
      </c>
      <c r="E3421" s="3" t="s">
        <v>13</v>
      </c>
      <c r="F3421" s="5">
        <v>5892.72</v>
      </c>
      <c r="G3421" s="5">
        <v>0</v>
      </c>
      <c r="H3421" s="5">
        <f t="shared" si="106"/>
        <v>-5892.72</v>
      </c>
      <c r="I3421" s="9">
        <f t="shared" si="107"/>
        <v>-1</v>
      </c>
      <c r="J3421" s="3" t="s">
        <v>4603</v>
      </c>
    </row>
    <row r="3422" spans="1:10" ht="38.25">
      <c r="A3422" s="3" t="s">
        <v>1811</v>
      </c>
      <c r="B3422" s="3" t="s">
        <v>4273</v>
      </c>
      <c r="C3422" s="4">
        <v>292</v>
      </c>
      <c r="D3422" s="3" t="s">
        <v>619</v>
      </c>
      <c r="E3422" s="3" t="s">
        <v>30</v>
      </c>
      <c r="F3422" s="5">
        <v>0</v>
      </c>
      <c r="G3422" s="5">
        <v>9108.36</v>
      </c>
      <c r="H3422" s="5">
        <f t="shared" si="106"/>
        <v>9108.36</v>
      </c>
      <c r="I3422" s="9">
        <f t="shared" si="107"/>
        <v>0</v>
      </c>
      <c r="J3422" s="3" t="s">
        <v>4603</v>
      </c>
    </row>
    <row r="3423" spans="1:10" ht="25.5">
      <c r="A3423" s="3" t="s">
        <v>1811</v>
      </c>
      <c r="B3423" s="3" t="s">
        <v>4274</v>
      </c>
      <c r="C3423" s="4">
        <v>187</v>
      </c>
      <c r="D3423" s="3" t="s">
        <v>460</v>
      </c>
      <c r="E3423" s="3" t="s">
        <v>8</v>
      </c>
      <c r="F3423" s="5">
        <v>0</v>
      </c>
      <c r="G3423" s="5">
        <v>2236.1999999999998</v>
      </c>
      <c r="H3423" s="5">
        <f t="shared" si="106"/>
        <v>2236.1999999999998</v>
      </c>
      <c r="I3423" s="9">
        <f t="shared" si="107"/>
        <v>0</v>
      </c>
      <c r="J3423" s="3" t="s">
        <v>4603</v>
      </c>
    </row>
    <row r="3424" spans="1:10" ht="38.25">
      <c r="A3424" s="3" t="s">
        <v>1811</v>
      </c>
      <c r="B3424" s="3" t="s">
        <v>4275</v>
      </c>
      <c r="C3424" s="4">
        <v>327</v>
      </c>
      <c r="D3424" s="3" t="s">
        <v>76</v>
      </c>
      <c r="E3424" s="3" t="s">
        <v>8</v>
      </c>
      <c r="F3424" s="5">
        <v>14249.1</v>
      </c>
      <c r="G3424" s="5">
        <v>25062.521000000001</v>
      </c>
      <c r="H3424" s="5">
        <f t="shared" si="106"/>
        <v>10813.421</v>
      </c>
      <c r="I3424" s="9">
        <f t="shared" si="107"/>
        <v>0.75888449095030563</v>
      </c>
      <c r="J3424" s="3" t="s">
        <v>4603</v>
      </c>
    </row>
    <row r="3425" spans="1:10" ht="25.5">
      <c r="A3425" s="3" t="s">
        <v>1811</v>
      </c>
      <c r="B3425" s="3" t="s">
        <v>4276</v>
      </c>
      <c r="C3425" s="4">
        <v>321</v>
      </c>
      <c r="D3425" s="3" t="s">
        <v>125</v>
      </c>
      <c r="E3425" s="3" t="s">
        <v>22</v>
      </c>
      <c r="F3425" s="5">
        <v>4570.92</v>
      </c>
      <c r="G3425" s="5">
        <v>9430.2000000000007</v>
      </c>
      <c r="H3425" s="5">
        <f t="shared" si="106"/>
        <v>4859.2800000000007</v>
      </c>
      <c r="I3425" s="9">
        <f t="shared" si="107"/>
        <v>1.0630857682917227</v>
      </c>
      <c r="J3425" s="3" t="s">
        <v>4603</v>
      </c>
    </row>
    <row r="3426" spans="1:10" ht="25.5">
      <c r="A3426" s="3" t="s">
        <v>1811</v>
      </c>
      <c r="B3426" s="3" t="s">
        <v>4277</v>
      </c>
      <c r="C3426" s="4">
        <v>337</v>
      </c>
      <c r="D3426" s="3" t="s">
        <v>218</v>
      </c>
      <c r="E3426" s="3" t="s">
        <v>13</v>
      </c>
      <c r="F3426" s="5">
        <v>0</v>
      </c>
      <c r="G3426" s="5">
        <v>3728.64</v>
      </c>
      <c r="H3426" s="5">
        <f t="shared" si="106"/>
        <v>3728.64</v>
      </c>
      <c r="I3426" s="9">
        <f t="shared" si="107"/>
        <v>0</v>
      </c>
      <c r="J3426" s="3" t="s">
        <v>4603</v>
      </c>
    </row>
    <row r="3427" spans="1:10">
      <c r="A3427" s="3" t="s">
        <v>1811</v>
      </c>
      <c r="B3427" s="3" t="s">
        <v>4278</v>
      </c>
      <c r="C3427" s="4">
        <v>232</v>
      </c>
      <c r="D3427" s="3" t="s">
        <v>95</v>
      </c>
      <c r="E3427" s="3" t="s">
        <v>13</v>
      </c>
      <c r="F3427" s="5">
        <v>11497.8</v>
      </c>
      <c r="G3427" s="5">
        <v>0</v>
      </c>
      <c r="H3427" s="5">
        <f t="shared" si="106"/>
        <v>-11497.8</v>
      </c>
      <c r="I3427" s="9">
        <f t="shared" si="107"/>
        <v>-1</v>
      </c>
      <c r="J3427" s="3" t="s">
        <v>4603</v>
      </c>
    </row>
    <row r="3428" spans="1:10" ht="25.5">
      <c r="A3428" s="3" t="s">
        <v>1811</v>
      </c>
      <c r="B3428" s="3" t="s">
        <v>4279</v>
      </c>
      <c r="C3428" s="4">
        <v>93</v>
      </c>
      <c r="D3428" s="3" t="s">
        <v>42</v>
      </c>
      <c r="E3428" s="3" t="s">
        <v>8</v>
      </c>
      <c r="F3428" s="5">
        <v>27250.71</v>
      </c>
      <c r="G3428" s="5">
        <v>26425.71</v>
      </c>
      <c r="H3428" s="5">
        <f t="shared" si="106"/>
        <v>-825</v>
      </c>
      <c r="I3428" s="9">
        <f t="shared" si="107"/>
        <v>-3.0274440555860704E-2</v>
      </c>
      <c r="J3428" s="3" t="s">
        <v>4603</v>
      </c>
    </row>
    <row r="3429" spans="1:10" ht="38.25">
      <c r="A3429" s="3" t="s">
        <v>1811</v>
      </c>
      <c r="B3429" s="3" t="s">
        <v>4280</v>
      </c>
      <c r="C3429" s="4">
        <v>315</v>
      </c>
      <c r="D3429" s="3" t="s">
        <v>79</v>
      </c>
      <c r="E3429" s="3" t="s">
        <v>8</v>
      </c>
      <c r="F3429" s="5">
        <v>0</v>
      </c>
      <c r="G3429" s="5">
        <v>19536.495999999999</v>
      </c>
      <c r="H3429" s="5">
        <f t="shared" si="106"/>
        <v>19536.495999999999</v>
      </c>
      <c r="I3429" s="9">
        <f t="shared" si="107"/>
        <v>0</v>
      </c>
      <c r="J3429" s="3" t="s">
        <v>4603</v>
      </c>
    </row>
    <row r="3430" spans="1:10" ht="38.25">
      <c r="A3430" s="3" t="s">
        <v>1811</v>
      </c>
      <c r="B3430" s="3" t="s">
        <v>4281</v>
      </c>
      <c r="C3430" s="4">
        <v>371</v>
      </c>
      <c r="D3430" s="3" t="s">
        <v>29</v>
      </c>
      <c r="E3430" s="3" t="s">
        <v>30</v>
      </c>
      <c r="F3430" s="5">
        <v>10854.03</v>
      </c>
      <c r="G3430" s="5">
        <v>15389.082</v>
      </c>
      <c r="H3430" s="5">
        <f t="shared" si="106"/>
        <v>4535.0519999999997</v>
      </c>
      <c r="I3430" s="9">
        <f t="shared" si="107"/>
        <v>0.41782195184645698</v>
      </c>
      <c r="J3430" s="3" t="s">
        <v>4603</v>
      </c>
    </row>
    <row r="3431" spans="1:10" ht="25.5">
      <c r="A3431" s="3" t="s">
        <v>1811</v>
      </c>
      <c r="B3431" s="3" t="s">
        <v>4282</v>
      </c>
      <c r="C3431" s="4">
        <v>218</v>
      </c>
      <c r="D3431" s="3" t="s">
        <v>155</v>
      </c>
      <c r="E3431" s="3" t="s">
        <v>13</v>
      </c>
      <c r="F3431" s="5">
        <v>4805.16</v>
      </c>
      <c r="G3431" s="5">
        <v>0</v>
      </c>
      <c r="H3431" s="5">
        <f t="shared" si="106"/>
        <v>-4805.16</v>
      </c>
      <c r="I3431" s="9">
        <f t="shared" si="107"/>
        <v>-1</v>
      </c>
      <c r="J3431" s="3" t="s">
        <v>4603</v>
      </c>
    </row>
    <row r="3432" spans="1:10" ht="25.5">
      <c r="A3432" s="3" t="s">
        <v>1811</v>
      </c>
      <c r="B3432" s="3" t="s">
        <v>4283</v>
      </c>
      <c r="C3432" s="4">
        <v>327</v>
      </c>
      <c r="D3432" s="3" t="s">
        <v>76</v>
      </c>
      <c r="E3432" s="3" t="s">
        <v>8</v>
      </c>
      <c r="F3432" s="5">
        <v>3239.46</v>
      </c>
      <c r="G3432" s="5">
        <v>9113.73</v>
      </c>
      <c r="H3432" s="5">
        <f t="shared" si="106"/>
        <v>5874.2699999999995</v>
      </c>
      <c r="I3432" s="9">
        <f t="shared" si="107"/>
        <v>1.8133485210498046</v>
      </c>
      <c r="J3432" s="3" t="s">
        <v>4603</v>
      </c>
    </row>
    <row r="3433" spans="1:10" ht="25.5">
      <c r="A3433" s="3" t="s">
        <v>1811</v>
      </c>
      <c r="B3433" s="3" t="s">
        <v>4284</v>
      </c>
      <c r="C3433" s="4">
        <v>93</v>
      </c>
      <c r="D3433" s="3" t="s">
        <v>42</v>
      </c>
      <c r="E3433" s="3" t="s">
        <v>8</v>
      </c>
      <c r="F3433" s="5">
        <v>0</v>
      </c>
      <c r="G3433" s="5">
        <v>21042.69</v>
      </c>
      <c r="H3433" s="5">
        <f t="shared" si="106"/>
        <v>21042.69</v>
      </c>
      <c r="I3433" s="9">
        <f t="shared" si="107"/>
        <v>0</v>
      </c>
      <c r="J3433" s="3" t="s">
        <v>4603</v>
      </c>
    </row>
    <row r="3434" spans="1:10" ht="38.25">
      <c r="A3434" s="3" t="s">
        <v>1811</v>
      </c>
      <c r="B3434" s="3" t="s">
        <v>4285</v>
      </c>
      <c r="C3434" s="4">
        <v>45</v>
      </c>
      <c r="D3434" s="3" t="s">
        <v>16</v>
      </c>
      <c r="E3434" s="3" t="s">
        <v>8</v>
      </c>
      <c r="F3434" s="5">
        <v>0</v>
      </c>
      <c r="G3434" s="5">
        <v>11900.64</v>
      </c>
      <c r="H3434" s="5">
        <f t="shared" si="106"/>
        <v>11900.64</v>
      </c>
      <c r="I3434" s="9">
        <f t="shared" si="107"/>
        <v>0</v>
      </c>
      <c r="J3434" s="3" t="s">
        <v>4603</v>
      </c>
    </row>
    <row r="3435" spans="1:10">
      <c r="A3435" s="3" t="s">
        <v>1811</v>
      </c>
      <c r="B3435" s="3" t="s">
        <v>4286</v>
      </c>
      <c r="C3435" s="4">
        <v>231</v>
      </c>
      <c r="D3435" s="3" t="s">
        <v>89</v>
      </c>
      <c r="E3435" s="3" t="s">
        <v>8</v>
      </c>
      <c r="F3435" s="5">
        <v>3524.46</v>
      </c>
      <c r="G3435" s="5">
        <v>0</v>
      </c>
      <c r="H3435" s="5">
        <f t="shared" si="106"/>
        <v>-3524.46</v>
      </c>
      <c r="I3435" s="9">
        <f t="shared" si="107"/>
        <v>-1</v>
      </c>
      <c r="J3435" s="3" t="s">
        <v>4603</v>
      </c>
    </row>
    <row r="3436" spans="1:10" ht="38.25">
      <c r="A3436" s="3" t="s">
        <v>1811</v>
      </c>
      <c r="B3436" s="3" t="s">
        <v>4287</v>
      </c>
      <c r="C3436" s="4">
        <v>45</v>
      </c>
      <c r="D3436" s="3" t="s">
        <v>16</v>
      </c>
      <c r="E3436" s="3" t="s">
        <v>8</v>
      </c>
      <c r="F3436" s="5">
        <v>0</v>
      </c>
      <c r="G3436" s="5">
        <v>8006.4</v>
      </c>
      <c r="H3436" s="5">
        <f t="shared" si="106"/>
        <v>8006.4</v>
      </c>
      <c r="I3436" s="9">
        <f t="shared" si="107"/>
        <v>0</v>
      </c>
      <c r="J3436" s="3" t="s">
        <v>4603</v>
      </c>
    </row>
    <row r="3437" spans="1:10" ht="25.5">
      <c r="A3437" s="3" t="s">
        <v>1811</v>
      </c>
      <c r="B3437" s="3" t="s">
        <v>4288</v>
      </c>
      <c r="C3437" s="4">
        <v>334</v>
      </c>
      <c r="D3437" s="3" t="s">
        <v>585</v>
      </c>
      <c r="E3437" s="3" t="s">
        <v>8</v>
      </c>
      <c r="F3437" s="5">
        <v>5201.5200000000004</v>
      </c>
      <c r="G3437" s="5">
        <v>0</v>
      </c>
      <c r="H3437" s="5">
        <f t="shared" si="106"/>
        <v>-5201.5200000000004</v>
      </c>
      <c r="I3437" s="9">
        <f t="shared" si="107"/>
        <v>-1</v>
      </c>
      <c r="J3437" s="3" t="s">
        <v>4603</v>
      </c>
    </row>
    <row r="3438" spans="1:10" ht="25.5">
      <c r="A3438" s="3" t="s">
        <v>1811</v>
      </c>
      <c r="B3438" s="3" t="s">
        <v>4289</v>
      </c>
      <c r="C3438" s="4">
        <v>23</v>
      </c>
      <c r="D3438" s="3" t="s">
        <v>71</v>
      </c>
      <c r="E3438" s="3" t="s">
        <v>8</v>
      </c>
      <c r="F3438" s="5">
        <v>0</v>
      </c>
      <c r="G3438" s="5">
        <v>1597.92</v>
      </c>
      <c r="H3438" s="5">
        <f t="shared" si="106"/>
        <v>1597.92</v>
      </c>
      <c r="I3438" s="9">
        <f t="shared" si="107"/>
        <v>0</v>
      </c>
      <c r="J3438" s="3" t="s">
        <v>4603</v>
      </c>
    </row>
    <row r="3439" spans="1:10" ht="25.5">
      <c r="A3439" s="3" t="s">
        <v>1811</v>
      </c>
      <c r="B3439" s="3" t="s">
        <v>4290</v>
      </c>
      <c r="C3439" s="4">
        <v>261</v>
      </c>
      <c r="D3439" s="3" t="s">
        <v>17</v>
      </c>
      <c r="E3439" s="3" t="s">
        <v>18</v>
      </c>
      <c r="F3439" s="5">
        <v>0</v>
      </c>
      <c r="G3439" s="5">
        <v>3675.24</v>
      </c>
      <c r="H3439" s="5">
        <f t="shared" si="106"/>
        <v>3675.24</v>
      </c>
      <c r="I3439" s="9">
        <f t="shared" si="107"/>
        <v>0</v>
      </c>
      <c r="J3439" s="3" t="s">
        <v>4603</v>
      </c>
    </row>
    <row r="3440" spans="1:10" ht="25.5">
      <c r="A3440" s="3" t="s">
        <v>1811</v>
      </c>
      <c r="B3440" s="3" t="s">
        <v>4291</v>
      </c>
      <c r="C3440" s="4">
        <v>266</v>
      </c>
      <c r="D3440" s="3" t="s">
        <v>111</v>
      </c>
      <c r="E3440" s="3" t="s">
        <v>18</v>
      </c>
      <c r="F3440" s="5">
        <v>29328.39</v>
      </c>
      <c r="G3440" s="5">
        <v>0</v>
      </c>
      <c r="H3440" s="5">
        <f t="shared" si="106"/>
        <v>-29328.39</v>
      </c>
      <c r="I3440" s="9">
        <f t="shared" si="107"/>
        <v>-1</v>
      </c>
      <c r="J3440" s="3" t="s">
        <v>4603</v>
      </c>
    </row>
    <row r="3441" spans="1:10" ht="25.5">
      <c r="A3441" s="3" t="s">
        <v>1811</v>
      </c>
      <c r="B3441" s="3" t="s">
        <v>4292</v>
      </c>
      <c r="C3441" s="4">
        <v>320</v>
      </c>
      <c r="D3441" s="3" t="s">
        <v>188</v>
      </c>
      <c r="E3441" s="3" t="s">
        <v>30</v>
      </c>
      <c r="F3441" s="5">
        <v>11542.38</v>
      </c>
      <c r="G3441" s="5">
        <v>0</v>
      </c>
      <c r="H3441" s="5">
        <f t="shared" si="106"/>
        <v>-11542.38</v>
      </c>
      <c r="I3441" s="9">
        <f t="shared" si="107"/>
        <v>-1</v>
      </c>
      <c r="J3441" s="3" t="s">
        <v>4603</v>
      </c>
    </row>
    <row r="3442" spans="1:10" ht="25.5">
      <c r="A3442" s="3" t="s">
        <v>1811</v>
      </c>
      <c r="B3442" s="3" t="s">
        <v>4293</v>
      </c>
      <c r="C3442" s="4">
        <v>61</v>
      </c>
      <c r="D3442" s="3" t="s">
        <v>114</v>
      </c>
      <c r="E3442" s="3" t="s">
        <v>30</v>
      </c>
      <c r="F3442" s="5">
        <v>3467.4</v>
      </c>
      <c r="G3442" s="5">
        <v>2781.72</v>
      </c>
      <c r="H3442" s="5">
        <f t="shared" si="106"/>
        <v>-685.68000000000029</v>
      </c>
      <c r="I3442" s="9">
        <f t="shared" si="107"/>
        <v>-0.19775047586087569</v>
      </c>
      <c r="J3442" s="3" t="s">
        <v>4603</v>
      </c>
    </row>
    <row r="3443" spans="1:10" ht="51">
      <c r="A3443" s="3" t="s">
        <v>1811</v>
      </c>
      <c r="B3443" s="3" t="s">
        <v>4294</v>
      </c>
      <c r="C3443" s="4">
        <v>282</v>
      </c>
      <c r="D3443" s="3" t="s">
        <v>298</v>
      </c>
      <c r="E3443" s="3" t="s">
        <v>9</v>
      </c>
      <c r="F3443" s="5">
        <v>0</v>
      </c>
      <c r="G3443" s="5">
        <v>8161.32</v>
      </c>
      <c r="H3443" s="5">
        <f t="shared" si="106"/>
        <v>8161.32</v>
      </c>
      <c r="I3443" s="9">
        <f t="shared" si="107"/>
        <v>0</v>
      </c>
      <c r="J3443" s="3" t="s">
        <v>4603</v>
      </c>
    </row>
    <row r="3444" spans="1:10" ht="25.5">
      <c r="A3444" s="3" t="s">
        <v>1811</v>
      </c>
      <c r="B3444" s="3" t="s">
        <v>4295</v>
      </c>
      <c r="C3444" s="4">
        <v>187</v>
      </c>
      <c r="D3444" s="3" t="s">
        <v>460</v>
      </c>
      <c r="E3444" s="3" t="s">
        <v>8</v>
      </c>
      <c r="F3444" s="5">
        <v>0</v>
      </c>
      <c r="G3444" s="5">
        <v>7286.94</v>
      </c>
      <c r="H3444" s="5">
        <f t="shared" si="106"/>
        <v>7286.94</v>
      </c>
      <c r="I3444" s="9">
        <f t="shared" si="107"/>
        <v>0</v>
      </c>
      <c r="J3444" s="3" t="s">
        <v>4603</v>
      </c>
    </row>
    <row r="3445" spans="1:10" ht="38.25">
      <c r="A3445" s="3" t="s">
        <v>1811</v>
      </c>
      <c r="B3445" s="3" t="s">
        <v>4296</v>
      </c>
      <c r="C3445" s="4">
        <v>34</v>
      </c>
      <c r="D3445" s="3" t="s">
        <v>136</v>
      </c>
      <c r="E3445" s="3" t="s">
        <v>30</v>
      </c>
      <c r="F3445" s="5">
        <v>0</v>
      </c>
      <c r="G3445" s="5">
        <v>2454.48</v>
      </c>
      <c r="H3445" s="5">
        <f t="shared" si="106"/>
        <v>2454.48</v>
      </c>
      <c r="I3445" s="9">
        <f t="shared" si="107"/>
        <v>0</v>
      </c>
      <c r="J3445" s="3" t="s">
        <v>4603</v>
      </c>
    </row>
    <row r="3446" spans="1:10" ht="51">
      <c r="A3446" s="3" t="s">
        <v>1811</v>
      </c>
      <c r="B3446" s="3" t="s">
        <v>4297</v>
      </c>
      <c r="C3446" s="4">
        <v>282</v>
      </c>
      <c r="D3446" s="3" t="s">
        <v>298</v>
      </c>
      <c r="E3446" s="3" t="s">
        <v>9</v>
      </c>
      <c r="F3446" s="5">
        <v>5292.72</v>
      </c>
      <c r="G3446" s="5">
        <v>0</v>
      </c>
      <c r="H3446" s="5">
        <f t="shared" si="106"/>
        <v>-5292.72</v>
      </c>
      <c r="I3446" s="9">
        <f t="shared" si="107"/>
        <v>-1</v>
      </c>
      <c r="J3446" s="3" t="s">
        <v>4603</v>
      </c>
    </row>
    <row r="3447" spans="1:10" ht="25.5">
      <c r="A3447" s="3" t="s">
        <v>1811</v>
      </c>
      <c r="B3447" s="3" t="s">
        <v>4298</v>
      </c>
      <c r="C3447" s="4">
        <v>335</v>
      </c>
      <c r="D3447" s="3" t="s">
        <v>7</v>
      </c>
      <c r="E3447" s="3" t="s">
        <v>8</v>
      </c>
      <c r="F3447" s="5">
        <v>57392.28</v>
      </c>
      <c r="G3447" s="5">
        <v>55987.74</v>
      </c>
      <c r="H3447" s="5">
        <f t="shared" si="106"/>
        <v>-1404.5400000000009</v>
      </c>
      <c r="I3447" s="9">
        <f t="shared" si="107"/>
        <v>-2.4472629419845293E-2</v>
      </c>
      <c r="J3447" s="3" t="s">
        <v>4603</v>
      </c>
    </row>
    <row r="3448" spans="1:10" ht="25.5">
      <c r="A3448" s="3" t="s">
        <v>1811</v>
      </c>
      <c r="B3448" s="3" t="s">
        <v>4299</v>
      </c>
      <c r="C3448" s="4">
        <v>270</v>
      </c>
      <c r="D3448" s="3" t="s">
        <v>312</v>
      </c>
      <c r="E3448" s="3" t="s">
        <v>30</v>
      </c>
      <c r="F3448" s="5">
        <v>4626</v>
      </c>
      <c r="G3448" s="5">
        <v>0</v>
      </c>
      <c r="H3448" s="5">
        <f t="shared" si="106"/>
        <v>-4626</v>
      </c>
      <c r="I3448" s="9">
        <f t="shared" si="107"/>
        <v>-1</v>
      </c>
      <c r="J3448" s="3" t="s">
        <v>4603</v>
      </c>
    </row>
    <row r="3449" spans="1:10">
      <c r="A3449" s="3" t="s">
        <v>1811</v>
      </c>
      <c r="B3449" s="3" t="s">
        <v>4300</v>
      </c>
      <c r="C3449" s="4">
        <v>217</v>
      </c>
      <c r="D3449" s="3" t="s">
        <v>253</v>
      </c>
      <c r="E3449" s="3" t="s">
        <v>13</v>
      </c>
      <c r="F3449" s="5">
        <v>0</v>
      </c>
      <c r="G3449" s="5">
        <v>6279.63</v>
      </c>
      <c r="H3449" s="5">
        <f t="shared" si="106"/>
        <v>6279.63</v>
      </c>
      <c r="I3449" s="9">
        <f t="shared" si="107"/>
        <v>0</v>
      </c>
      <c r="J3449" s="3" t="s">
        <v>4603</v>
      </c>
    </row>
    <row r="3450" spans="1:10" ht="25.5">
      <c r="A3450" s="3" t="s">
        <v>1811</v>
      </c>
      <c r="B3450" s="3" t="s">
        <v>4301</v>
      </c>
      <c r="C3450" s="4">
        <v>317</v>
      </c>
      <c r="D3450" s="3" t="s">
        <v>54</v>
      </c>
      <c r="E3450" s="3" t="s">
        <v>18</v>
      </c>
      <c r="F3450" s="5">
        <v>7428.78</v>
      </c>
      <c r="G3450" s="5">
        <v>0</v>
      </c>
      <c r="H3450" s="5">
        <f t="shared" si="106"/>
        <v>-7428.78</v>
      </c>
      <c r="I3450" s="9">
        <f t="shared" si="107"/>
        <v>-1</v>
      </c>
      <c r="J3450" s="3" t="s">
        <v>4603</v>
      </c>
    </row>
    <row r="3451" spans="1:10" ht="25.5">
      <c r="A3451" s="3" t="s">
        <v>1811</v>
      </c>
      <c r="B3451" s="3" t="s">
        <v>4302</v>
      </c>
      <c r="C3451" s="4">
        <v>315</v>
      </c>
      <c r="D3451" s="3" t="s">
        <v>79</v>
      </c>
      <c r="E3451" s="3" t="s">
        <v>8</v>
      </c>
      <c r="F3451" s="5">
        <v>7186.32</v>
      </c>
      <c r="G3451" s="5">
        <v>6979.2449999999999</v>
      </c>
      <c r="H3451" s="5">
        <f t="shared" si="106"/>
        <v>-207.07499999999982</v>
      </c>
      <c r="I3451" s="9">
        <f t="shared" si="107"/>
        <v>-2.8815165481080651E-2</v>
      </c>
      <c r="J3451" s="3" t="s">
        <v>4603</v>
      </c>
    </row>
    <row r="3452" spans="1:10" ht="25.5">
      <c r="A3452" s="3" t="s">
        <v>1811</v>
      </c>
      <c r="B3452" s="3" t="s">
        <v>4303</v>
      </c>
      <c r="C3452" s="4">
        <v>178</v>
      </c>
      <c r="D3452" s="3" t="s">
        <v>92</v>
      </c>
      <c r="E3452" s="3" t="s">
        <v>8</v>
      </c>
      <c r="F3452" s="5">
        <v>6491.04</v>
      </c>
      <c r="G3452" s="5">
        <v>6910.92</v>
      </c>
      <c r="H3452" s="5">
        <f t="shared" si="106"/>
        <v>419.88000000000011</v>
      </c>
      <c r="I3452" s="9">
        <f t="shared" si="107"/>
        <v>6.4686090364564075E-2</v>
      </c>
      <c r="J3452" s="3" t="s">
        <v>4603</v>
      </c>
    </row>
    <row r="3453" spans="1:10" ht="25.5">
      <c r="A3453" s="3" t="s">
        <v>1811</v>
      </c>
      <c r="B3453" s="3" t="s">
        <v>4304</v>
      </c>
      <c r="C3453" s="4">
        <v>217</v>
      </c>
      <c r="D3453" s="3" t="s">
        <v>253</v>
      </c>
      <c r="E3453" s="3" t="s">
        <v>13</v>
      </c>
      <c r="F3453" s="5">
        <v>3377.52</v>
      </c>
      <c r="G3453" s="5">
        <v>0</v>
      </c>
      <c r="H3453" s="5">
        <f t="shared" si="106"/>
        <v>-3377.52</v>
      </c>
      <c r="I3453" s="9">
        <f t="shared" si="107"/>
        <v>-1</v>
      </c>
      <c r="J3453" s="3" t="s">
        <v>4603</v>
      </c>
    </row>
    <row r="3454" spans="1:10">
      <c r="A3454" s="3" t="s">
        <v>1811</v>
      </c>
      <c r="B3454" s="3" t="s">
        <v>4305</v>
      </c>
      <c r="C3454" s="4">
        <v>232</v>
      </c>
      <c r="D3454" s="3" t="s">
        <v>95</v>
      </c>
      <c r="E3454" s="3" t="s">
        <v>13</v>
      </c>
      <c r="F3454" s="5">
        <v>6131.28</v>
      </c>
      <c r="G3454" s="5">
        <v>0</v>
      </c>
      <c r="H3454" s="5">
        <f t="shared" si="106"/>
        <v>-6131.28</v>
      </c>
      <c r="I3454" s="9">
        <f t="shared" si="107"/>
        <v>-1</v>
      </c>
      <c r="J3454" s="3" t="s">
        <v>4603</v>
      </c>
    </row>
    <row r="3455" spans="1:10" ht="38.25">
      <c r="A3455" s="3" t="s">
        <v>1811</v>
      </c>
      <c r="B3455" s="3" t="s">
        <v>4306</v>
      </c>
      <c r="C3455" s="4">
        <v>34</v>
      </c>
      <c r="D3455" s="3" t="s">
        <v>136</v>
      </c>
      <c r="E3455" s="3" t="s">
        <v>30</v>
      </c>
      <c r="F3455" s="5">
        <v>16120.44</v>
      </c>
      <c r="G3455" s="5">
        <v>1917.6</v>
      </c>
      <c r="H3455" s="5">
        <f t="shared" si="106"/>
        <v>-14202.84</v>
      </c>
      <c r="I3455" s="9">
        <f t="shared" si="107"/>
        <v>-0.88104543052174755</v>
      </c>
      <c r="J3455" s="3" t="s">
        <v>4603</v>
      </c>
    </row>
    <row r="3456" spans="1:10" ht="25.5">
      <c r="A3456" s="3" t="s">
        <v>1811</v>
      </c>
      <c r="B3456" s="3" t="s">
        <v>4307</v>
      </c>
      <c r="C3456" s="4">
        <v>332</v>
      </c>
      <c r="D3456" s="3" t="s">
        <v>1850</v>
      </c>
      <c r="E3456" s="3" t="s">
        <v>9</v>
      </c>
      <c r="F3456" s="5">
        <v>0</v>
      </c>
      <c r="G3456" s="5">
        <v>3575.16</v>
      </c>
      <c r="H3456" s="5">
        <f t="shared" si="106"/>
        <v>3575.16</v>
      </c>
      <c r="I3456" s="9">
        <f t="shared" si="107"/>
        <v>0</v>
      </c>
      <c r="J3456" s="3" t="s">
        <v>4603</v>
      </c>
    </row>
    <row r="3457" spans="1:10" ht="25.5">
      <c r="A3457" s="3" t="s">
        <v>1811</v>
      </c>
      <c r="B3457" s="3" t="s">
        <v>4308</v>
      </c>
      <c r="C3457" s="4">
        <v>315</v>
      </c>
      <c r="D3457" s="3" t="s">
        <v>79</v>
      </c>
      <c r="E3457" s="3" t="s">
        <v>8</v>
      </c>
      <c r="F3457" s="5">
        <v>11685.9</v>
      </c>
      <c r="G3457" s="5">
        <v>0</v>
      </c>
      <c r="H3457" s="5">
        <f t="shared" si="106"/>
        <v>-11685.9</v>
      </c>
      <c r="I3457" s="9">
        <f t="shared" si="107"/>
        <v>-1</v>
      </c>
      <c r="J3457" s="3" t="s">
        <v>4603</v>
      </c>
    </row>
    <row r="3458" spans="1:10" ht="51">
      <c r="A3458" s="3" t="s">
        <v>1811</v>
      </c>
      <c r="B3458" s="3" t="s">
        <v>4309</v>
      </c>
      <c r="C3458" s="4">
        <v>282</v>
      </c>
      <c r="D3458" s="3" t="s">
        <v>298</v>
      </c>
      <c r="E3458" s="3" t="s">
        <v>9</v>
      </c>
      <c r="F3458" s="5">
        <v>16034.94</v>
      </c>
      <c r="G3458" s="5">
        <v>0</v>
      </c>
      <c r="H3458" s="5">
        <f t="shared" si="106"/>
        <v>-16034.94</v>
      </c>
      <c r="I3458" s="9">
        <f t="shared" si="107"/>
        <v>-1</v>
      </c>
      <c r="J3458" s="3" t="s">
        <v>4603</v>
      </c>
    </row>
    <row r="3459" spans="1:10" ht="38.25">
      <c r="A3459" s="3" t="s">
        <v>1811</v>
      </c>
      <c r="B3459" s="3" t="s">
        <v>4310</v>
      </c>
      <c r="C3459" s="4">
        <v>34</v>
      </c>
      <c r="D3459" s="3" t="s">
        <v>136</v>
      </c>
      <c r="E3459" s="3" t="s">
        <v>30</v>
      </c>
      <c r="F3459" s="5">
        <v>0</v>
      </c>
      <c r="G3459" s="5">
        <v>4146.12</v>
      </c>
      <c r="H3459" s="5">
        <f t="shared" ref="H3459:H3522" si="108">G3459-F3459</f>
        <v>4146.12</v>
      </c>
      <c r="I3459" s="9">
        <f t="shared" ref="I3459:I3522" si="109">IFERROR(G3459/F3459-1,0)</f>
        <v>0</v>
      </c>
      <c r="J3459" s="3" t="s">
        <v>4603</v>
      </c>
    </row>
    <row r="3460" spans="1:10" ht="25.5">
      <c r="A3460" s="3" t="s">
        <v>1811</v>
      </c>
      <c r="B3460" s="3" t="s">
        <v>4311</v>
      </c>
      <c r="C3460" s="4">
        <v>197</v>
      </c>
      <c r="D3460" s="3" t="s">
        <v>23</v>
      </c>
      <c r="E3460" s="3" t="s">
        <v>22</v>
      </c>
      <c r="F3460" s="5">
        <v>5722.92</v>
      </c>
      <c r="G3460" s="5">
        <v>12041.58</v>
      </c>
      <c r="H3460" s="5">
        <f t="shared" si="108"/>
        <v>6318.66</v>
      </c>
      <c r="I3460" s="9">
        <f t="shared" si="109"/>
        <v>1.104097209117024</v>
      </c>
      <c r="J3460" s="3" t="s">
        <v>4603</v>
      </c>
    </row>
    <row r="3461" spans="1:10" ht="38.25">
      <c r="A3461" s="3" t="s">
        <v>1811</v>
      </c>
      <c r="B3461" s="3" t="s">
        <v>4312</v>
      </c>
      <c r="C3461" s="4">
        <v>11</v>
      </c>
      <c r="D3461" s="3" t="s">
        <v>55</v>
      </c>
      <c r="E3461" s="3" t="s">
        <v>18</v>
      </c>
      <c r="F3461" s="5">
        <v>4895.3999999999996</v>
      </c>
      <c r="G3461" s="5">
        <v>34538.538999999997</v>
      </c>
      <c r="H3461" s="5">
        <f t="shared" si="108"/>
        <v>29643.138999999996</v>
      </c>
      <c r="I3461" s="9">
        <f t="shared" si="109"/>
        <v>6.0553047759120808</v>
      </c>
      <c r="J3461" s="3" t="s">
        <v>4603</v>
      </c>
    </row>
    <row r="3462" spans="1:10" ht="25.5">
      <c r="A3462" s="3" t="s">
        <v>1811</v>
      </c>
      <c r="B3462" s="3" t="s">
        <v>4313</v>
      </c>
      <c r="C3462" s="4">
        <v>19</v>
      </c>
      <c r="D3462" s="3" t="s">
        <v>53</v>
      </c>
      <c r="E3462" s="3" t="s">
        <v>22</v>
      </c>
      <c r="F3462" s="5">
        <v>0</v>
      </c>
      <c r="G3462" s="5">
        <v>9522.75</v>
      </c>
      <c r="H3462" s="5">
        <f t="shared" si="108"/>
        <v>9522.75</v>
      </c>
      <c r="I3462" s="9">
        <f t="shared" si="109"/>
        <v>0</v>
      </c>
      <c r="J3462" s="3" t="s">
        <v>4603</v>
      </c>
    </row>
    <row r="3463" spans="1:10" ht="25.5">
      <c r="A3463" s="3" t="s">
        <v>1811</v>
      </c>
      <c r="B3463" s="3" t="s">
        <v>4314</v>
      </c>
      <c r="C3463" s="4">
        <v>218</v>
      </c>
      <c r="D3463" s="3" t="s">
        <v>155</v>
      </c>
      <c r="E3463" s="3" t="s">
        <v>13</v>
      </c>
      <c r="F3463" s="5">
        <v>0</v>
      </c>
      <c r="G3463" s="5">
        <v>3195.6</v>
      </c>
      <c r="H3463" s="5">
        <f t="shared" si="108"/>
        <v>3195.6</v>
      </c>
      <c r="I3463" s="9">
        <f t="shared" si="109"/>
        <v>0</v>
      </c>
      <c r="J3463" s="3" t="s">
        <v>4603</v>
      </c>
    </row>
    <row r="3464" spans="1:10" ht="25.5">
      <c r="A3464" s="3" t="s">
        <v>1811</v>
      </c>
      <c r="B3464" s="3" t="s">
        <v>4315</v>
      </c>
      <c r="C3464" s="4">
        <v>19</v>
      </c>
      <c r="D3464" s="3" t="s">
        <v>53</v>
      </c>
      <c r="E3464" s="3" t="s">
        <v>22</v>
      </c>
      <c r="F3464" s="5">
        <v>3205.2</v>
      </c>
      <c r="G3464" s="5">
        <v>1798.8</v>
      </c>
      <c r="H3464" s="5">
        <f t="shared" si="108"/>
        <v>-1406.3999999999999</v>
      </c>
      <c r="I3464" s="9">
        <f t="shared" si="109"/>
        <v>-0.43878697117184573</v>
      </c>
      <c r="J3464" s="3" t="s">
        <v>4603</v>
      </c>
    </row>
    <row r="3465" spans="1:10" ht="25.5">
      <c r="A3465" s="3" t="s">
        <v>1811</v>
      </c>
      <c r="B3465" s="3" t="s">
        <v>4316</v>
      </c>
      <c r="C3465" s="4">
        <v>261</v>
      </c>
      <c r="D3465" s="3" t="s">
        <v>17</v>
      </c>
      <c r="E3465" s="3" t="s">
        <v>18</v>
      </c>
      <c r="F3465" s="5">
        <v>2711.58</v>
      </c>
      <c r="G3465" s="5">
        <v>0</v>
      </c>
      <c r="H3465" s="5">
        <f t="shared" si="108"/>
        <v>-2711.58</v>
      </c>
      <c r="I3465" s="9">
        <f t="shared" si="109"/>
        <v>-1</v>
      </c>
      <c r="J3465" s="3" t="s">
        <v>4603</v>
      </c>
    </row>
    <row r="3466" spans="1:10">
      <c r="A3466" s="3" t="s">
        <v>1811</v>
      </c>
      <c r="B3466" s="3" t="s">
        <v>4317</v>
      </c>
      <c r="C3466" s="4">
        <v>315</v>
      </c>
      <c r="D3466" s="3" t="s">
        <v>79</v>
      </c>
      <c r="E3466" s="3" t="s">
        <v>8</v>
      </c>
      <c r="F3466" s="5">
        <v>4151.3999999999996</v>
      </c>
      <c r="G3466" s="5">
        <v>0</v>
      </c>
      <c r="H3466" s="5">
        <f t="shared" si="108"/>
        <v>-4151.3999999999996</v>
      </c>
      <c r="I3466" s="9">
        <f t="shared" si="109"/>
        <v>-1</v>
      </c>
      <c r="J3466" s="3" t="s">
        <v>4603</v>
      </c>
    </row>
    <row r="3467" spans="1:10" ht="25.5">
      <c r="A3467" s="3" t="s">
        <v>1811</v>
      </c>
      <c r="B3467" s="3" t="s">
        <v>4318</v>
      </c>
      <c r="C3467" s="4">
        <v>31</v>
      </c>
      <c r="D3467" s="3" t="s">
        <v>172</v>
      </c>
      <c r="E3467" s="3" t="s">
        <v>13</v>
      </c>
      <c r="F3467" s="5">
        <v>0</v>
      </c>
      <c r="G3467" s="5">
        <v>12046.08</v>
      </c>
      <c r="H3467" s="5">
        <f t="shared" si="108"/>
        <v>12046.08</v>
      </c>
      <c r="I3467" s="9">
        <f t="shared" si="109"/>
        <v>0</v>
      </c>
      <c r="J3467" s="3" t="s">
        <v>4604</v>
      </c>
    </row>
    <row r="3468" spans="1:10" ht="38.25">
      <c r="A3468" s="3" t="s">
        <v>1811</v>
      </c>
      <c r="B3468" s="3" t="s">
        <v>4319</v>
      </c>
      <c r="C3468" s="4">
        <v>38</v>
      </c>
      <c r="D3468" s="3" t="s">
        <v>229</v>
      </c>
      <c r="E3468" s="3" t="s">
        <v>30</v>
      </c>
      <c r="F3468" s="5">
        <v>13419.9</v>
      </c>
      <c r="G3468" s="5">
        <v>2929.56</v>
      </c>
      <c r="H3468" s="5">
        <f t="shared" si="108"/>
        <v>-10490.34</v>
      </c>
      <c r="I3468" s="9">
        <f t="shared" si="109"/>
        <v>-0.78170031073256885</v>
      </c>
      <c r="J3468" s="3" t="s">
        <v>4603</v>
      </c>
    </row>
    <row r="3469" spans="1:10" ht="25.5">
      <c r="A3469" s="3" t="s">
        <v>1811</v>
      </c>
      <c r="B3469" s="3" t="s">
        <v>4320</v>
      </c>
      <c r="C3469" s="4">
        <v>178</v>
      </c>
      <c r="D3469" s="3" t="s">
        <v>92</v>
      </c>
      <c r="E3469" s="3" t="s">
        <v>8</v>
      </c>
      <c r="F3469" s="5">
        <v>6742.8</v>
      </c>
      <c r="G3469" s="5">
        <v>0</v>
      </c>
      <c r="H3469" s="5">
        <f t="shared" si="108"/>
        <v>-6742.8</v>
      </c>
      <c r="I3469" s="9">
        <f t="shared" si="109"/>
        <v>-1</v>
      </c>
      <c r="J3469" s="3" t="s">
        <v>4603</v>
      </c>
    </row>
    <row r="3470" spans="1:10" ht="25.5">
      <c r="A3470" s="3" t="s">
        <v>1811</v>
      </c>
      <c r="B3470" s="3" t="s">
        <v>4321</v>
      </c>
      <c r="C3470" s="4">
        <v>208</v>
      </c>
      <c r="D3470" s="3" t="s">
        <v>58</v>
      </c>
      <c r="E3470" s="3" t="s">
        <v>13</v>
      </c>
      <c r="F3470" s="5">
        <v>16629.36</v>
      </c>
      <c r="G3470" s="5">
        <v>0</v>
      </c>
      <c r="H3470" s="5">
        <f t="shared" si="108"/>
        <v>-16629.36</v>
      </c>
      <c r="I3470" s="9">
        <f t="shared" si="109"/>
        <v>-1</v>
      </c>
      <c r="J3470" s="3" t="s">
        <v>4603</v>
      </c>
    </row>
    <row r="3471" spans="1:10" ht="25.5">
      <c r="A3471" s="3" t="s">
        <v>1811</v>
      </c>
      <c r="B3471" s="3" t="s">
        <v>4322</v>
      </c>
      <c r="C3471" s="4">
        <v>208</v>
      </c>
      <c r="D3471" s="3" t="s">
        <v>58</v>
      </c>
      <c r="E3471" s="3" t="s">
        <v>13</v>
      </c>
      <c r="F3471" s="5">
        <v>0</v>
      </c>
      <c r="G3471" s="5">
        <v>10561.2</v>
      </c>
      <c r="H3471" s="5">
        <f t="shared" si="108"/>
        <v>10561.2</v>
      </c>
      <c r="I3471" s="9">
        <f t="shared" si="109"/>
        <v>0</v>
      </c>
      <c r="J3471" s="3" t="s">
        <v>4603</v>
      </c>
    </row>
    <row r="3472" spans="1:10" ht="25.5">
      <c r="A3472" s="3" t="s">
        <v>1811</v>
      </c>
      <c r="B3472" s="3" t="s">
        <v>4323</v>
      </c>
      <c r="C3472" s="4">
        <v>335</v>
      </c>
      <c r="D3472" s="3" t="s">
        <v>7</v>
      </c>
      <c r="E3472" s="3" t="s">
        <v>8</v>
      </c>
      <c r="F3472" s="5">
        <v>0</v>
      </c>
      <c r="G3472" s="5">
        <v>7776.48</v>
      </c>
      <c r="H3472" s="5">
        <f t="shared" si="108"/>
        <v>7776.48</v>
      </c>
      <c r="I3472" s="9">
        <f t="shared" si="109"/>
        <v>0</v>
      </c>
      <c r="J3472" s="3" t="s">
        <v>4603</v>
      </c>
    </row>
    <row r="3473" spans="1:10" ht="38.25">
      <c r="A3473" s="3" t="s">
        <v>1811</v>
      </c>
      <c r="B3473" s="3" t="s">
        <v>4324</v>
      </c>
      <c r="C3473" s="4">
        <v>45</v>
      </c>
      <c r="D3473" s="3" t="s">
        <v>16</v>
      </c>
      <c r="E3473" s="3" t="s">
        <v>8</v>
      </c>
      <c r="F3473" s="5">
        <v>5051.28</v>
      </c>
      <c r="G3473" s="5">
        <v>0</v>
      </c>
      <c r="H3473" s="5">
        <f t="shared" si="108"/>
        <v>-5051.28</v>
      </c>
      <c r="I3473" s="9">
        <f t="shared" si="109"/>
        <v>-1</v>
      </c>
      <c r="J3473" s="3" t="s">
        <v>4603</v>
      </c>
    </row>
    <row r="3474" spans="1:10" ht="25.5">
      <c r="A3474" s="3" t="s">
        <v>1811</v>
      </c>
      <c r="B3474" s="3" t="s">
        <v>4325</v>
      </c>
      <c r="C3474" s="4">
        <v>232</v>
      </c>
      <c r="D3474" s="3" t="s">
        <v>95</v>
      </c>
      <c r="E3474" s="3" t="s">
        <v>13</v>
      </c>
      <c r="F3474" s="5">
        <v>0</v>
      </c>
      <c r="G3474" s="5">
        <v>2553.6</v>
      </c>
      <c r="H3474" s="5">
        <f t="shared" si="108"/>
        <v>2553.6</v>
      </c>
      <c r="I3474" s="9">
        <f t="shared" si="109"/>
        <v>0</v>
      </c>
      <c r="J3474" s="3" t="s">
        <v>4604</v>
      </c>
    </row>
    <row r="3475" spans="1:10" ht="25.5">
      <c r="A3475" s="3" t="s">
        <v>1811</v>
      </c>
      <c r="B3475" s="3" t="s">
        <v>4326</v>
      </c>
      <c r="C3475" s="4">
        <v>264</v>
      </c>
      <c r="D3475" s="3" t="s">
        <v>632</v>
      </c>
      <c r="E3475" s="3" t="s">
        <v>18</v>
      </c>
      <c r="F3475" s="5">
        <v>4408.5600000000004</v>
      </c>
      <c r="G3475" s="5">
        <v>10666.92</v>
      </c>
      <c r="H3475" s="5">
        <f t="shared" si="108"/>
        <v>6258.36</v>
      </c>
      <c r="I3475" s="9">
        <f t="shared" si="109"/>
        <v>1.419592792204257</v>
      </c>
      <c r="J3475" s="3" t="s">
        <v>4604</v>
      </c>
    </row>
    <row r="3476" spans="1:10" ht="25.5">
      <c r="A3476" s="3" t="s">
        <v>1811</v>
      </c>
      <c r="B3476" s="3" t="s">
        <v>4326</v>
      </c>
      <c r="C3476" s="4">
        <v>264</v>
      </c>
      <c r="D3476" s="3" t="s">
        <v>632</v>
      </c>
      <c r="E3476" s="3" t="s">
        <v>22</v>
      </c>
      <c r="F3476" s="5">
        <v>4408.5600000000004</v>
      </c>
      <c r="G3476" s="5">
        <v>10666.92</v>
      </c>
      <c r="H3476" s="5">
        <f t="shared" si="108"/>
        <v>6258.36</v>
      </c>
      <c r="I3476" s="9">
        <f t="shared" si="109"/>
        <v>1.419592792204257</v>
      </c>
      <c r="J3476" s="3" t="s">
        <v>4604</v>
      </c>
    </row>
    <row r="3477" spans="1:10" ht="25.5">
      <c r="A3477" s="3" t="s">
        <v>1811</v>
      </c>
      <c r="B3477" s="3" t="s">
        <v>4327</v>
      </c>
      <c r="C3477" s="4">
        <v>178</v>
      </c>
      <c r="D3477" s="3" t="s">
        <v>92</v>
      </c>
      <c r="E3477" s="3" t="s">
        <v>8</v>
      </c>
      <c r="F3477" s="5">
        <v>5891.04</v>
      </c>
      <c r="G3477" s="5">
        <v>8404.2000000000007</v>
      </c>
      <c r="H3477" s="5">
        <f t="shared" si="108"/>
        <v>2513.1600000000008</v>
      </c>
      <c r="I3477" s="9">
        <f t="shared" si="109"/>
        <v>0.42660718650696672</v>
      </c>
      <c r="J3477" s="3" t="s">
        <v>4603</v>
      </c>
    </row>
    <row r="3478" spans="1:10" ht="25.5">
      <c r="A3478" s="3" t="s">
        <v>1811</v>
      </c>
      <c r="B3478" s="3" t="s">
        <v>4328</v>
      </c>
      <c r="C3478" s="4">
        <v>194</v>
      </c>
      <c r="D3478" s="3" t="s">
        <v>179</v>
      </c>
      <c r="E3478" s="3" t="s">
        <v>13</v>
      </c>
      <c r="F3478" s="5">
        <v>3371.4</v>
      </c>
      <c r="G3478" s="5">
        <v>3036.12</v>
      </c>
      <c r="H3478" s="5">
        <f t="shared" si="108"/>
        <v>-335.2800000000002</v>
      </c>
      <c r="I3478" s="9">
        <f t="shared" si="109"/>
        <v>-9.9448300409325507E-2</v>
      </c>
      <c r="J3478" s="3" t="s">
        <v>4603</v>
      </c>
    </row>
    <row r="3479" spans="1:10" ht="25.5">
      <c r="A3479" s="3" t="s">
        <v>1811</v>
      </c>
      <c r="B3479" s="3" t="s">
        <v>4329</v>
      </c>
      <c r="C3479" s="4">
        <v>194</v>
      </c>
      <c r="D3479" s="3" t="s">
        <v>179</v>
      </c>
      <c r="E3479" s="3" t="s">
        <v>13</v>
      </c>
      <c r="F3479" s="5">
        <v>3851.16</v>
      </c>
      <c r="G3479" s="5">
        <v>0</v>
      </c>
      <c r="H3479" s="5">
        <f t="shared" si="108"/>
        <v>-3851.16</v>
      </c>
      <c r="I3479" s="9">
        <f t="shared" si="109"/>
        <v>-1</v>
      </c>
      <c r="J3479" s="3" t="s">
        <v>4603</v>
      </c>
    </row>
    <row r="3480" spans="1:10" ht="25.5">
      <c r="A3480" s="3" t="s">
        <v>1811</v>
      </c>
      <c r="B3480" s="3" t="s">
        <v>4330</v>
      </c>
      <c r="C3480" s="4">
        <v>23</v>
      </c>
      <c r="D3480" s="3" t="s">
        <v>71</v>
      </c>
      <c r="E3480" s="3" t="s">
        <v>8</v>
      </c>
      <c r="F3480" s="5">
        <v>3143.52</v>
      </c>
      <c r="G3480" s="5">
        <v>8663.7900000000009</v>
      </c>
      <c r="H3480" s="5">
        <f t="shared" si="108"/>
        <v>5520.27</v>
      </c>
      <c r="I3480" s="9">
        <f t="shared" si="109"/>
        <v>1.7560791723927318</v>
      </c>
      <c r="J3480" s="3" t="s">
        <v>4603</v>
      </c>
    </row>
    <row r="3481" spans="1:10" ht="25.5">
      <c r="A3481" s="3" t="s">
        <v>1811</v>
      </c>
      <c r="B3481" s="3" t="s">
        <v>4331</v>
      </c>
      <c r="C3481" s="4">
        <v>19</v>
      </c>
      <c r="D3481" s="3" t="s">
        <v>53</v>
      </c>
      <c r="E3481" s="3" t="s">
        <v>22</v>
      </c>
      <c r="F3481" s="5">
        <v>5486.22</v>
      </c>
      <c r="G3481" s="5">
        <v>0</v>
      </c>
      <c r="H3481" s="5">
        <f t="shared" si="108"/>
        <v>-5486.22</v>
      </c>
      <c r="I3481" s="9">
        <f t="shared" si="109"/>
        <v>-1</v>
      </c>
      <c r="J3481" s="3" t="s">
        <v>4603</v>
      </c>
    </row>
    <row r="3482" spans="1:10" ht="25.5">
      <c r="A3482" s="3" t="s">
        <v>1811</v>
      </c>
      <c r="B3482" s="3" t="s">
        <v>4332</v>
      </c>
      <c r="C3482" s="4">
        <v>264</v>
      </c>
      <c r="D3482" s="3" t="s">
        <v>632</v>
      </c>
      <c r="E3482" s="3" t="s">
        <v>22</v>
      </c>
      <c r="F3482" s="5">
        <v>0</v>
      </c>
      <c r="G3482" s="5">
        <v>5861.28</v>
      </c>
      <c r="H3482" s="5">
        <f t="shared" si="108"/>
        <v>5861.28</v>
      </c>
      <c r="I3482" s="9">
        <f t="shared" si="109"/>
        <v>0</v>
      </c>
      <c r="J3482" s="3" t="s">
        <v>4603</v>
      </c>
    </row>
    <row r="3483" spans="1:10" ht="25.5">
      <c r="A3483" s="3" t="s">
        <v>1811</v>
      </c>
      <c r="B3483" s="3" t="s">
        <v>4333</v>
      </c>
      <c r="C3483" s="4">
        <v>321</v>
      </c>
      <c r="D3483" s="3" t="s">
        <v>125</v>
      </c>
      <c r="E3483" s="3" t="s">
        <v>22</v>
      </c>
      <c r="F3483" s="5">
        <v>0</v>
      </c>
      <c r="G3483" s="5">
        <v>3693.84</v>
      </c>
      <c r="H3483" s="5">
        <f t="shared" si="108"/>
        <v>3693.84</v>
      </c>
      <c r="I3483" s="9">
        <f t="shared" si="109"/>
        <v>0</v>
      </c>
      <c r="J3483" s="3" t="s">
        <v>4603</v>
      </c>
    </row>
    <row r="3484" spans="1:10" ht="38.25">
      <c r="A3484" s="3" t="s">
        <v>1811</v>
      </c>
      <c r="B3484" s="3" t="s">
        <v>4334</v>
      </c>
      <c r="C3484" s="4">
        <v>301</v>
      </c>
      <c r="D3484" s="3" t="s">
        <v>12</v>
      </c>
      <c r="E3484" s="3" t="s">
        <v>13</v>
      </c>
      <c r="F3484" s="5">
        <v>11178.18</v>
      </c>
      <c r="G3484" s="5">
        <v>0</v>
      </c>
      <c r="H3484" s="5">
        <f t="shared" si="108"/>
        <v>-11178.18</v>
      </c>
      <c r="I3484" s="9">
        <f t="shared" si="109"/>
        <v>-1</v>
      </c>
      <c r="J3484" s="3" t="s">
        <v>4603</v>
      </c>
    </row>
    <row r="3485" spans="1:10">
      <c r="A3485" s="3" t="s">
        <v>1811</v>
      </c>
      <c r="B3485" s="3" t="s">
        <v>4335</v>
      </c>
      <c r="C3485" s="4">
        <v>232</v>
      </c>
      <c r="D3485" s="3" t="s">
        <v>95</v>
      </c>
      <c r="E3485" s="3" t="s">
        <v>13</v>
      </c>
      <c r="F3485" s="5">
        <v>3769.08</v>
      </c>
      <c r="G3485" s="5">
        <v>3259.8</v>
      </c>
      <c r="H3485" s="5">
        <f t="shared" si="108"/>
        <v>-509.27999999999975</v>
      </c>
      <c r="I3485" s="9">
        <f t="shared" si="109"/>
        <v>-0.13512050686109067</v>
      </c>
      <c r="J3485" s="3" t="s">
        <v>4603</v>
      </c>
    </row>
    <row r="3486" spans="1:10">
      <c r="A3486" s="3" t="s">
        <v>1811</v>
      </c>
      <c r="B3486" s="3" t="s">
        <v>4336</v>
      </c>
      <c r="C3486" s="4">
        <v>334</v>
      </c>
      <c r="D3486" s="3" t="s">
        <v>585</v>
      </c>
      <c r="E3486" s="3" t="s">
        <v>8</v>
      </c>
      <c r="F3486" s="5">
        <v>5697.96</v>
      </c>
      <c r="G3486" s="5">
        <v>0</v>
      </c>
      <c r="H3486" s="5">
        <f t="shared" si="108"/>
        <v>-5697.96</v>
      </c>
      <c r="I3486" s="9">
        <f t="shared" si="109"/>
        <v>-1</v>
      </c>
      <c r="J3486" s="3" t="s">
        <v>4603</v>
      </c>
    </row>
    <row r="3487" spans="1:10" ht="38.25">
      <c r="A3487" s="3" t="s">
        <v>1811</v>
      </c>
      <c r="B3487" s="3" t="s">
        <v>4337</v>
      </c>
      <c r="C3487" s="4">
        <v>11</v>
      </c>
      <c r="D3487" s="3" t="s">
        <v>55</v>
      </c>
      <c r="E3487" s="3" t="s">
        <v>18</v>
      </c>
      <c r="F3487" s="5">
        <v>20621.28</v>
      </c>
      <c r="G3487" s="5">
        <v>0</v>
      </c>
      <c r="H3487" s="5">
        <f t="shared" si="108"/>
        <v>-20621.28</v>
      </c>
      <c r="I3487" s="9">
        <f t="shared" si="109"/>
        <v>-1</v>
      </c>
      <c r="J3487" s="3" t="s">
        <v>4604</v>
      </c>
    </row>
    <row r="3488" spans="1:10" ht="25.5">
      <c r="A3488" s="3" t="s">
        <v>1811</v>
      </c>
      <c r="B3488" s="3" t="s">
        <v>4338</v>
      </c>
      <c r="C3488" s="4">
        <v>335</v>
      </c>
      <c r="D3488" s="3" t="s">
        <v>7</v>
      </c>
      <c r="E3488" s="3" t="s">
        <v>8</v>
      </c>
      <c r="F3488" s="5">
        <v>0</v>
      </c>
      <c r="G3488" s="5">
        <v>3231.63</v>
      </c>
      <c r="H3488" s="5">
        <f t="shared" si="108"/>
        <v>3231.63</v>
      </c>
      <c r="I3488" s="9">
        <f t="shared" si="109"/>
        <v>0</v>
      </c>
      <c r="J3488" s="3" t="s">
        <v>4603</v>
      </c>
    </row>
    <row r="3489" spans="1:10" ht="38.25">
      <c r="A3489" s="3" t="s">
        <v>1811</v>
      </c>
      <c r="B3489" s="3" t="s">
        <v>4339</v>
      </c>
      <c r="C3489" s="4">
        <v>292</v>
      </c>
      <c r="D3489" s="3" t="s">
        <v>619</v>
      </c>
      <c r="E3489" s="3" t="s">
        <v>30</v>
      </c>
      <c r="F3489" s="5">
        <v>0</v>
      </c>
      <c r="G3489" s="5">
        <v>2225.16</v>
      </c>
      <c r="H3489" s="5">
        <f t="shared" si="108"/>
        <v>2225.16</v>
      </c>
      <c r="I3489" s="9">
        <f t="shared" si="109"/>
        <v>0</v>
      </c>
      <c r="J3489" s="3" t="s">
        <v>4603</v>
      </c>
    </row>
    <row r="3490" spans="1:10" ht="25.5">
      <c r="A3490" s="3" t="s">
        <v>1811</v>
      </c>
      <c r="B3490" s="3" t="s">
        <v>4340</v>
      </c>
      <c r="C3490" s="4">
        <v>218</v>
      </c>
      <c r="D3490" s="3" t="s">
        <v>155</v>
      </c>
      <c r="E3490" s="3" t="s">
        <v>13</v>
      </c>
      <c r="F3490" s="5">
        <v>2975.37</v>
      </c>
      <c r="G3490" s="5">
        <v>3408.72</v>
      </c>
      <c r="H3490" s="5">
        <f t="shared" si="108"/>
        <v>433.34999999999991</v>
      </c>
      <c r="I3490" s="9">
        <f t="shared" si="109"/>
        <v>0.14564575162080673</v>
      </c>
      <c r="J3490" s="3" t="s">
        <v>4603</v>
      </c>
    </row>
    <row r="3491" spans="1:10" ht="25.5">
      <c r="A3491" s="3" t="s">
        <v>1811</v>
      </c>
      <c r="B3491" s="3" t="s">
        <v>4341</v>
      </c>
      <c r="C3491" s="4">
        <v>93</v>
      </c>
      <c r="D3491" s="3" t="s">
        <v>42</v>
      </c>
      <c r="E3491" s="3" t="s">
        <v>8</v>
      </c>
      <c r="F3491" s="5">
        <v>3112.86</v>
      </c>
      <c r="G3491" s="5">
        <v>0</v>
      </c>
      <c r="H3491" s="5">
        <f t="shared" si="108"/>
        <v>-3112.86</v>
      </c>
      <c r="I3491" s="9">
        <f t="shared" si="109"/>
        <v>-1</v>
      </c>
      <c r="J3491" s="3" t="s">
        <v>4603</v>
      </c>
    </row>
    <row r="3492" spans="1:10" ht="25.5">
      <c r="A3492" s="3" t="s">
        <v>1811</v>
      </c>
      <c r="B3492" s="3" t="s">
        <v>4342</v>
      </c>
      <c r="C3492" s="4">
        <v>217</v>
      </c>
      <c r="D3492" s="3" t="s">
        <v>253</v>
      </c>
      <c r="E3492" s="3" t="s">
        <v>13</v>
      </c>
      <c r="F3492" s="5">
        <v>3005.76</v>
      </c>
      <c r="G3492" s="5">
        <v>0</v>
      </c>
      <c r="H3492" s="5">
        <f t="shared" si="108"/>
        <v>-3005.76</v>
      </c>
      <c r="I3492" s="9">
        <f t="shared" si="109"/>
        <v>-1</v>
      </c>
      <c r="J3492" s="3" t="s">
        <v>4603</v>
      </c>
    </row>
    <row r="3493" spans="1:10" ht="25.5">
      <c r="A3493" s="3" t="s">
        <v>1811</v>
      </c>
      <c r="B3493" s="3" t="s">
        <v>4343</v>
      </c>
      <c r="C3493" s="4">
        <v>231</v>
      </c>
      <c r="D3493" s="3" t="s">
        <v>89</v>
      </c>
      <c r="E3493" s="3" t="s">
        <v>8</v>
      </c>
      <c r="F3493" s="5">
        <v>22765.86</v>
      </c>
      <c r="G3493" s="5">
        <v>0</v>
      </c>
      <c r="H3493" s="5">
        <f t="shared" si="108"/>
        <v>-22765.86</v>
      </c>
      <c r="I3493" s="9">
        <f t="shared" si="109"/>
        <v>-1</v>
      </c>
      <c r="J3493" s="3" t="s">
        <v>4604</v>
      </c>
    </row>
    <row r="3494" spans="1:10" ht="25.5">
      <c r="A3494" s="3" t="s">
        <v>1811</v>
      </c>
      <c r="B3494" s="3" t="s">
        <v>4344</v>
      </c>
      <c r="C3494" s="4">
        <v>273</v>
      </c>
      <c r="D3494" s="3" t="s">
        <v>771</v>
      </c>
      <c r="E3494" s="3" t="s">
        <v>13</v>
      </c>
      <c r="F3494" s="5">
        <v>15148.83</v>
      </c>
      <c r="G3494" s="5">
        <v>0</v>
      </c>
      <c r="H3494" s="5">
        <f t="shared" si="108"/>
        <v>-15148.83</v>
      </c>
      <c r="I3494" s="9">
        <f t="shared" si="109"/>
        <v>-1</v>
      </c>
      <c r="J3494" s="3" t="s">
        <v>4603</v>
      </c>
    </row>
    <row r="3495" spans="1:10" ht="25.5">
      <c r="A3495" s="3" t="s">
        <v>1811</v>
      </c>
      <c r="B3495" s="3" t="s">
        <v>4345</v>
      </c>
      <c r="C3495" s="4">
        <v>270</v>
      </c>
      <c r="D3495" s="3" t="s">
        <v>312</v>
      </c>
      <c r="E3495" s="3" t="s">
        <v>30</v>
      </c>
      <c r="F3495" s="5">
        <v>5974.92</v>
      </c>
      <c r="G3495" s="5">
        <v>0</v>
      </c>
      <c r="H3495" s="5">
        <f t="shared" si="108"/>
        <v>-5974.92</v>
      </c>
      <c r="I3495" s="9">
        <f t="shared" si="109"/>
        <v>-1</v>
      </c>
      <c r="J3495" s="3" t="s">
        <v>4603</v>
      </c>
    </row>
    <row r="3496" spans="1:10" ht="25.5">
      <c r="A3496" s="3" t="s">
        <v>1811</v>
      </c>
      <c r="B3496" s="3" t="s">
        <v>4346</v>
      </c>
      <c r="C3496" s="4">
        <v>197</v>
      </c>
      <c r="D3496" s="3" t="s">
        <v>23</v>
      </c>
      <c r="E3496" s="3" t="s">
        <v>22</v>
      </c>
      <c r="F3496" s="5">
        <v>9847.5300000000007</v>
      </c>
      <c r="G3496" s="5">
        <v>5642.42</v>
      </c>
      <c r="H3496" s="5">
        <f t="shared" si="108"/>
        <v>-4205.1100000000006</v>
      </c>
      <c r="I3496" s="9">
        <f t="shared" si="109"/>
        <v>-0.42702180140603785</v>
      </c>
      <c r="J3496" s="3" t="s">
        <v>4603</v>
      </c>
    </row>
    <row r="3497" spans="1:10" ht="38.25">
      <c r="A3497" s="3" t="s">
        <v>1811</v>
      </c>
      <c r="B3497" s="3" t="s">
        <v>4347</v>
      </c>
      <c r="C3497" s="4">
        <v>11</v>
      </c>
      <c r="D3497" s="3" t="s">
        <v>55</v>
      </c>
      <c r="E3497" s="3" t="s">
        <v>18</v>
      </c>
      <c r="F3497" s="5">
        <v>9217.65</v>
      </c>
      <c r="G3497" s="5">
        <v>35888.129999999997</v>
      </c>
      <c r="H3497" s="5">
        <f t="shared" si="108"/>
        <v>26670.479999999996</v>
      </c>
      <c r="I3497" s="9">
        <f t="shared" si="109"/>
        <v>2.8934142650241657</v>
      </c>
      <c r="J3497" s="3" t="s">
        <v>4603</v>
      </c>
    </row>
    <row r="3498" spans="1:10" ht="25.5">
      <c r="A3498" s="3" t="s">
        <v>1811</v>
      </c>
      <c r="B3498" s="3" t="s">
        <v>4348</v>
      </c>
      <c r="C3498" s="4">
        <v>337</v>
      </c>
      <c r="D3498" s="3" t="s">
        <v>218</v>
      </c>
      <c r="E3498" s="3" t="s">
        <v>13</v>
      </c>
      <c r="F3498" s="5">
        <v>0</v>
      </c>
      <c r="G3498" s="5">
        <v>5059.7</v>
      </c>
      <c r="H3498" s="5">
        <f t="shared" si="108"/>
        <v>5059.7</v>
      </c>
      <c r="I3498" s="9">
        <f t="shared" si="109"/>
        <v>0</v>
      </c>
      <c r="J3498" s="3" t="s">
        <v>4603</v>
      </c>
    </row>
    <row r="3499" spans="1:10" ht="25.5">
      <c r="A3499" s="3" t="s">
        <v>1811</v>
      </c>
      <c r="B3499" s="3" t="s">
        <v>4349</v>
      </c>
      <c r="C3499" s="4">
        <v>194</v>
      </c>
      <c r="D3499" s="3" t="s">
        <v>179</v>
      </c>
      <c r="E3499" s="3" t="s">
        <v>13</v>
      </c>
      <c r="F3499" s="5">
        <v>20447.04</v>
      </c>
      <c r="G3499" s="5">
        <v>0</v>
      </c>
      <c r="H3499" s="5">
        <f t="shared" si="108"/>
        <v>-20447.04</v>
      </c>
      <c r="I3499" s="9">
        <f t="shared" si="109"/>
        <v>-1</v>
      </c>
      <c r="J3499" s="3" t="s">
        <v>4603</v>
      </c>
    </row>
    <row r="3500" spans="1:10" ht="25.5">
      <c r="A3500" s="3" t="s">
        <v>1811</v>
      </c>
      <c r="B3500" s="3" t="s">
        <v>4350</v>
      </c>
      <c r="C3500" s="4">
        <v>218</v>
      </c>
      <c r="D3500" s="3" t="s">
        <v>155</v>
      </c>
      <c r="E3500" s="3" t="s">
        <v>13</v>
      </c>
      <c r="F3500" s="5">
        <v>0</v>
      </c>
      <c r="G3500" s="5">
        <v>3222.78</v>
      </c>
      <c r="H3500" s="5">
        <f t="shared" si="108"/>
        <v>3222.78</v>
      </c>
      <c r="I3500" s="9">
        <f t="shared" si="109"/>
        <v>0</v>
      </c>
      <c r="J3500" s="3" t="s">
        <v>4603</v>
      </c>
    </row>
    <row r="3501" spans="1:10" ht="25.5">
      <c r="A3501" s="3" t="s">
        <v>1811</v>
      </c>
      <c r="B3501" s="3" t="s">
        <v>4351</v>
      </c>
      <c r="C3501" s="4">
        <v>23</v>
      </c>
      <c r="D3501" s="3" t="s">
        <v>71</v>
      </c>
      <c r="E3501" s="3" t="s">
        <v>8</v>
      </c>
      <c r="F3501" s="5">
        <v>6047.04</v>
      </c>
      <c r="G3501" s="5">
        <v>4854.3</v>
      </c>
      <c r="H3501" s="5">
        <f t="shared" si="108"/>
        <v>-1192.7399999999998</v>
      </c>
      <c r="I3501" s="9">
        <f t="shared" si="109"/>
        <v>-0.19724361009684077</v>
      </c>
      <c r="J3501" s="3" t="s">
        <v>4603</v>
      </c>
    </row>
    <row r="3502" spans="1:10" ht="25.5">
      <c r="A3502" s="3" t="s">
        <v>1811</v>
      </c>
      <c r="B3502" s="3" t="s">
        <v>4352</v>
      </c>
      <c r="C3502" s="4">
        <v>61</v>
      </c>
      <c r="D3502" s="3" t="s">
        <v>114</v>
      </c>
      <c r="E3502" s="3" t="s">
        <v>30</v>
      </c>
      <c r="F3502" s="5">
        <v>5255.16</v>
      </c>
      <c r="G3502" s="5">
        <v>0</v>
      </c>
      <c r="H3502" s="5">
        <f t="shared" si="108"/>
        <v>-5255.16</v>
      </c>
      <c r="I3502" s="9">
        <f t="shared" si="109"/>
        <v>-1</v>
      </c>
      <c r="J3502" s="3" t="s">
        <v>4603</v>
      </c>
    </row>
    <row r="3503" spans="1:10" ht="25.5">
      <c r="A3503" s="3" t="s">
        <v>1811</v>
      </c>
      <c r="B3503" s="3" t="s">
        <v>4353</v>
      </c>
      <c r="C3503" s="4">
        <v>273</v>
      </c>
      <c r="D3503" s="3" t="s">
        <v>771</v>
      </c>
      <c r="E3503" s="3" t="s">
        <v>13</v>
      </c>
      <c r="F3503" s="5">
        <v>0</v>
      </c>
      <c r="G3503" s="5">
        <v>7829.76</v>
      </c>
      <c r="H3503" s="5">
        <f t="shared" si="108"/>
        <v>7829.76</v>
      </c>
      <c r="I3503" s="9">
        <f t="shared" si="109"/>
        <v>0</v>
      </c>
      <c r="J3503" s="3" t="s">
        <v>4603</v>
      </c>
    </row>
    <row r="3504" spans="1:10" ht="25.5">
      <c r="A3504" s="3" t="s">
        <v>1811</v>
      </c>
      <c r="B3504" s="3" t="s">
        <v>4354</v>
      </c>
      <c r="C3504" s="4">
        <v>317</v>
      </c>
      <c r="D3504" s="3" t="s">
        <v>54</v>
      </c>
      <c r="E3504" s="3" t="s">
        <v>18</v>
      </c>
      <c r="F3504" s="5">
        <v>8205.6299999999992</v>
      </c>
      <c r="G3504" s="5">
        <v>0</v>
      </c>
      <c r="H3504" s="5">
        <f t="shared" si="108"/>
        <v>-8205.6299999999992</v>
      </c>
      <c r="I3504" s="9">
        <f t="shared" si="109"/>
        <v>-1</v>
      </c>
      <c r="J3504" s="3" t="s">
        <v>4603</v>
      </c>
    </row>
    <row r="3505" spans="1:10" ht="25.5">
      <c r="A3505" s="3" t="s">
        <v>1811</v>
      </c>
      <c r="B3505" s="3" t="s">
        <v>4355</v>
      </c>
      <c r="C3505" s="4">
        <v>53</v>
      </c>
      <c r="D3505" s="3" t="s">
        <v>340</v>
      </c>
      <c r="E3505" s="3" t="s">
        <v>13</v>
      </c>
      <c r="F3505" s="5">
        <v>15417</v>
      </c>
      <c r="G3505" s="5">
        <v>0</v>
      </c>
      <c r="H3505" s="5">
        <f t="shared" si="108"/>
        <v>-15417</v>
      </c>
      <c r="I3505" s="9">
        <f t="shared" si="109"/>
        <v>-1</v>
      </c>
      <c r="J3505" s="3" t="s">
        <v>4603</v>
      </c>
    </row>
    <row r="3506" spans="1:10" ht="38.25">
      <c r="A3506" s="3" t="s">
        <v>1811</v>
      </c>
      <c r="B3506" s="3" t="s">
        <v>4356</v>
      </c>
      <c r="C3506" s="4">
        <v>218</v>
      </c>
      <c r="D3506" s="3" t="s">
        <v>155</v>
      </c>
      <c r="E3506" s="3" t="s">
        <v>13</v>
      </c>
      <c r="F3506" s="5">
        <v>18602.52</v>
      </c>
      <c r="G3506" s="5">
        <v>11185.74</v>
      </c>
      <c r="H3506" s="5">
        <f t="shared" si="108"/>
        <v>-7416.7800000000007</v>
      </c>
      <c r="I3506" s="9">
        <f t="shared" si="109"/>
        <v>-0.39869759580960007</v>
      </c>
      <c r="J3506" s="3" t="s">
        <v>4603</v>
      </c>
    </row>
    <row r="3507" spans="1:10" ht="38.25">
      <c r="A3507" s="3" t="s">
        <v>1811</v>
      </c>
      <c r="B3507" s="3" t="s">
        <v>4357</v>
      </c>
      <c r="C3507" s="4">
        <v>34</v>
      </c>
      <c r="D3507" s="3" t="s">
        <v>136</v>
      </c>
      <c r="E3507" s="3" t="s">
        <v>30</v>
      </c>
      <c r="F3507" s="5">
        <v>0</v>
      </c>
      <c r="G3507" s="5">
        <v>2064.7199999999998</v>
      </c>
      <c r="H3507" s="5">
        <f t="shared" si="108"/>
        <v>2064.7199999999998</v>
      </c>
      <c r="I3507" s="9">
        <f t="shared" si="109"/>
        <v>0</v>
      </c>
      <c r="J3507" s="3" t="s">
        <v>4603</v>
      </c>
    </row>
    <row r="3508" spans="1:10" ht="25.5">
      <c r="A3508" s="3" t="s">
        <v>1811</v>
      </c>
      <c r="B3508" s="3" t="s">
        <v>4358</v>
      </c>
      <c r="C3508" s="4">
        <v>317</v>
      </c>
      <c r="D3508" s="3" t="s">
        <v>54</v>
      </c>
      <c r="E3508" s="3" t="s">
        <v>18</v>
      </c>
      <c r="F3508" s="5">
        <v>26506.23</v>
      </c>
      <c r="G3508" s="5">
        <v>0</v>
      </c>
      <c r="H3508" s="5">
        <f t="shared" si="108"/>
        <v>-26506.23</v>
      </c>
      <c r="I3508" s="9">
        <f t="shared" si="109"/>
        <v>-1</v>
      </c>
      <c r="J3508" s="3" t="s">
        <v>4604</v>
      </c>
    </row>
    <row r="3509" spans="1:10" ht="25.5">
      <c r="A3509" s="3" t="s">
        <v>1811</v>
      </c>
      <c r="B3509" s="3" t="s">
        <v>4359</v>
      </c>
      <c r="C3509" s="4">
        <v>178</v>
      </c>
      <c r="D3509" s="3" t="s">
        <v>92</v>
      </c>
      <c r="E3509" s="3" t="s">
        <v>8</v>
      </c>
      <c r="F3509" s="5">
        <v>8890.5</v>
      </c>
      <c r="G3509" s="5">
        <v>7951.56</v>
      </c>
      <c r="H3509" s="5">
        <f t="shared" si="108"/>
        <v>-938.9399999999996</v>
      </c>
      <c r="I3509" s="9">
        <f t="shared" si="109"/>
        <v>-0.10561160789606883</v>
      </c>
      <c r="J3509" s="3" t="s">
        <v>4603</v>
      </c>
    </row>
    <row r="3510" spans="1:10" ht="25.5">
      <c r="A3510" s="3" t="s">
        <v>1811</v>
      </c>
      <c r="B3510" s="3" t="s">
        <v>4360</v>
      </c>
      <c r="C3510" s="4">
        <v>335</v>
      </c>
      <c r="D3510" s="3" t="s">
        <v>7</v>
      </c>
      <c r="E3510" s="3" t="s">
        <v>8</v>
      </c>
      <c r="F3510" s="5">
        <v>0</v>
      </c>
      <c r="G3510" s="5">
        <v>5343.48</v>
      </c>
      <c r="H3510" s="5">
        <f t="shared" si="108"/>
        <v>5343.48</v>
      </c>
      <c r="I3510" s="9">
        <f t="shared" si="109"/>
        <v>0</v>
      </c>
      <c r="J3510" s="3" t="s">
        <v>4603</v>
      </c>
    </row>
    <row r="3511" spans="1:10" ht="38.25">
      <c r="A3511" s="3" t="s">
        <v>1811</v>
      </c>
      <c r="B3511" s="3" t="s">
        <v>4361</v>
      </c>
      <c r="C3511" s="4">
        <v>45</v>
      </c>
      <c r="D3511" s="3" t="s">
        <v>16</v>
      </c>
      <c r="E3511" s="3" t="s">
        <v>8</v>
      </c>
      <c r="F3511" s="5">
        <v>10270.44</v>
      </c>
      <c r="G3511" s="5">
        <v>0</v>
      </c>
      <c r="H3511" s="5">
        <f t="shared" si="108"/>
        <v>-10270.44</v>
      </c>
      <c r="I3511" s="9">
        <f t="shared" si="109"/>
        <v>-1</v>
      </c>
      <c r="J3511" s="3" t="s">
        <v>4603</v>
      </c>
    </row>
    <row r="3512" spans="1:10" ht="25.5">
      <c r="A3512" s="3" t="s">
        <v>1811</v>
      </c>
      <c r="B3512" s="3" t="s">
        <v>4362</v>
      </c>
      <c r="C3512" s="4">
        <v>266</v>
      </c>
      <c r="D3512" s="3" t="s">
        <v>111</v>
      </c>
      <c r="E3512" s="3" t="s">
        <v>18</v>
      </c>
      <c r="F3512" s="5">
        <v>10035.120000000001</v>
      </c>
      <c r="G3512" s="5">
        <v>0</v>
      </c>
      <c r="H3512" s="5">
        <f t="shared" si="108"/>
        <v>-10035.120000000001</v>
      </c>
      <c r="I3512" s="9">
        <f t="shared" si="109"/>
        <v>-1</v>
      </c>
      <c r="J3512" s="3" t="s">
        <v>4603</v>
      </c>
    </row>
    <row r="3513" spans="1:10" ht="25.5">
      <c r="A3513" s="3" t="s">
        <v>1811</v>
      </c>
      <c r="B3513" s="3" t="s">
        <v>4363</v>
      </c>
      <c r="C3513" s="4">
        <v>270</v>
      </c>
      <c r="D3513" s="3" t="s">
        <v>312</v>
      </c>
      <c r="E3513" s="3" t="s">
        <v>30</v>
      </c>
      <c r="F3513" s="5">
        <v>17040.57</v>
      </c>
      <c r="G3513" s="5">
        <v>0</v>
      </c>
      <c r="H3513" s="5">
        <f t="shared" si="108"/>
        <v>-17040.57</v>
      </c>
      <c r="I3513" s="9">
        <f t="shared" si="109"/>
        <v>-1</v>
      </c>
      <c r="J3513" s="3" t="s">
        <v>4603</v>
      </c>
    </row>
    <row r="3514" spans="1:10" ht="25.5">
      <c r="A3514" s="3" t="s">
        <v>1811</v>
      </c>
      <c r="B3514" s="3" t="s">
        <v>4364</v>
      </c>
      <c r="C3514" s="4">
        <v>178</v>
      </c>
      <c r="D3514" s="3" t="s">
        <v>92</v>
      </c>
      <c r="E3514" s="3" t="s">
        <v>8</v>
      </c>
      <c r="F3514" s="5">
        <v>11779.08</v>
      </c>
      <c r="G3514" s="5">
        <v>9092.2199999999993</v>
      </c>
      <c r="H3514" s="5">
        <f t="shared" si="108"/>
        <v>-2686.8600000000006</v>
      </c>
      <c r="I3514" s="9">
        <f t="shared" si="109"/>
        <v>-0.22810440204158566</v>
      </c>
      <c r="J3514" s="3" t="s">
        <v>4603</v>
      </c>
    </row>
    <row r="3515" spans="1:10" ht="25.5">
      <c r="A3515" s="3" t="s">
        <v>1811</v>
      </c>
      <c r="B3515" s="3" t="s">
        <v>4365</v>
      </c>
      <c r="C3515" s="4">
        <v>93</v>
      </c>
      <c r="D3515" s="3" t="s">
        <v>42</v>
      </c>
      <c r="E3515" s="3" t="s">
        <v>8</v>
      </c>
      <c r="F3515" s="5">
        <v>25544.04</v>
      </c>
      <c r="G3515" s="5">
        <v>22634.1</v>
      </c>
      <c r="H3515" s="5">
        <f t="shared" si="108"/>
        <v>-2909.9400000000023</v>
      </c>
      <c r="I3515" s="9">
        <f t="shared" si="109"/>
        <v>-0.11391855008056684</v>
      </c>
      <c r="J3515" s="3" t="s">
        <v>4603</v>
      </c>
    </row>
    <row r="3516" spans="1:10" ht="25.5">
      <c r="A3516" s="3" t="s">
        <v>1811</v>
      </c>
      <c r="B3516" s="3" t="s">
        <v>4366</v>
      </c>
      <c r="C3516" s="4">
        <v>167</v>
      </c>
      <c r="D3516" s="3" t="s">
        <v>335</v>
      </c>
      <c r="E3516" s="3" t="s">
        <v>30</v>
      </c>
      <c r="F3516" s="5">
        <v>3909.3</v>
      </c>
      <c r="G3516" s="5">
        <v>0</v>
      </c>
      <c r="H3516" s="5">
        <f t="shared" si="108"/>
        <v>-3909.3</v>
      </c>
      <c r="I3516" s="9">
        <f t="shared" si="109"/>
        <v>-1</v>
      </c>
      <c r="J3516" s="3" t="s">
        <v>4603</v>
      </c>
    </row>
    <row r="3517" spans="1:10" ht="25.5">
      <c r="A3517" s="3" t="s">
        <v>1811</v>
      </c>
      <c r="B3517" s="3" t="s">
        <v>4367</v>
      </c>
      <c r="C3517" s="4">
        <v>197</v>
      </c>
      <c r="D3517" s="3" t="s">
        <v>23</v>
      </c>
      <c r="E3517" s="3" t="s">
        <v>22</v>
      </c>
      <c r="F3517" s="5">
        <v>0</v>
      </c>
      <c r="G3517" s="5">
        <v>3954.9</v>
      </c>
      <c r="H3517" s="5">
        <f t="shared" si="108"/>
        <v>3954.9</v>
      </c>
      <c r="I3517" s="9">
        <f t="shared" si="109"/>
        <v>0</v>
      </c>
      <c r="J3517" s="3" t="s">
        <v>4603</v>
      </c>
    </row>
    <row r="3518" spans="1:10" ht="25.5">
      <c r="A3518" s="3" t="s">
        <v>1811</v>
      </c>
      <c r="B3518" s="3" t="s">
        <v>4368</v>
      </c>
      <c r="C3518" s="4">
        <v>266</v>
      </c>
      <c r="D3518" s="3" t="s">
        <v>111</v>
      </c>
      <c r="E3518" s="3" t="s">
        <v>18</v>
      </c>
      <c r="F3518" s="5">
        <v>0</v>
      </c>
      <c r="G3518" s="5">
        <v>42350.01</v>
      </c>
      <c r="H3518" s="5">
        <f t="shared" si="108"/>
        <v>42350.01</v>
      </c>
      <c r="I3518" s="9">
        <f t="shared" si="109"/>
        <v>0</v>
      </c>
      <c r="J3518" s="3" t="s">
        <v>4603</v>
      </c>
    </row>
    <row r="3519" spans="1:10" ht="25.5">
      <c r="A3519" s="3" t="s">
        <v>1811</v>
      </c>
      <c r="B3519" s="3" t="s">
        <v>4369</v>
      </c>
      <c r="C3519" s="4">
        <v>194</v>
      </c>
      <c r="D3519" s="3" t="s">
        <v>179</v>
      </c>
      <c r="E3519" s="3" t="s">
        <v>13</v>
      </c>
      <c r="F3519" s="5">
        <v>0</v>
      </c>
      <c r="G3519" s="5">
        <v>15759.3</v>
      </c>
      <c r="H3519" s="5">
        <f t="shared" si="108"/>
        <v>15759.3</v>
      </c>
      <c r="I3519" s="9">
        <f t="shared" si="109"/>
        <v>0</v>
      </c>
      <c r="J3519" s="3" t="s">
        <v>4603</v>
      </c>
    </row>
    <row r="3520" spans="1:10" ht="38.25">
      <c r="A3520" s="3" t="s">
        <v>1811</v>
      </c>
      <c r="B3520" s="3" t="s">
        <v>4370</v>
      </c>
      <c r="C3520" s="4">
        <v>38</v>
      </c>
      <c r="D3520" s="3" t="s">
        <v>229</v>
      </c>
      <c r="E3520" s="3" t="s">
        <v>30</v>
      </c>
      <c r="F3520" s="5">
        <v>9634.56</v>
      </c>
      <c r="G3520" s="5">
        <v>10262.16</v>
      </c>
      <c r="H3520" s="5">
        <f t="shared" si="108"/>
        <v>627.60000000000036</v>
      </c>
      <c r="I3520" s="9">
        <f t="shared" si="109"/>
        <v>6.5140494220805145E-2</v>
      </c>
      <c r="J3520" s="3" t="s">
        <v>4603</v>
      </c>
    </row>
    <row r="3521" spans="1:10" ht="38.25">
      <c r="A3521" s="3" t="s">
        <v>1811</v>
      </c>
      <c r="B3521" s="3" t="s">
        <v>4371</v>
      </c>
      <c r="C3521" s="4">
        <v>38</v>
      </c>
      <c r="D3521" s="3" t="s">
        <v>229</v>
      </c>
      <c r="E3521" s="3" t="s">
        <v>30</v>
      </c>
      <c r="F3521" s="5">
        <v>2183.58</v>
      </c>
      <c r="G3521" s="5">
        <v>0</v>
      </c>
      <c r="H3521" s="5">
        <f t="shared" si="108"/>
        <v>-2183.58</v>
      </c>
      <c r="I3521" s="9">
        <f t="shared" si="109"/>
        <v>-1</v>
      </c>
      <c r="J3521" s="3" t="s">
        <v>4603</v>
      </c>
    </row>
    <row r="3522" spans="1:10">
      <c r="A3522" s="3" t="s">
        <v>1811</v>
      </c>
      <c r="B3522" s="3" t="s">
        <v>4372</v>
      </c>
      <c r="C3522" s="4">
        <v>217</v>
      </c>
      <c r="D3522" s="3" t="s">
        <v>253</v>
      </c>
      <c r="E3522" s="3" t="s">
        <v>13</v>
      </c>
      <c r="F3522" s="5">
        <v>0</v>
      </c>
      <c r="G3522" s="5">
        <v>8090.7</v>
      </c>
      <c r="H3522" s="5">
        <f t="shared" si="108"/>
        <v>8090.7</v>
      </c>
      <c r="I3522" s="9">
        <f t="shared" si="109"/>
        <v>0</v>
      </c>
      <c r="J3522" s="3" t="s">
        <v>4603</v>
      </c>
    </row>
    <row r="3523" spans="1:10">
      <c r="A3523" s="3" t="s">
        <v>1811</v>
      </c>
      <c r="B3523" s="3" t="s">
        <v>4373</v>
      </c>
      <c r="C3523" s="4">
        <v>232</v>
      </c>
      <c r="D3523" s="3" t="s">
        <v>95</v>
      </c>
      <c r="E3523" s="3" t="s">
        <v>13</v>
      </c>
      <c r="F3523" s="5">
        <v>12519.36</v>
      </c>
      <c r="G3523" s="5">
        <v>5373.12</v>
      </c>
      <c r="H3523" s="5">
        <f t="shared" ref="H3523:H3586" si="110">G3523-F3523</f>
        <v>-7146.2400000000007</v>
      </c>
      <c r="I3523" s="9">
        <f t="shared" ref="I3523:I3586" si="111">IFERROR(G3523/F3523-1,0)</f>
        <v>-0.57081512153975922</v>
      </c>
      <c r="J3523" s="3" t="s">
        <v>4603</v>
      </c>
    </row>
    <row r="3524" spans="1:10" ht="38.25">
      <c r="A3524" s="3" t="s">
        <v>1811</v>
      </c>
      <c r="B3524" s="3" t="s">
        <v>4374</v>
      </c>
      <c r="C3524" s="4">
        <v>45</v>
      </c>
      <c r="D3524" s="3" t="s">
        <v>16</v>
      </c>
      <c r="E3524" s="3" t="s">
        <v>8</v>
      </c>
      <c r="F3524" s="5">
        <v>0</v>
      </c>
      <c r="G3524" s="5">
        <v>3879.81</v>
      </c>
      <c r="H3524" s="5">
        <f t="shared" si="110"/>
        <v>3879.81</v>
      </c>
      <c r="I3524" s="9">
        <f t="shared" si="111"/>
        <v>0</v>
      </c>
      <c r="J3524" s="3" t="s">
        <v>4603</v>
      </c>
    </row>
    <row r="3525" spans="1:10" ht="25.5">
      <c r="A3525" s="3" t="s">
        <v>1811</v>
      </c>
      <c r="B3525" s="3" t="s">
        <v>4375</v>
      </c>
      <c r="C3525" s="4">
        <v>315</v>
      </c>
      <c r="D3525" s="3" t="s">
        <v>79</v>
      </c>
      <c r="E3525" s="3" t="s">
        <v>8</v>
      </c>
      <c r="F3525" s="5">
        <v>9103.83</v>
      </c>
      <c r="G3525" s="5">
        <v>20543.509999999998</v>
      </c>
      <c r="H3525" s="5">
        <f t="shared" si="110"/>
        <v>11439.679999999998</v>
      </c>
      <c r="I3525" s="9">
        <f t="shared" si="111"/>
        <v>1.2565788245167142</v>
      </c>
      <c r="J3525" s="3" t="s">
        <v>4603</v>
      </c>
    </row>
    <row r="3526" spans="1:10" ht="25.5">
      <c r="A3526" s="3" t="s">
        <v>1811</v>
      </c>
      <c r="B3526" s="3" t="s">
        <v>4376</v>
      </c>
      <c r="C3526" s="4">
        <v>297</v>
      </c>
      <c r="D3526" s="3" t="s">
        <v>209</v>
      </c>
      <c r="E3526" s="3" t="s">
        <v>22</v>
      </c>
      <c r="F3526" s="5">
        <v>17447</v>
      </c>
      <c r="G3526" s="5">
        <v>20551.47</v>
      </c>
      <c r="H3526" s="5">
        <f t="shared" si="110"/>
        <v>3104.4700000000012</v>
      </c>
      <c r="I3526" s="9">
        <f t="shared" si="111"/>
        <v>0.17793718117727986</v>
      </c>
      <c r="J3526" s="3" t="s">
        <v>4603</v>
      </c>
    </row>
    <row r="3527" spans="1:10" ht="25.5">
      <c r="A3527" s="3" t="s">
        <v>1811</v>
      </c>
      <c r="B3527" s="3" t="s">
        <v>4377</v>
      </c>
      <c r="C3527" s="4">
        <v>23</v>
      </c>
      <c r="D3527" s="3" t="s">
        <v>71</v>
      </c>
      <c r="E3527" s="3" t="s">
        <v>8</v>
      </c>
      <c r="F3527" s="5">
        <v>5285.1</v>
      </c>
      <c r="G3527" s="5">
        <v>0</v>
      </c>
      <c r="H3527" s="5">
        <f t="shared" si="110"/>
        <v>-5285.1</v>
      </c>
      <c r="I3527" s="9">
        <f t="shared" si="111"/>
        <v>-1</v>
      </c>
      <c r="J3527" s="3" t="s">
        <v>4603</v>
      </c>
    </row>
    <row r="3528" spans="1:10" ht="25.5">
      <c r="A3528" s="3" t="s">
        <v>1811</v>
      </c>
      <c r="B3528" s="3" t="s">
        <v>4378</v>
      </c>
      <c r="C3528" s="4">
        <v>197</v>
      </c>
      <c r="D3528" s="3" t="s">
        <v>23</v>
      </c>
      <c r="E3528" s="3" t="s">
        <v>22</v>
      </c>
      <c r="F3528" s="5">
        <v>7306.8</v>
      </c>
      <c r="G3528" s="5">
        <v>0</v>
      </c>
      <c r="H3528" s="5">
        <f t="shared" si="110"/>
        <v>-7306.8</v>
      </c>
      <c r="I3528" s="9">
        <f t="shared" si="111"/>
        <v>-1</v>
      </c>
      <c r="J3528" s="3" t="s">
        <v>4603</v>
      </c>
    </row>
    <row r="3529" spans="1:10" ht="38.25">
      <c r="A3529" s="3" t="s">
        <v>1811</v>
      </c>
      <c r="B3529" s="3" t="s">
        <v>4379</v>
      </c>
      <c r="C3529" s="4">
        <v>301</v>
      </c>
      <c r="D3529" s="3" t="s">
        <v>12</v>
      </c>
      <c r="E3529" s="3" t="s">
        <v>13</v>
      </c>
      <c r="F3529" s="5">
        <v>10237.14</v>
      </c>
      <c r="G3529" s="5">
        <v>4939.9799999999996</v>
      </c>
      <c r="H3529" s="5">
        <f t="shared" si="110"/>
        <v>-5297.16</v>
      </c>
      <c r="I3529" s="9">
        <f t="shared" si="111"/>
        <v>-0.51744530210586159</v>
      </c>
      <c r="J3529" s="3" t="s">
        <v>4603</v>
      </c>
    </row>
    <row r="3530" spans="1:10" ht="38.25">
      <c r="A3530" s="3" t="s">
        <v>1811</v>
      </c>
      <c r="B3530" s="3" t="s">
        <v>4380</v>
      </c>
      <c r="C3530" s="4">
        <v>45</v>
      </c>
      <c r="D3530" s="3" t="s">
        <v>16</v>
      </c>
      <c r="E3530" s="3" t="s">
        <v>8</v>
      </c>
      <c r="F3530" s="5">
        <v>30672.36</v>
      </c>
      <c r="G3530" s="5">
        <v>43819.95</v>
      </c>
      <c r="H3530" s="5">
        <f t="shared" si="110"/>
        <v>13147.589999999997</v>
      </c>
      <c r="I3530" s="9">
        <f t="shared" si="111"/>
        <v>0.4286461817740792</v>
      </c>
      <c r="J3530" s="3" t="s">
        <v>4603</v>
      </c>
    </row>
    <row r="3531" spans="1:10" ht="25.5">
      <c r="A3531" s="3" t="s">
        <v>1811</v>
      </c>
      <c r="B3531" s="3" t="s">
        <v>4381</v>
      </c>
      <c r="C3531" s="4">
        <v>321</v>
      </c>
      <c r="D3531" s="3" t="s">
        <v>125</v>
      </c>
      <c r="E3531" s="3" t="s">
        <v>22</v>
      </c>
      <c r="F3531" s="5">
        <v>3596.13</v>
      </c>
      <c r="G3531" s="5">
        <v>0</v>
      </c>
      <c r="H3531" s="5">
        <f t="shared" si="110"/>
        <v>-3596.13</v>
      </c>
      <c r="I3531" s="9">
        <f t="shared" si="111"/>
        <v>-1</v>
      </c>
      <c r="J3531" s="3" t="s">
        <v>4603</v>
      </c>
    </row>
    <row r="3532" spans="1:10" ht="25.5">
      <c r="A3532" s="3" t="s">
        <v>1811</v>
      </c>
      <c r="B3532" s="3" t="s">
        <v>4382</v>
      </c>
      <c r="C3532" s="4">
        <v>74</v>
      </c>
      <c r="D3532" s="3" t="s">
        <v>86</v>
      </c>
      <c r="E3532" s="3" t="s">
        <v>8</v>
      </c>
      <c r="F3532" s="5">
        <v>0</v>
      </c>
      <c r="G3532" s="5">
        <v>2590.9</v>
      </c>
      <c r="H3532" s="5">
        <f t="shared" si="110"/>
        <v>2590.9</v>
      </c>
      <c r="I3532" s="9">
        <f t="shared" si="111"/>
        <v>0</v>
      </c>
      <c r="J3532" s="3" t="s">
        <v>4603</v>
      </c>
    </row>
    <row r="3533" spans="1:10" ht="38.25">
      <c r="A3533" s="3" t="s">
        <v>1811</v>
      </c>
      <c r="B3533" s="3" t="s">
        <v>4383</v>
      </c>
      <c r="C3533" s="4">
        <v>45</v>
      </c>
      <c r="D3533" s="3" t="s">
        <v>16</v>
      </c>
      <c r="E3533" s="3" t="s">
        <v>8</v>
      </c>
      <c r="F3533" s="5">
        <v>18299.52</v>
      </c>
      <c r="G3533" s="5">
        <v>7154.46</v>
      </c>
      <c r="H3533" s="5">
        <f t="shared" si="110"/>
        <v>-11145.060000000001</v>
      </c>
      <c r="I3533" s="9">
        <f t="shared" si="111"/>
        <v>-0.60903564683663836</v>
      </c>
      <c r="J3533" s="3" t="s">
        <v>4603</v>
      </c>
    </row>
    <row r="3534" spans="1:10" ht="25.5">
      <c r="A3534" s="3" t="s">
        <v>1811</v>
      </c>
      <c r="B3534" s="3" t="s">
        <v>4384</v>
      </c>
      <c r="C3534" s="4">
        <v>208</v>
      </c>
      <c r="D3534" s="3" t="s">
        <v>58</v>
      </c>
      <c r="E3534" s="3" t="s">
        <v>13</v>
      </c>
      <c r="F3534" s="5">
        <v>12345.72</v>
      </c>
      <c r="G3534" s="5">
        <v>0</v>
      </c>
      <c r="H3534" s="5">
        <f t="shared" si="110"/>
        <v>-12345.72</v>
      </c>
      <c r="I3534" s="9">
        <f t="shared" si="111"/>
        <v>-1</v>
      </c>
      <c r="J3534" s="3" t="s">
        <v>4603</v>
      </c>
    </row>
    <row r="3535" spans="1:10" ht="25.5">
      <c r="A3535" s="3" t="s">
        <v>1811</v>
      </c>
      <c r="B3535" s="3" t="s">
        <v>4385</v>
      </c>
      <c r="C3535" s="4">
        <v>23</v>
      </c>
      <c r="D3535" s="3" t="s">
        <v>71</v>
      </c>
      <c r="E3535" s="3" t="s">
        <v>8</v>
      </c>
      <c r="F3535" s="5">
        <v>20414.97</v>
      </c>
      <c r="G3535" s="5">
        <v>0</v>
      </c>
      <c r="H3535" s="5">
        <f t="shared" si="110"/>
        <v>-20414.97</v>
      </c>
      <c r="I3535" s="9">
        <f t="shared" si="111"/>
        <v>-1</v>
      </c>
      <c r="J3535" s="3" t="s">
        <v>4603</v>
      </c>
    </row>
    <row r="3536" spans="1:10" ht="25.5">
      <c r="A3536" s="3" t="s">
        <v>1811</v>
      </c>
      <c r="B3536" s="3" t="s">
        <v>4386</v>
      </c>
      <c r="C3536" s="4">
        <v>337</v>
      </c>
      <c r="D3536" s="3" t="s">
        <v>218</v>
      </c>
      <c r="E3536" s="3" t="s">
        <v>13</v>
      </c>
      <c r="F3536" s="5">
        <v>0</v>
      </c>
      <c r="G3536" s="5">
        <v>5215.68</v>
      </c>
      <c r="H3536" s="5">
        <f t="shared" si="110"/>
        <v>5215.68</v>
      </c>
      <c r="I3536" s="9">
        <f t="shared" si="111"/>
        <v>0</v>
      </c>
      <c r="J3536" s="3" t="s">
        <v>4603</v>
      </c>
    </row>
    <row r="3537" spans="1:10" ht="25.5">
      <c r="A3537" s="3" t="s">
        <v>1811</v>
      </c>
      <c r="B3537" s="3" t="s">
        <v>4387</v>
      </c>
      <c r="C3537" s="4">
        <v>266</v>
      </c>
      <c r="D3537" s="3" t="s">
        <v>111</v>
      </c>
      <c r="E3537" s="3" t="s">
        <v>18</v>
      </c>
      <c r="F3537" s="5">
        <v>0</v>
      </c>
      <c r="G3537" s="5">
        <v>17273.939999999999</v>
      </c>
      <c r="H3537" s="5">
        <f t="shared" si="110"/>
        <v>17273.939999999999</v>
      </c>
      <c r="I3537" s="9">
        <f t="shared" si="111"/>
        <v>0</v>
      </c>
      <c r="J3537" s="3" t="s">
        <v>4603</v>
      </c>
    </row>
    <row r="3538" spans="1:10" ht="38.25">
      <c r="A3538" s="3" t="s">
        <v>1811</v>
      </c>
      <c r="B3538" s="3" t="s">
        <v>4388</v>
      </c>
      <c r="C3538" s="4">
        <v>45</v>
      </c>
      <c r="D3538" s="3" t="s">
        <v>16</v>
      </c>
      <c r="E3538" s="3" t="s">
        <v>8</v>
      </c>
      <c r="F3538" s="5">
        <v>9037.65</v>
      </c>
      <c r="G3538" s="5">
        <v>18146.099999999999</v>
      </c>
      <c r="H3538" s="5">
        <f t="shared" si="110"/>
        <v>9108.4499999999989</v>
      </c>
      <c r="I3538" s="9">
        <f t="shared" si="111"/>
        <v>1.007833894873114</v>
      </c>
      <c r="J3538" s="3" t="s">
        <v>4603</v>
      </c>
    </row>
    <row r="3539" spans="1:10" ht="38.25">
      <c r="A3539" s="3" t="s">
        <v>1811</v>
      </c>
      <c r="B3539" s="3" t="s">
        <v>4389</v>
      </c>
      <c r="C3539" s="4">
        <v>38</v>
      </c>
      <c r="D3539" s="3" t="s">
        <v>229</v>
      </c>
      <c r="E3539" s="3" t="s">
        <v>30</v>
      </c>
      <c r="F3539" s="5">
        <v>0</v>
      </c>
      <c r="G3539" s="5">
        <v>26875.08</v>
      </c>
      <c r="H3539" s="5">
        <f t="shared" si="110"/>
        <v>26875.08</v>
      </c>
      <c r="I3539" s="9">
        <f t="shared" si="111"/>
        <v>0</v>
      </c>
      <c r="J3539" s="3" t="s">
        <v>4604</v>
      </c>
    </row>
    <row r="3540" spans="1:10" ht="38.25">
      <c r="A3540" s="3" t="s">
        <v>1811</v>
      </c>
      <c r="B3540" s="3" t="s">
        <v>4390</v>
      </c>
      <c r="C3540" s="4">
        <v>292</v>
      </c>
      <c r="D3540" s="3" t="s">
        <v>619</v>
      </c>
      <c r="E3540" s="3" t="s">
        <v>18</v>
      </c>
      <c r="F3540" s="5">
        <v>10168.92</v>
      </c>
      <c r="G3540" s="5">
        <v>0</v>
      </c>
      <c r="H3540" s="5">
        <f t="shared" si="110"/>
        <v>-10168.92</v>
      </c>
      <c r="I3540" s="9">
        <f t="shared" si="111"/>
        <v>-1</v>
      </c>
      <c r="J3540" s="3" t="s">
        <v>4604</v>
      </c>
    </row>
    <row r="3541" spans="1:10">
      <c r="A3541" s="3" t="s">
        <v>1811</v>
      </c>
      <c r="B3541" s="3" t="s">
        <v>4391</v>
      </c>
      <c r="C3541" s="4">
        <v>231</v>
      </c>
      <c r="D3541" s="3" t="s">
        <v>89</v>
      </c>
      <c r="E3541" s="3" t="s">
        <v>8</v>
      </c>
      <c r="F3541" s="5">
        <v>2315.64</v>
      </c>
      <c r="G3541" s="5">
        <v>0</v>
      </c>
      <c r="H3541" s="5">
        <f t="shared" si="110"/>
        <v>-2315.64</v>
      </c>
      <c r="I3541" s="9">
        <f t="shared" si="111"/>
        <v>-1</v>
      </c>
      <c r="J3541" s="3" t="s">
        <v>4603</v>
      </c>
    </row>
    <row r="3542" spans="1:10" ht="25.5">
      <c r="A3542" s="3" t="s">
        <v>1811</v>
      </c>
      <c r="B3542" s="3" t="s">
        <v>4392</v>
      </c>
      <c r="C3542" s="4">
        <v>321</v>
      </c>
      <c r="D3542" s="3" t="s">
        <v>125</v>
      </c>
      <c r="E3542" s="3" t="s">
        <v>22</v>
      </c>
      <c r="F3542" s="5">
        <v>0</v>
      </c>
      <c r="G3542" s="5">
        <v>7652.94</v>
      </c>
      <c r="H3542" s="5">
        <f t="shared" si="110"/>
        <v>7652.94</v>
      </c>
      <c r="I3542" s="9">
        <f t="shared" si="111"/>
        <v>0</v>
      </c>
      <c r="J3542" s="3" t="s">
        <v>4603</v>
      </c>
    </row>
    <row r="3543" spans="1:10" ht="38.25">
      <c r="A3543" s="3" t="s">
        <v>1811</v>
      </c>
      <c r="B3543" s="3" t="s">
        <v>4393</v>
      </c>
      <c r="C3543" s="4">
        <v>45</v>
      </c>
      <c r="D3543" s="3" t="s">
        <v>16</v>
      </c>
      <c r="E3543" s="3" t="s">
        <v>8</v>
      </c>
      <c r="F3543" s="5">
        <v>4103.34</v>
      </c>
      <c r="G3543" s="5">
        <v>0</v>
      </c>
      <c r="H3543" s="5">
        <f t="shared" si="110"/>
        <v>-4103.34</v>
      </c>
      <c r="I3543" s="9">
        <f t="shared" si="111"/>
        <v>-1</v>
      </c>
      <c r="J3543" s="3" t="s">
        <v>4603</v>
      </c>
    </row>
    <row r="3544" spans="1:10" ht="25.5">
      <c r="A3544" s="3" t="s">
        <v>1811</v>
      </c>
      <c r="B3544" s="3" t="s">
        <v>4394</v>
      </c>
      <c r="C3544" s="4">
        <v>297</v>
      </c>
      <c r="D3544" s="3" t="s">
        <v>209</v>
      </c>
      <c r="E3544" s="3" t="s">
        <v>22</v>
      </c>
      <c r="F3544" s="5">
        <v>0</v>
      </c>
      <c r="G3544" s="5">
        <v>11582.699000000001</v>
      </c>
      <c r="H3544" s="5">
        <f t="shared" si="110"/>
        <v>11582.699000000001</v>
      </c>
      <c r="I3544" s="9">
        <f t="shared" si="111"/>
        <v>0</v>
      </c>
      <c r="J3544" s="3" t="s">
        <v>4603</v>
      </c>
    </row>
    <row r="3545" spans="1:10" ht="25.5">
      <c r="A3545" s="3" t="s">
        <v>1811</v>
      </c>
      <c r="B3545" s="3" t="s">
        <v>4395</v>
      </c>
      <c r="C3545" s="4">
        <v>321</v>
      </c>
      <c r="D3545" s="3" t="s">
        <v>125</v>
      </c>
      <c r="E3545" s="3" t="s">
        <v>22</v>
      </c>
      <c r="F3545" s="5">
        <v>20363.82</v>
      </c>
      <c r="G3545" s="5">
        <v>0</v>
      </c>
      <c r="H3545" s="5">
        <f t="shared" si="110"/>
        <v>-20363.82</v>
      </c>
      <c r="I3545" s="9">
        <f t="shared" si="111"/>
        <v>-1</v>
      </c>
      <c r="J3545" s="3" t="s">
        <v>4604</v>
      </c>
    </row>
    <row r="3546" spans="1:10" ht="25.5">
      <c r="A3546" s="3" t="s">
        <v>1811</v>
      </c>
      <c r="B3546" s="3" t="s">
        <v>4396</v>
      </c>
      <c r="C3546" s="4">
        <v>316</v>
      </c>
      <c r="D3546" s="3" t="s">
        <v>167</v>
      </c>
      <c r="E3546" s="3" t="s">
        <v>18</v>
      </c>
      <c r="F3546" s="5">
        <v>7353.48</v>
      </c>
      <c r="G3546" s="5">
        <v>0</v>
      </c>
      <c r="H3546" s="5">
        <f t="shared" si="110"/>
        <v>-7353.48</v>
      </c>
      <c r="I3546" s="9">
        <f t="shared" si="111"/>
        <v>-1</v>
      </c>
      <c r="J3546" s="3" t="s">
        <v>4603</v>
      </c>
    </row>
    <row r="3547" spans="1:10" ht="25.5">
      <c r="A3547" s="3" t="s">
        <v>1811</v>
      </c>
      <c r="B3547" s="3" t="s">
        <v>4397</v>
      </c>
      <c r="C3547" s="4">
        <v>335</v>
      </c>
      <c r="D3547" s="3" t="s">
        <v>7</v>
      </c>
      <c r="E3547" s="3" t="s">
        <v>8</v>
      </c>
      <c r="F3547" s="5">
        <v>0</v>
      </c>
      <c r="G3547" s="5">
        <v>8042.88</v>
      </c>
      <c r="H3547" s="5">
        <f t="shared" si="110"/>
        <v>8042.88</v>
      </c>
      <c r="I3547" s="9">
        <f t="shared" si="111"/>
        <v>0</v>
      </c>
      <c r="J3547" s="3" t="s">
        <v>4603</v>
      </c>
    </row>
    <row r="3548" spans="1:10" ht="25.5">
      <c r="A3548" s="3" t="s">
        <v>1811</v>
      </c>
      <c r="B3548" s="3" t="s">
        <v>4398</v>
      </c>
      <c r="C3548" s="4">
        <v>31</v>
      </c>
      <c r="D3548" s="3" t="s">
        <v>172</v>
      </c>
      <c r="E3548" s="3" t="s">
        <v>13</v>
      </c>
      <c r="F3548" s="5">
        <v>12117.84</v>
      </c>
      <c r="G3548" s="5">
        <v>15586.92</v>
      </c>
      <c r="H3548" s="5">
        <f t="shared" si="110"/>
        <v>3469.08</v>
      </c>
      <c r="I3548" s="9">
        <f t="shared" si="111"/>
        <v>0.28627874274623188</v>
      </c>
      <c r="J3548" s="3" t="s">
        <v>4603</v>
      </c>
    </row>
    <row r="3549" spans="1:10" ht="25.5">
      <c r="A3549" s="3" t="s">
        <v>1811</v>
      </c>
      <c r="B3549" s="3" t="s">
        <v>4399</v>
      </c>
      <c r="C3549" s="4">
        <v>321</v>
      </c>
      <c r="D3549" s="3" t="s">
        <v>125</v>
      </c>
      <c r="E3549" s="3" t="s">
        <v>22</v>
      </c>
      <c r="F3549" s="5">
        <v>3215.4</v>
      </c>
      <c r="G3549" s="5">
        <v>6941.88</v>
      </c>
      <c r="H3549" s="5">
        <f t="shared" si="110"/>
        <v>3726.48</v>
      </c>
      <c r="I3549" s="9">
        <f t="shared" si="111"/>
        <v>1.1589475648441874</v>
      </c>
      <c r="J3549" s="3" t="s">
        <v>4603</v>
      </c>
    </row>
    <row r="3550" spans="1:10">
      <c r="A3550" s="3" t="s">
        <v>1811</v>
      </c>
      <c r="B3550" s="3" t="s">
        <v>4400</v>
      </c>
      <c r="C3550" s="4">
        <v>315</v>
      </c>
      <c r="D3550" s="3" t="s">
        <v>79</v>
      </c>
      <c r="E3550" s="3" t="s">
        <v>8</v>
      </c>
      <c r="F3550" s="5">
        <v>6343.44</v>
      </c>
      <c r="G3550" s="5">
        <v>8125.4639999999999</v>
      </c>
      <c r="H3550" s="5">
        <f t="shared" si="110"/>
        <v>1782.0240000000003</v>
      </c>
      <c r="I3550" s="9">
        <f t="shared" si="111"/>
        <v>0.28092391509969361</v>
      </c>
      <c r="J3550" s="3" t="s">
        <v>4603</v>
      </c>
    </row>
    <row r="3551" spans="1:10">
      <c r="A3551" s="3" t="s">
        <v>1811</v>
      </c>
      <c r="B3551" s="3" t="s">
        <v>4401</v>
      </c>
      <c r="C3551" s="4">
        <v>167</v>
      </c>
      <c r="D3551" s="3" t="s">
        <v>335</v>
      </c>
      <c r="E3551" s="3" t="s">
        <v>30</v>
      </c>
      <c r="F3551" s="5">
        <v>3737.37</v>
      </c>
      <c r="G3551" s="5">
        <v>2454.42</v>
      </c>
      <c r="H3551" s="5">
        <f t="shared" si="110"/>
        <v>-1282.9499999999998</v>
      </c>
      <c r="I3551" s="9">
        <f t="shared" si="111"/>
        <v>-0.34327615408696488</v>
      </c>
      <c r="J3551" s="3" t="s">
        <v>4603</v>
      </c>
    </row>
    <row r="3552" spans="1:10" ht="25.5">
      <c r="A3552" s="3" t="s">
        <v>1811</v>
      </c>
      <c r="B3552" s="3" t="s">
        <v>4402</v>
      </c>
      <c r="C3552" s="4">
        <v>15</v>
      </c>
      <c r="D3552" s="3" t="s">
        <v>33</v>
      </c>
      <c r="E3552" s="3" t="s">
        <v>13</v>
      </c>
      <c r="F3552" s="5">
        <v>0</v>
      </c>
      <c r="G3552" s="5">
        <v>2981.38</v>
      </c>
      <c r="H3552" s="5">
        <f t="shared" si="110"/>
        <v>2981.38</v>
      </c>
      <c r="I3552" s="9">
        <f t="shared" si="111"/>
        <v>0</v>
      </c>
      <c r="J3552" s="3" t="s">
        <v>4603</v>
      </c>
    </row>
    <row r="3553" spans="1:10" ht="25.5">
      <c r="A3553" s="3" t="s">
        <v>1811</v>
      </c>
      <c r="B3553" s="3" t="s">
        <v>4403</v>
      </c>
      <c r="C3553" s="4">
        <v>93</v>
      </c>
      <c r="D3553" s="3" t="s">
        <v>42</v>
      </c>
      <c r="E3553" s="3" t="s">
        <v>8</v>
      </c>
      <c r="F3553" s="5">
        <v>3628.32</v>
      </c>
      <c r="G3553" s="5">
        <v>0</v>
      </c>
      <c r="H3553" s="5">
        <f t="shared" si="110"/>
        <v>-3628.32</v>
      </c>
      <c r="I3553" s="9">
        <f t="shared" si="111"/>
        <v>-1</v>
      </c>
      <c r="J3553" s="3" t="s">
        <v>4603</v>
      </c>
    </row>
    <row r="3554" spans="1:10" ht="25.5">
      <c r="A3554" s="3" t="s">
        <v>1811</v>
      </c>
      <c r="B3554" s="3" t="s">
        <v>4404</v>
      </c>
      <c r="C3554" s="4">
        <v>217</v>
      </c>
      <c r="D3554" s="3" t="s">
        <v>253</v>
      </c>
      <c r="E3554" s="3" t="s">
        <v>13</v>
      </c>
      <c r="F3554" s="5">
        <v>9251.8799999999992</v>
      </c>
      <c r="G3554" s="5">
        <v>0</v>
      </c>
      <c r="H3554" s="5">
        <f t="shared" si="110"/>
        <v>-9251.8799999999992</v>
      </c>
      <c r="I3554" s="9">
        <f t="shared" si="111"/>
        <v>-1</v>
      </c>
      <c r="J3554" s="3" t="s">
        <v>4603</v>
      </c>
    </row>
    <row r="3555" spans="1:10" ht="25.5">
      <c r="A3555" s="3" t="s">
        <v>1811</v>
      </c>
      <c r="B3555" s="3" t="s">
        <v>4405</v>
      </c>
      <c r="C3555" s="4">
        <v>337</v>
      </c>
      <c r="D3555" s="3" t="s">
        <v>218</v>
      </c>
      <c r="E3555" s="3" t="s">
        <v>13</v>
      </c>
      <c r="F3555" s="5">
        <v>4393.4399999999996</v>
      </c>
      <c r="G3555" s="5">
        <v>0</v>
      </c>
      <c r="H3555" s="5">
        <f t="shared" si="110"/>
        <v>-4393.4399999999996</v>
      </c>
      <c r="I3555" s="9">
        <f t="shared" si="111"/>
        <v>-1</v>
      </c>
      <c r="J3555" s="3" t="s">
        <v>4603</v>
      </c>
    </row>
    <row r="3556" spans="1:10" ht="25.5">
      <c r="A3556" s="3" t="s">
        <v>1811</v>
      </c>
      <c r="B3556" s="3" t="s">
        <v>4406</v>
      </c>
      <c r="C3556" s="4">
        <v>261</v>
      </c>
      <c r="D3556" s="3" t="s">
        <v>17</v>
      </c>
      <c r="E3556" s="3" t="s">
        <v>18</v>
      </c>
      <c r="F3556" s="5">
        <v>6613.86</v>
      </c>
      <c r="G3556" s="5">
        <v>0</v>
      </c>
      <c r="H3556" s="5">
        <f t="shared" si="110"/>
        <v>-6613.86</v>
      </c>
      <c r="I3556" s="9">
        <f t="shared" si="111"/>
        <v>-1</v>
      </c>
      <c r="J3556" s="3" t="s">
        <v>4604</v>
      </c>
    </row>
    <row r="3557" spans="1:10" ht="25.5">
      <c r="A3557" s="3" t="s">
        <v>1811</v>
      </c>
      <c r="B3557" s="3" t="s">
        <v>4407</v>
      </c>
      <c r="C3557" s="4">
        <v>327</v>
      </c>
      <c r="D3557" s="3" t="s">
        <v>76</v>
      </c>
      <c r="E3557" s="3" t="s">
        <v>8</v>
      </c>
      <c r="F3557" s="5">
        <v>4907.16</v>
      </c>
      <c r="G3557" s="5">
        <v>4288.0119999999997</v>
      </c>
      <c r="H3557" s="5">
        <f t="shared" si="110"/>
        <v>-619.14800000000014</v>
      </c>
      <c r="I3557" s="9">
        <f t="shared" si="111"/>
        <v>-0.1261723685390328</v>
      </c>
      <c r="J3557" s="3" t="s">
        <v>4603</v>
      </c>
    </row>
    <row r="3558" spans="1:10" ht="38.25">
      <c r="A3558" s="3" t="s">
        <v>1811</v>
      </c>
      <c r="B3558" s="3" t="s">
        <v>4408</v>
      </c>
      <c r="C3558" s="4">
        <v>45</v>
      </c>
      <c r="D3558" s="3" t="s">
        <v>16</v>
      </c>
      <c r="E3558" s="3" t="s">
        <v>8</v>
      </c>
      <c r="F3558" s="5">
        <v>0</v>
      </c>
      <c r="G3558" s="5">
        <v>2113.5</v>
      </c>
      <c r="H3558" s="5">
        <f t="shared" si="110"/>
        <v>2113.5</v>
      </c>
      <c r="I3558" s="9">
        <f t="shared" si="111"/>
        <v>0</v>
      </c>
      <c r="J3558" s="3" t="s">
        <v>4603</v>
      </c>
    </row>
    <row r="3559" spans="1:10" ht="38.25">
      <c r="A3559" s="3" t="s">
        <v>1811</v>
      </c>
      <c r="B3559" s="3" t="s">
        <v>4409</v>
      </c>
      <c r="C3559" s="4">
        <v>45</v>
      </c>
      <c r="D3559" s="3" t="s">
        <v>16</v>
      </c>
      <c r="E3559" s="3" t="s">
        <v>8</v>
      </c>
      <c r="F3559" s="5">
        <v>5594.13</v>
      </c>
      <c r="G3559" s="5">
        <v>6517.98</v>
      </c>
      <c r="H3559" s="5">
        <f t="shared" si="110"/>
        <v>923.84999999999945</v>
      </c>
      <c r="I3559" s="9">
        <f t="shared" si="111"/>
        <v>0.16514632302073773</v>
      </c>
      <c r="J3559" s="3" t="s">
        <v>4603</v>
      </c>
    </row>
    <row r="3560" spans="1:10" ht="38.25">
      <c r="A3560" s="3" t="s">
        <v>1811</v>
      </c>
      <c r="B3560" s="3" t="s">
        <v>4410</v>
      </c>
      <c r="C3560" s="4">
        <v>11</v>
      </c>
      <c r="D3560" s="3" t="s">
        <v>55</v>
      </c>
      <c r="E3560" s="3" t="s">
        <v>18</v>
      </c>
      <c r="F3560" s="5">
        <v>0</v>
      </c>
      <c r="G3560" s="5">
        <v>21838.251</v>
      </c>
      <c r="H3560" s="5">
        <f t="shared" si="110"/>
        <v>21838.251</v>
      </c>
      <c r="I3560" s="9">
        <f t="shared" si="111"/>
        <v>0</v>
      </c>
      <c r="J3560" s="3" t="s">
        <v>4603</v>
      </c>
    </row>
    <row r="3561" spans="1:10" ht="25.5">
      <c r="A3561" s="3" t="s">
        <v>1811</v>
      </c>
      <c r="B3561" s="3" t="s">
        <v>4411</v>
      </c>
      <c r="C3561" s="4">
        <v>261</v>
      </c>
      <c r="D3561" s="3" t="s">
        <v>17</v>
      </c>
      <c r="E3561" s="3" t="s">
        <v>18</v>
      </c>
      <c r="F3561" s="5">
        <v>13855.68</v>
      </c>
      <c r="G3561" s="5">
        <v>17439.78</v>
      </c>
      <c r="H3561" s="5">
        <f t="shared" si="110"/>
        <v>3584.0999999999985</v>
      </c>
      <c r="I3561" s="9">
        <f t="shared" si="111"/>
        <v>0.2586736991616434</v>
      </c>
      <c r="J3561" s="3" t="s">
        <v>4603</v>
      </c>
    </row>
    <row r="3562" spans="1:10" ht="25.5">
      <c r="A3562" s="3" t="s">
        <v>1811</v>
      </c>
      <c r="B3562" s="3" t="s">
        <v>4412</v>
      </c>
      <c r="C3562" s="4">
        <v>31</v>
      </c>
      <c r="D3562" s="3" t="s">
        <v>172</v>
      </c>
      <c r="E3562" s="3" t="s">
        <v>13</v>
      </c>
      <c r="F3562" s="5">
        <v>10405.68</v>
      </c>
      <c r="G3562" s="5">
        <v>9687.24</v>
      </c>
      <c r="H3562" s="5">
        <f t="shared" si="110"/>
        <v>-718.44000000000051</v>
      </c>
      <c r="I3562" s="9">
        <f t="shared" si="111"/>
        <v>-6.904306109740066E-2</v>
      </c>
      <c r="J3562" s="3" t="s">
        <v>4603</v>
      </c>
    </row>
    <row r="3563" spans="1:10" ht="25.5">
      <c r="A3563" s="3" t="s">
        <v>1811</v>
      </c>
      <c r="B3563" s="3" t="s">
        <v>4413</v>
      </c>
      <c r="C3563" s="4">
        <v>31</v>
      </c>
      <c r="D3563" s="3" t="s">
        <v>172</v>
      </c>
      <c r="E3563" s="3" t="s">
        <v>13</v>
      </c>
      <c r="F3563" s="5">
        <v>0</v>
      </c>
      <c r="G3563" s="5">
        <v>8256</v>
      </c>
      <c r="H3563" s="5">
        <f t="shared" si="110"/>
        <v>8256</v>
      </c>
      <c r="I3563" s="9">
        <f t="shared" si="111"/>
        <v>0</v>
      </c>
      <c r="J3563" s="3" t="s">
        <v>4603</v>
      </c>
    </row>
    <row r="3564" spans="1:10" ht="38.25">
      <c r="A3564" s="3" t="s">
        <v>1811</v>
      </c>
      <c r="B3564" s="3" t="s">
        <v>4414</v>
      </c>
      <c r="C3564" s="4">
        <v>371</v>
      </c>
      <c r="D3564" s="3" t="s">
        <v>29</v>
      </c>
      <c r="E3564" s="3" t="s">
        <v>30</v>
      </c>
      <c r="F3564" s="5">
        <v>0</v>
      </c>
      <c r="G3564" s="5">
        <v>3995.04</v>
      </c>
      <c r="H3564" s="5">
        <f t="shared" si="110"/>
        <v>3995.04</v>
      </c>
      <c r="I3564" s="9">
        <f t="shared" si="111"/>
        <v>0</v>
      </c>
      <c r="J3564" s="3" t="s">
        <v>4603</v>
      </c>
    </row>
    <row r="3565" spans="1:10" ht="25.5">
      <c r="A3565" s="3" t="s">
        <v>1811</v>
      </c>
      <c r="B3565" s="3" t="s">
        <v>4415</v>
      </c>
      <c r="C3565" s="4">
        <v>194</v>
      </c>
      <c r="D3565" s="3" t="s">
        <v>179</v>
      </c>
      <c r="E3565" s="3" t="s">
        <v>13</v>
      </c>
      <c r="F3565" s="5">
        <v>12627.84</v>
      </c>
      <c r="G3565" s="5">
        <v>10393.620000000001</v>
      </c>
      <c r="H3565" s="5">
        <f t="shared" si="110"/>
        <v>-2234.2199999999993</v>
      </c>
      <c r="I3565" s="9">
        <f t="shared" si="111"/>
        <v>-0.17692812072373421</v>
      </c>
      <c r="J3565" s="3" t="s">
        <v>4603</v>
      </c>
    </row>
    <row r="3566" spans="1:10" ht="38.25">
      <c r="A3566" s="3" t="s">
        <v>1811</v>
      </c>
      <c r="B3566" s="3" t="s">
        <v>4416</v>
      </c>
      <c r="C3566" s="4">
        <v>371</v>
      </c>
      <c r="D3566" s="3" t="s">
        <v>29</v>
      </c>
      <c r="E3566" s="3" t="s">
        <v>18</v>
      </c>
      <c r="F3566" s="5">
        <v>2963.4</v>
      </c>
      <c r="G3566" s="5">
        <v>3310.5079999999998</v>
      </c>
      <c r="H3566" s="5">
        <f t="shared" si="110"/>
        <v>347.10799999999972</v>
      </c>
      <c r="I3566" s="9">
        <f t="shared" si="111"/>
        <v>0.11713167307822081</v>
      </c>
      <c r="J3566" s="3" t="s">
        <v>4603</v>
      </c>
    </row>
    <row r="3567" spans="1:10" ht="38.25">
      <c r="A3567" s="3" t="s">
        <v>1811</v>
      </c>
      <c r="B3567" s="3" t="s">
        <v>4416</v>
      </c>
      <c r="C3567" s="4">
        <v>371</v>
      </c>
      <c r="D3567" s="3" t="s">
        <v>29</v>
      </c>
      <c r="E3567" s="3" t="s">
        <v>30</v>
      </c>
      <c r="F3567" s="5">
        <v>2963.4</v>
      </c>
      <c r="G3567" s="5">
        <v>3310.5079999999998</v>
      </c>
      <c r="H3567" s="5">
        <f t="shared" si="110"/>
        <v>347.10799999999972</v>
      </c>
      <c r="I3567" s="9">
        <f t="shared" si="111"/>
        <v>0.11713167307822081</v>
      </c>
      <c r="J3567" s="3" t="s">
        <v>4603</v>
      </c>
    </row>
    <row r="3568" spans="1:10">
      <c r="A3568" s="3" t="s">
        <v>1811</v>
      </c>
      <c r="B3568" s="3" t="s">
        <v>4417</v>
      </c>
      <c r="C3568" s="4">
        <v>231</v>
      </c>
      <c r="D3568" s="3" t="s">
        <v>89</v>
      </c>
      <c r="E3568" s="3" t="s">
        <v>8</v>
      </c>
      <c r="F3568" s="5">
        <v>7612.08</v>
      </c>
      <c r="G3568" s="5">
        <v>3732.72</v>
      </c>
      <c r="H3568" s="5">
        <f t="shared" si="110"/>
        <v>-3879.36</v>
      </c>
      <c r="I3568" s="9">
        <f t="shared" si="111"/>
        <v>-0.50963205851751425</v>
      </c>
      <c r="J3568" s="3" t="s">
        <v>4603</v>
      </c>
    </row>
    <row r="3569" spans="1:10" ht="38.25">
      <c r="A3569" s="3" t="s">
        <v>1811</v>
      </c>
      <c r="B3569" s="3" t="s">
        <v>4418</v>
      </c>
      <c r="C3569" s="4">
        <v>333</v>
      </c>
      <c r="D3569" s="3" t="s">
        <v>1881</v>
      </c>
      <c r="E3569" s="3" t="s">
        <v>22</v>
      </c>
      <c r="F3569" s="5">
        <v>0</v>
      </c>
      <c r="G3569" s="5">
        <v>4900.32</v>
      </c>
      <c r="H3569" s="5">
        <f t="shared" si="110"/>
        <v>4900.32</v>
      </c>
      <c r="I3569" s="9">
        <f t="shared" si="111"/>
        <v>0</v>
      </c>
      <c r="J3569" s="3" t="s">
        <v>4603</v>
      </c>
    </row>
    <row r="3570" spans="1:10" ht="25.5">
      <c r="A3570" s="3" t="s">
        <v>1811</v>
      </c>
      <c r="B3570" s="3" t="s">
        <v>4419</v>
      </c>
      <c r="C3570" s="4">
        <v>337</v>
      </c>
      <c r="D3570" s="3" t="s">
        <v>218</v>
      </c>
      <c r="E3570" s="3" t="s">
        <v>13</v>
      </c>
      <c r="F3570" s="5">
        <v>0</v>
      </c>
      <c r="G3570" s="5">
        <v>6125.28</v>
      </c>
      <c r="H3570" s="5">
        <f t="shared" si="110"/>
        <v>6125.28</v>
      </c>
      <c r="I3570" s="9">
        <f t="shared" si="111"/>
        <v>0</v>
      </c>
      <c r="J3570" s="3" t="s">
        <v>4603</v>
      </c>
    </row>
    <row r="3571" spans="1:10" ht="25.5">
      <c r="A3571" s="3" t="s">
        <v>1811</v>
      </c>
      <c r="B3571" s="3" t="s">
        <v>4420</v>
      </c>
      <c r="C3571" s="4">
        <v>74</v>
      </c>
      <c r="D3571" s="3" t="s">
        <v>86</v>
      </c>
      <c r="E3571" s="3" t="s">
        <v>8</v>
      </c>
      <c r="F3571" s="5">
        <v>2161.8000000000002</v>
      </c>
      <c r="G3571" s="5">
        <v>8889.93</v>
      </c>
      <c r="H3571" s="5">
        <f t="shared" si="110"/>
        <v>6728.13</v>
      </c>
      <c r="I3571" s="9">
        <f t="shared" si="111"/>
        <v>3.1122814321398833</v>
      </c>
      <c r="J3571" s="3" t="s">
        <v>4603</v>
      </c>
    </row>
    <row r="3572" spans="1:10" ht="25.5">
      <c r="A3572" s="3" t="s">
        <v>1811</v>
      </c>
      <c r="B3572" s="3" t="s">
        <v>4421</v>
      </c>
      <c r="C3572" s="4">
        <v>194</v>
      </c>
      <c r="D3572" s="3" t="s">
        <v>179</v>
      </c>
      <c r="E3572" s="3" t="s">
        <v>13</v>
      </c>
      <c r="F3572" s="5">
        <v>3455.52</v>
      </c>
      <c r="G3572" s="5">
        <v>0</v>
      </c>
      <c r="H3572" s="5">
        <f t="shared" si="110"/>
        <v>-3455.52</v>
      </c>
      <c r="I3572" s="9">
        <f t="shared" si="111"/>
        <v>-1</v>
      </c>
      <c r="J3572" s="3" t="s">
        <v>4603</v>
      </c>
    </row>
    <row r="3573" spans="1:10" ht="25.5">
      <c r="A3573" s="3" t="s">
        <v>1811</v>
      </c>
      <c r="B3573" s="3" t="s">
        <v>4422</v>
      </c>
      <c r="C3573" s="4">
        <v>74</v>
      </c>
      <c r="D3573" s="3" t="s">
        <v>86</v>
      </c>
      <c r="E3573" s="3" t="s">
        <v>8</v>
      </c>
      <c r="F3573" s="5">
        <v>37584.6</v>
      </c>
      <c r="G3573" s="5">
        <v>4294.32</v>
      </c>
      <c r="H3573" s="5">
        <f t="shared" si="110"/>
        <v>-33290.28</v>
      </c>
      <c r="I3573" s="9">
        <f t="shared" si="111"/>
        <v>-0.88574256477387014</v>
      </c>
      <c r="J3573" s="3" t="s">
        <v>4603</v>
      </c>
    </row>
    <row r="3574" spans="1:10">
      <c r="A3574" s="3" t="s">
        <v>1811</v>
      </c>
      <c r="B3574" s="3" t="s">
        <v>4423</v>
      </c>
      <c r="C3574" s="4">
        <v>232</v>
      </c>
      <c r="D3574" s="3" t="s">
        <v>95</v>
      </c>
      <c r="E3574" s="3" t="s">
        <v>13</v>
      </c>
      <c r="F3574" s="5">
        <v>17993.759999999998</v>
      </c>
      <c r="G3574" s="5">
        <v>17634.48</v>
      </c>
      <c r="H3574" s="5">
        <f t="shared" si="110"/>
        <v>-359.27999999999884</v>
      </c>
      <c r="I3574" s="9">
        <f t="shared" si="111"/>
        <v>-1.9966921866246934E-2</v>
      </c>
      <c r="J3574" s="3" t="s">
        <v>4603</v>
      </c>
    </row>
    <row r="3575" spans="1:10" ht="25.5">
      <c r="A3575" s="3" t="s">
        <v>1811</v>
      </c>
      <c r="B3575" s="3" t="s">
        <v>4424</v>
      </c>
      <c r="C3575" s="4">
        <v>273</v>
      </c>
      <c r="D3575" s="3" t="s">
        <v>771</v>
      </c>
      <c r="E3575" s="3" t="s">
        <v>18</v>
      </c>
      <c r="F3575" s="5">
        <v>8551.44</v>
      </c>
      <c r="G3575" s="5">
        <v>0</v>
      </c>
      <c r="H3575" s="5">
        <f t="shared" si="110"/>
        <v>-8551.44</v>
      </c>
      <c r="I3575" s="9">
        <f t="shared" si="111"/>
        <v>-1</v>
      </c>
      <c r="J3575" s="3" t="s">
        <v>4603</v>
      </c>
    </row>
    <row r="3576" spans="1:10" ht="25.5">
      <c r="A3576" s="3" t="s">
        <v>1811</v>
      </c>
      <c r="B3576" s="3" t="s">
        <v>4425</v>
      </c>
      <c r="C3576" s="4">
        <v>53</v>
      </c>
      <c r="D3576" s="3" t="s">
        <v>340</v>
      </c>
      <c r="E3576" s="3" t="s">
        <v>13</v>
      </c>
      <c r="F3576" s="5">
        <v>0</v>
      </c>
      <c r="G3576" s="5">
        <v>6455.16</v>
      </c>
      <c r="H3576" s="5">
        <f t="shared" si="110"/>
        <v>6455.16</v>
      </c>
      <c r="I3576" s="9">
        <f t="shared" si="111"/>
        <v>0</v>
      </c>
      <c r="J3576" s="3" t="s">
        <v>4603</v>
      </c>
    </row>
    <row r="3577" spans="1:10">
      <c r="A3577" s="3" t="s">
        <v>1811</v>
      </c>
      <c r="B3577" s="3" t="s">
        <v>4426</v>
      </c>
      <c r="C3577" s="4">
        <v>232</v>
      </c>
      <c r="D3577" s="3" t="s">
        <v>95</v>
      </c>
      <c r="E3577" s="3" t="s">
        <v>13</v>
      </c>
      <c r="F3577" s="5">
        <v>14694.6</v>
      </c>
      <c r="G3577" s="5">
        <v>10000.56</v>
      </c>
      <c r="H3577" s="5">
        <f t="shared" si="110"/>
        <v>-4694.0400000000009</v>
      </c>
      <c r="I3577" s="9">
        <f t="shared" si="111"/>
        <v>-0.31943979421011803</v>
      </c>
      <c r="J3577" s="3" t="s">
        <v>4603</v>
      </c>
    </row>
    <row r="3578" spans="1:10" ht="25.5">
      <c r="A3578" s="3" t="s">
        <v>1811</v>
      </c>
      <c r="B3578" s="3" t="s">
        <v>4427</v>
      </c>
      <c r="C3578" s="4">
        <v>194</v>
      </c>
      <c r="D3578" s="3" t="s">
        <v>179</v>
      </c>
      <c r="E3578" s="3" t="s">
        <v>13</v>
      </c>
      <c r="F3578" s="5">
        <v>0</v>
      </c>
      <c r="G3578" s="5">
        <v>10093.44</v>
      </c>
      <c r="H3578" s="5">
        <f t="shared" si="110"/>
        <v>10093.44</v>
      </c>
      <c r="I3578" s="9">
        <f t="shared" si="111"/>
        <v>0</v>
      </c>
      <c r="J3578" s="3" t="s">
        <v>4603</v>
      </c>
    </row>
    <row r="3579" spans="1:10" ht="25.5">
      <c r="A3579" s="3" t="s">
        <v>1811</v>
      </c>
      <c r="B3579" s="3" t="s">
        <v>4428</v>
      </c>
      <c r="C3579" s="4">
        <v>266</v>
      </c>
      <c r="D3579" s="3" t="s">
        <v>111</v>
      </c>
      <c r="E3579" s="3" t="s">
        <v>18</v>
      </c>
      <c r="F3579" s="5">
        <v>9059.2800000000007</v>
      </c>
      <c r="G3579" s="5">
        <v>0</v>
      </c>
      <c r="H3579" s="5">
        <f t="shared" si="110"/>
        <v>-9059.2800000000007</v>
      </c>
      <c r="I3579" s="9">
        <f t="shared" si="111"/>
        <v>-1</v>
      </c>
      <c r="J3579" s="3" t="s">
        <v>4603</v>
      </c>
    </row>
    <row r="3580" spans="1:10" ht="38.25">
      <c r="A3580" s="3" t="s">
        <v>1811</v>
      </c>
      <c r="B3580" s="3" t="s">
        <v>4429</v>
      </c>
      <c r="C3580" s="4">
        <v>371</v>
      </c>
      <c r="D3580" s="3" t="s">
        <v>29</v>
      </c>
      <c r="E3580" s="3" t="s">
        <v>30</v>
      </c>
      <c r="F3580" s="5">
        <v>0</v>
      </c>
      <c r="G3580" s="5">
        <v>1831.4670000000001</v>
      </c>
      <c r="H3580" s="5">
        <f t="shared" si="110"/>
        <v>1831.4670000000001</v>
      </c>
      <c r="I3580" s="9">
        <f t="shared" si="111"/>
        <v>0</v>
      </c>
      <c r="J3580" s="3" t="s">
        <v>4603</v>
      </c>
    </row>
    <row r="3581" spans="1:10">
      <c r="A3581" s="3" t="s">
        <v>1811</v>
      </c>
      <c r="B3581" s="3" t="s">
        <v>4430</v>
      </c>
      <c r="C3581" s="4">
        <v>231</v>
      </c>
      <c r="D3581" s="3" t="s">
        <v>89</v>
      </c>
      <c r="E3581" s="3" t="s">
        <v>8</v>
      </c>
      <c r="F3581" s="5">
        <v>10222.379999999999</v>
      </c>
      <c r="G3581" s="5">
        <v>4234.59</v>
      </c>
      <c r="H3581" s="5">
        <f t="shared" si="110"/>
        <v>-5987.7899999999991</v>
      </c>
      <c r="I3581" s="9">
        <f t="shared" si="111"/>
        <v>-0.58575302424679965</v>
      </c>
      <c r="J3581" s="3" t="s">
        <v>4603</v>
      </c>
    </row>
    <row r="3582" spans="1:10" ht="25.5">
      <c r="A3582" s="3" t="s">
        <v>1811</v>
      </c>
      <c r="B3582" s="3" t="s">
        <v>4431</v>
      </c>
      <c r="C3582" s="4">
        <v>61</v>
      </c>
      <c r="D3582" s="3" t="s">
        <v>114</v>
      </c>
      <c r="E3582" s="3" t="s">
        <v>30</v>
      </c>
      <c r="F3582" s="5">
        <v>0</v>
      </c>
      <c r="G3582" s="5">
        <v>11940.09</v>
      </c>
      <c r="H3582" s="5">
        <f t="shared" si="110"/>
        <v>11940.09</v>
      </c>
      <c r="I3582" s="9">
        <f t="shared" si="111"/>
        <v>0</v>
      </c>
      <c r="J3582" s="3" t="s">
        <v>4603</v>
      </c>
    </row>
    <row r="3583" spans="1:10" ht="25.5">
      <c r="A3583" s="3" t="s">
        <v>1811</v>
      </c>
      <c r="B3583" s="3" t="s">
        <v>4432</v>
      </c>
      <c r="C3583" s="4">
        <v>61</v>
      </c>
      <c r="D3583" s="3" t="s">
        <v>114</v>
      </c>
      <c r="E3583" s="3" t="s">
        <v>30</v>
      </c>
      <c r="F3583" s="5">
        <v>3431.52</v>
      </c>
      <c r="G3583" s="5">
        <v>0</v>
      </c>
      <c r="H3583" s="5">
        <f t="shared" si="110"/>
        <v>-3431.52</v>
      </c>
      <c r="I3583" s="9">
        <f t="shared" si="111"/>
        <v>-1</v>
      </c>
      <c r="J3583" s="3" t="s">
        <v>4603</v>
      </c>
    </row>
    <row r="3584" spans="1:10">
      <c r="A3584" s="3" t="s">
        <v>1811</v>
      </c>
      <c r="B3584" s="3" t="s">
        <v>4433</v>
      </c>
      <c r="C3584" s="4">
        <v>315</v>
      </c>
      <c r="D3584" s="3" t="s">
        <v>79</v>
      </c>
      <c r="E3584" s="3" t="s">
        <v>8</v>
      </c>
      <c r="F3584" s="5">
        <v>0</v>
      </c>
      <c r="G3584" s="5">
        <v>1947.6</v>
      </c>
      <c r="H3584" s="5">
        <f t="shared" si="110"/>
        <v>1947.6</v>
      </c>
      <c r="I3584" s="9">
        <f t="shared" si="111"/>
        <v>0</v>
      </c>
      <c r="J3584" s="3" t="s">
        <v>4603</v>
      </c>
    </row>
    <row r="3585" spans="1:10" ht="25.5">
      <c r="A3585" s="3" t="s">
        <v>1811</v>
      </c>
      <c r="B3585" s="3" t="s">
        <v>4434</v>
      </c>
      <c r="C3585" s="4">
        <v>297</v>
      </c>
      <c r="D3585" s="3" t="s">
        <v>209</v>
      </c>
      <c r="E3585" s="3" t="s">
        <v>22</v>
      </c>
      <c r="F3585" s="5">
        <v>10087.19</v>
      </c>
      <c r="G3585" s="5">
        <v>16719.523000000001</v>
      </c>
      <c r="H3585" s="5">
        <f t="shared" si="110"/>
        <v>6632.3330000000005</v>
      </c>
      <c r="I3585" s="9">
        <f t="shared" si="111"/>
        <v>0.6575005526811728</v>
      </c>
      <c r="J3585" s="3" t="s">
        <v>4603</v>
      </c>
    </row>
    <row r="3586" spans="1:10" ht="25.5">
      <c r="A3586" s="3" t="s">
        <v>1811</v>
      </c>
      <c r="B3586" s="3" t="s">
        <v>4435</v>
      </c>
      <c r="C3586" s="4">
        <v>321</v>
      </c>
      <c r="D3586" s="3" t="s">
        <v>125</v>
      </c>
      <c r="E3586" s="3" t="s">
        <v>22</v>
      </c>
      <c r="F3586" s="5">
        <v>31228.17</v>
      </c>
      <c r="G3586" s="5">
        <v>44337.82</v>
      </c>
      <c r="H3586" s="5">
        <f t="shared" si="110"/>
        <v>13109.650000000001</v>
      </c>
      <c r="I3586" s="9">
        <f t="shared" si="111"/>
        <v>0.41980205692488548</v>
      </c>
      <c r="J3586" s="3" t="s">
        <v>4603</v>
      </c>
    </row>
    <row r="3587" spans="1:10" ht="25.5">
      <c r="A3587" s="3" t="s">
        <v>1811</v>
      </c>
      <c r="B3587" s="3" t="s">
        <v>4436</v>
      </c>
      <c r="C3587" s="4">
        <v>299</v>
      </c>
      <c r="D3587" s="3" t="s">
        <v>246</v>
      </c>
      <c r="E3587" s="3" t="s">
        <v>30</v>
      </c>
      <c r="F3587" s="5">
        <v>5554.77</v>
      </c>
      <c r="G3587" s="5">
        <v>0</v>
      </c>
      <c r="H3587" s="5">
        <f t="shared" ref="H3587:H3650" si="112">G3587-F3587</f>
        <v>-5554.77</v>
      </c>
      <c r="I3587" s="9">
        <f t="shared" ref="I3587:I3650" si="113">IFERROR(G3587/F3587-1,0)</f>
        <v>-1</v>
      </c>
      <c r="J3587" s="3" t="s">
        <v>4603</v>
      </c>
    </row>
    <row r="3588" spans="1:10" ht="38.25">
      <c r="A3588" s="3" t="s">
        <v>1811</v>
      </c>
      <c r="B3588" s="3" t="s">
        <v>4437</v>
      </c>
      <c r="C3588" s="4">
        <v>292</v>
      </c>
      <c r="D3588" s="3" t="s">
        <v>619</v>
      </c>
      <c r="E3588" s="3" t="s">
        <v>30</v>
      </c>
      <c r="F3588" s="5">
        <v>0</v>
      </c>
      <c r="G3588" s="5">
        <v>359.4</v>
      </c>
      <c r="H3588" s="5">
        <f t="shared" si="112"/>
        <v>359.4</v>
      </c>
      <c r="I3588" s="9">
        <f t="shared" si="113"/>
        <v>0</v>
      </c>
      <c r="J3588" s="3" t="s">
        <v>4603</v>
      </c>
    </row>
    <row r="3589" spans="1:10" ht="25.5">
      <c r="A3589" s="3" t="s">
        <v>1811</v>
      </c>
      <c r="B3589" s="3" t="s">
        <v>4438</v>
      </c>
      <c r="C3589" s="4">
        <v>178</v>
      </c>
      <c r="D3589" s="3" t="s">
        <v>92</v>
      </c>
      <c r="E3589" s="3" t="s">
        <v>8</v>
      </c>
      <c r="F3589" s="5">
        <v>16215.36</v>
      </c>
      <c r="G3589" s="5">
        <v>0</v>
      </c>
      <c r="H3589" s="5">
        <f t="shared" si="112"/>
        <v>-16215.36</v>
      </c>
      <c r="I3589" s="9">
        <f t="shared" si="113"/>
        <v>-1</v>
      </c>
      <c r="J3589" s="3" t="s">
        <v>4604</v>
      </c>
    </row>
    <row r="3590" spans="1:10" ht="25.5">
      <c r="A3590" s="3" t="s">
        <v>1811</v>
      </c>
      <c r="B3590" s="3" t="s">
        <v>4439</v>
      </c>
      <c r="C3590" s="4">
        <v>39</v>
      </c>
      <c r="D3590" s="3" t="s">
        <v>26</v>
      </c>
      <c r="E3590" s="3" t="s">
        <v>9</v>
      </c>
      <c r="F3590" s="5">
        <v>0</v>
      </c>
      <c r="G3590" s="5">
        <v>4769.67</v>
      </c>
      <c r="H3590" s="5">
        <f t="shared" si="112"/>
        <v>4769.67</v>
      </c>
      <c r="I3590" s="9">
        <f t="shared" si="113"/>
        <v>0</v>
      </c>
      <c r="J3590" s="3" t="s">
        <v>4603</v>
      </c>
    </row>
    <row r="3591" spans="1:10" ht="25.5">
      <c r="A3591" s="3" t="s">
        <v>1811</v>
      </c>
      <c r="B3591" s="3" t="s">
        <v>4440</v>
      </c>
      <c r="C3591" s="4">
        <v>19</v>
      </c>
      <c r="D3591" s="3" t="s">
        <v>53</v>
      </c>
      <c r="E3591" s="3" t="s">
        <v>22</v>
      </c>
      <c r="F3591" s="5">
        <v>2423.64</v>
      </c>
      <c r="G3591" s="5">
        <v>0</v>
      </c>
      <c r="H3591" s="5">
        <f t="shared" si="112"/>
        <v>-2423.64</v>
      </c>
      <c r="I3591" s="9">
        <f t="shared" si="113"/>
        <v>-1</v>
      </c>
      <c r="J3591" s="3" t="s">
        <v>4603</v>
      </c>
    </row>
    <row r="3592" spans="1:10" ht="25.5">
      <c r="A3592" s="3" t="s">
        <v>1811</v>
      </c>
      <c r="B3592" s="3" t="s">
        <v>4441</v>
      </c>
      <c r="C3592" s="4">
        <v>23</v>
      </c>
      <c r="D3592" s="3" t="s">
        <v>71</v>
      </c>
      <c r="E3592" s="3" t="s">
        <v>8</v>
      </c>
      <c r="F3592" s="5">
        <v>19011.060000000001</v>
      </c>
      <c r="G3592" s="5">
        <v>18803.310000000001</v>
      </c>
      <c r="H3592" s="5">
        <f t="shared" si="112"/>
        <v>-207.75</v>
      </c>
      <c r="I3592" s="9">
        <f t="shared" si="113"/>
        <v>-1.0927849367683873E-2</v>
      </c>
      <c r="J3592" s="3" t="s">
        <v>4603</v>
      </c>
    </row>
    <row r="3593" spans="1:10" ht="25.5">
      <c r="A3593" s="3" t="s">
        <v>1811</v>
      </c>
      <c r="B3593" s="3" t="s">
        <v>4442</v>
      </c>
      <c r="C3593" s="4">
        <v>167</v>
      </c>
      <c r="D3593" s="3" t="s">
        <v>335</v>
      </c>
      <c r="E3593" s="3" t="s">
        <v>30</v>
      </c>
      <c r="F3593" s="5">
        <v>0</v>
      </c>
      <c r="G3593" s="5">
        <v>9171.6299999999992</v>
      </c>
      <c r="H3593" s="5">
        <f t="shared" si="112"/>
        <v>9171.6299999999992</v>
      </c>
      <c r="I3593" s="9">
        <f t="shared" si="113"/>
        <v>0</v>
      </c>
      <c r="J3593" s="3" t="s">
        <v>4603</v>
      </c>
    </row>
    <row r="3594" spans="1:10" ht="25.5">
      <c r="A3594" s="3" t="s">
        <v>1811</v>
      </c>
      <c r="B3594" s="3" t="s">
        <v>4443</v>
      </c>
      <c r="C3594" s="4">
        <v>273</v>
      </c>
      <c r="D3594" s="3" t="s">
        <v>771</v>
      </c>
      <c r="E3594" s="3" t="s">
        <v>13</v>
      </c>
      <c r="F3594" s="5">
        <v>0</v>
      </c>
      <c r="G3594" s="5">
        <v>6205.2</v>
      </c>
      <c r="H3594" s="5">
        <f t="shared" si="112"/>
        <v>6205.2</v>
      </c>
      <c r="I3594" s="9">
        <f t="shared" si="113"/>
        <v>0</v>
      </c>
      <c r="J3594" s="3" t="s">
        <v>4603</v>
      </c>
    </row>
    <row r="3595" spans="1:10" ht="25.5">
      <c r="A3595" s="3" t="s">
        <v>1811</v>
      </c>
      <c r="B3595" s="3" t="s">
        <v>4444</v>
      </c>
      <c r="C3595" s="4">
        <v>178</v>
      </c>
      <c r="D3595" s="3" t="s">
        <v>92</v>
      </c>
      <c r="E3595" s="3" t="s">
        <v>8</v>
      </c>
      <c r="F3595" s="5">
        <v>14418.66</v>
      </c>
      <c r="G3595" s="5">
        <v>12349.2</v>
      </c>
      <c r="H3595" s="5">
        <f t="shared" si="112"/>
        <v>-2069.4599999999991</v>
      </c>
      <c r="I3595" s="9">
        <f t="shared" si="113"/>
        <v>-0.1435265135595124</v>
      </c>
      <c r="J3595" s="3" t="s">
        <v>4603</v>
      </c>
    </row>
    <row r="3596" spans="1:10" ht="51">
      <c r="A3596" s="3" t="s">
        <v>1811</v>
      </c>
      <c r="B3596" s="3" t="s">
        <v>4445</v>
      </c>
      <c r="C3596" s="4">
        <v>282</v>
      </c>
      <c r="D3596" s="3" t="s">
        <v>298</v>
      </c>
      <c r="E3596" s="3" t="s">
        <v>9</v>
      </c>
      <c r="F3596" s="5">
        <v>0</v>
      </c>
      <c r="G3596" s="5">
        <v>12884.31</v>
      </c>
      <c r="H3596" s="5">
        <f t="shared" si="112"/>
        <v>12884.31</v>
      </c>
      <c r="I3596" s="9">
        <f t="shared" si="113"/>
        <v>0</v>
      </c>
      <c r="J3596" s="3" t="s">
        <v>4603</v>
      </c>
    </row>
    <row r="3597" spans="1:10" ht="38.25">
      <c r="A3597" s="3" t="s">
        <v>1811</v>
      </c>
      <c r="B3597" s="3" t="s">
        <v>4446</v>
      </c>
      <c r="C3597" s="4">
        <v>197</v>
      </c>
      <c r="D3597" s="3" t="s">
        <v>23</v>
      </c>
      <c r="E3597" s="3" t="s">
        <v>22</v>
      </c>
      <c r="F3597" s="5">
        <v>7056.78</v>
      </c>
      <c r="G3597" s="5">
        <v>0</v>
      </c>
      <c r="H3597" s="5">
        <f t="shared" si="112"/>
        <v>-7056.78</v>
      </c>
      <c r="I3597" s="9">
        <f t="shared" si="113"/>
        <v>-1</v>
      </c>
      <c r="J3597" s="3" t="s">
        <v>4603</v>
      </c>
    </row>
    <row r="3598" spans="1:10" ht="25.5">
      <c r="A3598" s="3" t="s">
        <v>1811</v>
      </c>
      <c r="B3598" s="3" t="s">
        <v>4447</v>
      </c>
      <c r="C3598" s="4">
        <v>341</v>
      </c>
      <c r="D3598" s="3" t="s">
        <v>4448</v>
      </c>
      <c r="E3598" s="3" t="s">
        <v>8</v>
      </c>
      <c r="F3598" s="5">
        <v>0</v>
      </c>
      <c r="G3598" s="5">
        <v>6100.26</v>
      </c>
      <c r="H3598" s="5">
        <f t="shared" si="112"/>
        <v>6100.26</v>
      </c>
      <c r="I3598" s="9">
        <f t="shared" si="113"/>
        <v>0</v>
      </c>
      <c r="J3598" s="3" t="s">
        <v>4603</v>
      </c>
    </row>
    <row r="3599" spans="1:10" ht="25.5">
      <c r="A3599" s="3" t="s">
        <v>1811</v>
      </c>
      <c r="B3599" s="3" t="s">
        <v>4449</v>
      </c>
      <c r="C3599" s="4">
        <v>273</v>
      </c>
      <c r="D3599" s="3" t="s">
        <v>771</v>
      </c>
      <c r="E3599" s="3" t="s">
        <v>13</v>
      </c>
      <c r="F3599" s="5">
        <v>5018.3999999999996</v>
      </c>
      <c r="G3599" s="5">
        <v>0</v>
      </c>
      <c r="H3599" s="5">
        <f t="shared" si="112"/>
        <v>-5018.3999999999996</v>
      </c>
      <c r="I3599" s="9">
        <f t="shared" si="113"/>
        <v>-1</v>
      </c>
      <c r="J3599" s="3" t="s">
        <v>4603</v>
      </c>
    </row>
    <row r="3600" spans="1:10" ht="25.5">
      <c r="A3600" s="3" t="s">
        <v>1811</v>
      </c>
      <c r="B3600" s="3" t="s">
        <v>4450</v>
      </c>
      <c r="C3600" s="4">
        <v>299</v>
      </c>
      <c r="D3600" s="3" t="s">
        <v>246</v>
      </c>
      <c r="E3600" s="3" t="s">
        <v>30</v>
      </c>
      <c r="F3600" s="5">
        <v>6952.92</v>
      </c>
      <c r="G3600" s="5">
        <v>4854.24</v>
      </c>
      <c r="H3600" s="5">
        <f t="shared" si="112"/>
        <v>-2098.6800000000003</v>
      </c>
      <c r="I3600" s="9">
        <f t="shared" si="113"/>
        <v>-0.3018415284513557</v>
      </c>
      <c r="J3600" s="3" t="s">
        <v>4603</v>
      </c>
    </row>
    <row r="3601" spans="1:10" ht="38.25">
      <c r="A3601" s="3" t="s">
        <v>1811</v>
      </c>
      <c r="B3601" s="3" t="s">
        <v>4451</v>
      </c>
      <c r="C3601" s="4">
        <v>45</v>
      </c>
      <c r="D3601" s="3" t="s">
        <v>16</v>
      </c>
      <c r="E3601" s="3" t="s">
        <v>8</v>
      </c>
      <c r="F3601" s="5">
        <v>16893.87</v>
      </c>
      <c r="G3601" s="5">
        <v>15791.58</v>
      </c>
      <c r="H3601" s="5">
        <f t="shared" si="112"/>
        <v>-1102.2899999999991</v>
      </c>
      <c r="I3601" s="9">
        <f t="shared" si="113"/>
        <v>-6.5247927206732337E-2</v>
      </c>
      <c r="J3601" s="3" t="s">
        <v>4603</v>
      </c>
    </row>
    <row r="3602" spans="1:10" ht="51">
      <c r="A3602" s="3" t="s">
        <v>1811</v>
      </c>
      <c r="B3602" s="3" t="s">
        <v>4452</v>
      </c>
      <c r="C3602" s="4">
        <v>371</v>
      </c>
      <c r="D3602" s="3" t="s">
        <v>29</v>
      </c>
      <c r="E3602" s="3" t="s">
        <v>30</v>
      </c>
      <c r="F3602" s="5">
        <v>0</v>
      </c>
      <c r="G3602" s="5">
        <v>6468.3</v>
      </c>
      <c r="H3602" s="5">
        <f t="shared" si="112"/>
        <v>6468.3</v>
      </c>
      <c r="I3602" s="9">
        <f t="shared" si="113"/>
        <v>0</v>
      </c>
      <c r="J3602" s="3" t="s">
        <v>4603</v>
      </c>
    </row>
    <row r="3603" spans="1:10" ht="25.5">
      <c r="A3603" s="3" t="s">
        <v>1811</v>
      </c>
      <c r="B3603" s="3" t="s">
        <v>4453</v>
      </c>
      <c r="C3603" s="4">
        <v>317</v>
      </c>
      <c r="D3603" s="3" t="s">
        <v>54</v>
      </c>
      <c r="E3603" s="3" t="s">
        <v>18</v>
      </c>
      <c r="F3603" s="5">
        <v>6216.72</v>
      </c>
      <c r="G3603" s="5">
        <v>10309.290000000001</v>
      </c>
      <c r="H3603" s="5">
        <f t="shared" si="112"/>
        <v>4092.5700000000006</v>
      </c>
      <c r="I3603" s="9">
        <f t="shared" si="113"/>
        <v>0.65831660425433358</v>
      </c>
      <c r="J3603" s="3" t="s">
        <v>4604</v>
      </c>
    </row>
    <row r="3604" spans="1:10" ht="25.5">
      <c r="A3604" s="3" t="s">
        <v>1811</v>
      </c>
      <c r="B3604" s="3" t="s">
        <v>4454</v>
      </c>
      <c r="C3604" s="4">
        <v>19</v>
      </c>
      <c r="D3604" s="3" t="s">
        <v>53</v>
      </c>
      <c r="E3604" s="3" t="s">
        <v>22</v>
      </c>
      <c r="F3604" s="5">
        <v>10186.44</v>
      </c>
      <c r="G3604" s="5">
        <v>0</v>
      </c>
      <c r="H3604" s="5">
        <f t="shared" si="112"/>
        <v>-10186.44</v>
      </c>
      <c r="I3604" s="9">
        <f t="shared" si="113"/>
        <v>-1</v>
      </c>
      <c r="J3604" s="3" t="s">
        <v>4603</v>
      </c>
    </row>
    <row r="3605" spans="1:10" ht="25.5">
      <c r="A3605" s="3" t="s">
        <v>1811</v>
      </c>
      <c r="B3605" s="3" t="s">
        <v>4455</v>
      </c>
      <c r="C3605" s="4">
        <v>23</v>
      </c>
      <c r="D3605" s="3" t="s">
        <v>71</v>
      </c>
      <c r="E3605" s="3" t="s">
        <v>8</v>
      </c>
      <c r="F3605" s="5">
        <v>16875.45</v>
      </c>
      <c r="G3605" s="5">
        <v>17169.562999999998</v>
      </c>
      <c r="H3605" s="5">
        <f t="shared" si="112"/>
        <v>294.11299999999756</v>
      </c>
      <c r="I3605" s="9">
        <f t="shared" si="113"/>
        <v>1.742845375975155E-2</v>
      </c>
      <c r="J3605" s="3" t="s">
        <v>4603</v>
      </c>
    </row>
    <row r="3606" spans="1:10" ht="25.5">
      <c r="A3606" s="3" t="s">
        <v>1811</v>
      </c>
      <c r="B3606" s="3" t="s">
        <v>4456</v>
      </c>
      <c r="C3606" s="4">
        <v>19</v>
      </c>
      <c r="D3606" s="3" t="s">
        <v>53</v>
      </c>
      <c r="E3606" s="3" t="s">
        <v>22</v>
      </c>
      <c r="F3606" s="5">
        <v>19265</v>
      </c>
      <c r="G3606" s="5">
        <v>0</v>
      </c>
      <c r="H3606" s="5">
        <f t="shared" si="112"/>
        <v>-19265</v>
      </c>
      <c r="I3606" s="9">
        <f t="shared" si="113"/>
        <v>-1</v>
      </c>
      <c r="J3606" s="3" t="s">
        <v>4603</v>
      </c>
    </row>
    <row r="3607" spans="1:10" ht="25.5">
      <c r="A3607" s="3" t="s">
        <v>1811</v>
      </c>
      <c r="B3607" s="3" t="s">
        <v>4457</v>
      </c>
      <c r="C3607" s="4">
        <v>23</v>
      </c>
      <c r="D3607" s="3" t="s">
        <v>71</v>
      </c>
      <c r="E3607" s="3" t="s">
        <v>8</v>
      </c>
      <c r="F3607" s="5">
        <v>0</v>
      </c>
      <c r="G3607" s="5">
        <v>1597.92</v>
      </c>
      <c r="H3607" s="5">
        <f t="shared" si="112"/>
        <v>1597.92</v>
      </c>
      <c r="I3607" s="9">
        <f t="shared" si="113"/>
        <v>0</v>
      </c>
      <c r="J3607" s="3" t="s">
        <v>4603</v>
      </c>
    </row>
    <row r="3608" spans="1:10" ht="25.5">
      <c r="A3608" s="3" t="s">
        <v>1811</v>
      </c>
      <c r="B3608" s="3" t="s">
        <v>4458</v>
      </c>
      <c r="C3608" s="4">
        <v>332</v>
      </c>
      <c r="D3608" s="3" t="s">
        <v>1850</v>
      </c>
      <c r="E3608" s="3" t="s">
        <v>9</v>
      </c>
      <c r="F3608" s="5">
        <v>0</v>
      </c>
      <c r="G3608" s="5">
        <v>14031.3</v>
      </c>
      <c r="H3608" s="5">
        <f t="shared" si="112"/>
        <v>14031.3</v>
      </c>
      <c r="I3608" s="9">
        <f t="shared" si="113"/>
        <v>0</v>
      </c>
      <c r="J3608" s="3" t="s">
        <v>4603</v>
      </c>
    </row>
    <row r="3609" spans="1:10" ht="25.5">
      <c r="A3609" s="3" t="s">
        <v>1811</v>
      </c>
      <c r="B3609" s="3" t="s">
        <v>4459</v>
      </c>
      <c r="C3609" s="4">
        <v>299</v>
      </c>
      <c r="D3609" s="3" t="s">
        <v>246</v>
      </c>
      <c r="E3609" s="3" t="s">
        <v>30</v>
      </c>
      <c r="F3609" s="5">
        <v>2675.52</v>
      </c>
      <c r="G3609" s="5">
        <v>0</v>
      </c>
      <c r="H3609" s="5">
        <f t="shared" si="112"/>
        <v>-2675.52</v>
      </c>
      <c r="I3609" s="9">
        <f t="shared" si="113"/>
        <v>-1</v>
      </c>
      <c r="J3609" s="3" t="s">
        <v>4603</v>
      </c>
    </row>
    <row r="3610" spans="1:10">
      <c r="A3610" s="3" t="s">
        <v>1811</v>
      </c>
      <c r="B3610" s="3" t="s">
        <v>4460</v>
      </c>
      <c r="C3610" s="4">
        <v>232</v>
      </c>
      <c r="D3610" s="3" t="s">
        <v>95</v>
      </c>
      <c r="E3610" s="3" t="s">
        <v>13</v>
      </c>
      <c r="F3610" s="5">
        <v>3774.12</v>
      </c>
      <c r="G3610" s="5">
        <v>0</v>
      </c>
      <c r="H3610" s="5">
        <f t="shared" si="112"/>
        <v>-3774.12</v>
      </c>
      <c r="I3610" s="9">
        <f t="shared" si="113"/>
        <v>-1</v>
      </c>
      <c r="J3610" s="3" t="s">
        <v>4603</v>
      </c>
    </row>
    <row r="3611" spans="1:10">
      <c r="A3611" s="3" t="s">
        <v>1811</v>
      </c>
      <c r="B3611" s="3" t="s">
        <v>4461</v>
      </c>
      <c r="C3611" s="4">
        <v>167</v>
      </c>
      <c r="D3611" s="3" t="s">
        <v>335</v>
      </c>
      <c r="E3611" s="3" t="s">
        <v>30</v>
      </c>
      <c r="F3611" s="5">
        <v>13139.78</v>
      </c>
      <c r="G3611" s="5">
        <v>0</v>
      </c>
      <c r="H3611" s="5">
        <f t="shared" si="112"/>
        <v>-13139.78</v>
      </c>
      <c r="I3611" s="9">
        <f t="shared" si="113"/>
        <v>-1</v>
      </c>
      <c r="J3611" s="3" t="s">
        <v>4604</v>
      </c>
    </row>
    <row r="3612" spans="1:10" ht="25.5">
      <c r="A3612" s="3" t="s">
        <v>1811</v>
      </c>
      <c r="B3612" s="3" t="s">
        <v>4462</v>
      </c>
      <c r="C3612" s="4">
        <v>167</v>
      </c>
      <c r="D3612" s="3" t="s">
        <v>335</v>
      </c>
      <c r="E3612" s="3" t="s">
        <v>30</v>
      </c>
      <c r="F3612" s="5">
        <v>3029.4</v>
      </c>
      <c r="G3612" s="5">
        <v>3584.28</v>
      </c>
      <c r="H3612" s="5">
        <f t="shared" si="112"/>
        <v>554.88000000000011</v>
      </c>
      <c r="I3612" s="9">
        <f t="shared" si="113"/>
        <v>0.18316498316498309</v>
      </c>
      <c r="J3612" s="3" t="s">
        <v>4603</v>
      </c>
    </row>
    <row r="3613" spans="1:10" ht="38.25">
      <c r="A3613" s="3" t="s">
        <v>1811</v>
      </c>
      <c r="B3613" s="3" t="s">
        <v>4463</v>
      </c>
      <c r="C3613" s="4">
        <v>292</v>
      </c>
      <c r="D3613" s="3" t="s">
        <v>619</v>
      </c>
      <c r="E3613" s="3" t="s">
        <v>30</v>
      </c>
      <c r="F3613" s="5">
        <v>3245.37</v>
      </c>
      <c r="G3613" s="5">
        <v>0</v>
      </c>
      <c r="H3613" s="5">
        <f t="shared" si="112"/>
        <v>-3245.37</v>
      </c>
      <c r="I3613" s="9">
        <f t="shared" si="113"/>
        <v>-1</v>
      </c>
      <c r="J3613" s="3" t="s">
        <v>4603</v>
      </c>
    </row>
    <row r="3614" spans="1:10" ht="25.5">
      <c r="A3614" s="3" t="s">
        <v>1811</v>
      </c>
      <c r="B3614" s="3" t="s">
        <v>4464</v>
      </c>
      <c r="C3614" s="4">
        <v>317</v>
      </c>
      <c r="D3614" s="3" t="s">
        <v>54</v>
      </c>
      <c r="E3614" s="3" t="s">
        <v>18</v>
      </c>
      <c r="F3614" s="5">
        <v>40278.239999999998</v>
      </c>
      <c r="G3614" s="5">
        <v>0</v>
      </c>
      <c r="H3614" s="5">
        <f t="shared" si="112"/>
        <v>-40278.239999999998</v>
      </c>
      <c r="I3614" s="9">
        <f t="shared" si="113"/>
        <v>-1</v>
      </c>
      <c r="J3614" s="3" t="s">
        <v>4603</v>
      </c>
    </row>
    <row r="3615" spans="1:10" ht="25.5">
      <c r="A3615" s="3" t="s">
        <v>1811</v>
      </c>
      <c r="B3615" s="3" t="s">
        <v>4465</v>
      </c>
      <c r="C3615" s="4">
        <v>74</v>
      </c>
      <c r="D3615" s="3" t="s">
        <v>86</v>
      </c>
      <c r="E3615" s="3" t="s">
        <v>8</v>
      </c>
      <c r="F3615" s="5">
        <v>32658.9</v>
      </c>
      <c r="G3615" s="5">
        <v>40767.39</v>
      </c>
      <c r="H3615" s="5">
        <f t="shared" si="112"/>
        <v>8108.489999999998</v>
      </c>
      <c r="I3615" s="9">
        <f t="shared" si="113"/>
        <v>0.2482781110202732</v>
      </c>
      <c r="J3615" s="3" t="s">
        <v>4603</v>
      </c>
    </row>
    <row r="3616" spans="1:10" ht="25.5">
      <c r="A3616" s="3" t="s">
        <v>1811</v>
      </c>
      <c r="B3616" s="3" t="s">
        <v>4466</v>
      </c>
      <c r="C3616" s="4">
        <v>266</v>
      </c>
      <c r="D3616" s="3" t="s">
        <v>111</v>
      </c>
      <c r="E3616" s="3" t="s">
        <v>18</v>
      </c>
      <c r="F3616" s="5">
        <v>0</v>
      </c>
      <c r="G3616" s="5">
        <v>13352.249</v>
      </c>
      <c r="H3616" s="5">
        <f t="shared" si="112"/>
        <v>13352.249</v>
      </c>
      <c r="I3616" s="9">
        <f t="shared" si="113"/>
        <v>0</v>
      </c>
      <c r="J3616" s="3" t="s">
        <v>4603</v>
      </c>
    </row>
    <row r="3617" spans="1:10" ht="38.25">
      <c r="A3617" s="3" t="s">
        <v>1811</v>
      </c>
      <c r="B3617" s="3" t="s">
        <v>4467</v>
      </c>
      <c r="C3617" s="4">
        <v>316</v>
      </c>
      <c r="D3617" s="3" t="s">
        <v>167</v>
      </c>
      <c r="E3617" s="3" t="s">
        <v>18</v>
      </c>
      <c r="F3617" s="5">
        <v>0</v>
      </c>
      <c r="G3617" s="5">
        <v>3479.22</v>
      </c>
      <c r="H3617" s="5">
        <f t="shared" si="112"/>
        <v>3479.22</v>
      </c>
      <c r="I3617" s="9">
        <f t="shared" si="113"/>
        <v>0</v>
      </c>
      <c r="J3617" s="3" t="s">
        <v>4603</v>
      </c>
    </row>
    <row r="3618" spans="1:10" ht="38.25">
      <c r="A3618" s="3" t="s">
        <v>1811</v>
      </c>
      <c r="B3618" s="3" t="s">
        <v>4468</v>
      </c>
      <c r="C3618" s="4">
        <v>371</v>
      </c>
      <c r="D3618" s="3" t="s">
        <v>29</v>
      </c>
      <c r="E3618" s="3" t="s">
        <v>30</v>
      </c>
      <c r="F3618" s="5">
        <v>2099.64</v>
      </c>
      <c r="G3618" s="5">
        <v>6122.31</v>
      </c>
      <c r="H3618" s="5">
        <f t="shared" si="112"/>
        <v>4022.6700000000005</v>
      </c>
      <c r="I3618" s="9">
        <f t="shared" si="113"/>
        <v>1.9158855803852091</v>
      </c>
      <c r="J3618" s="3" t="s">
        <v>4603</v>
      </c>
    </row>
    <row r="3619" spans="1:10" ht="25.5">
      <c r="A3619" s="3" t="s">
        <v>1811</v>
      </c>
      <c r="B3619" s="3" t="s">
        <v>4469</v>
      </c>
      <c r="C3619" s="4">
        <v>317</v>
      </c>
      <c r="D3619" s="3" t="s">
        <v>54</v>
      </c>
      <c r="E3619" s="3" t="s">
        <v>18</v>
      </c>
      <c r="F3619" s="5">
        <v>0</v>
      </c>
      <c r="G3619" s="5">
        <v>5730.12</v>
      </c>
      <c r="H3619" s="5">
        <f t="shared" si="112"/>
        <v>5730.12</v>
      </c>
      <c r="I3619" s="9">
        <f t="shared" si="113"/>
        <v>0</v>
      </c>
      <c r="J3619" s="3" t="s">
        <v>4603</v>
      </c>
    </row>
    <row r="3620" spans="1:10" ht="25.5">
      <c r="A3620" s="3" t="s">
        <v>1811</v>
      </c>
      <c r="B3620" s="3" t="s">
        <v>4470</v>
      </c>
      <c r="C3620" s="4">
        <v>299</v>
      </c>
      <c r="D3620" s="3" t="s">
        <v>246</v>
      </c>
      <c r="E3620" s="3" t="s">
        <v>30</v>
      </c>
      <c r="F3620" s="5">
        <v>2649.84</v>
      </c>
      <c r="G3620" s="5">
        <v>9487.65</v>
      </c>
      <c r="H3620" s="5">
        <f t="shared" si="112"/>
        <v>6837.8099999999995</v>
      </c>
      <c r="I3620" s="9">
        <f t="shared" si="113"/>
        <v>2.5804614618241097</v>
      </c>
      <c r="J3620" s="3" t="s">
        <v>4603</v>
      </c>
    </row>
    <row r="3621" spans="1:10" ht="25.5">
      <c r="A3621" s="3" t="s">
        <v>1811</v>
      </c>
      <c r="B3621" s="3" t="s">
        <v>4471</v>
      </c>
      <c r="C3621" s="4">
        <v>178</v>
      </c>
      <c r="D3621" s="3" t="s">
        <v>92</v>
      </c>
      <c r="E3621" s="3" t="s">
        <v>8</v>
      </c>
      <c r="F3621" s="5">
        <v>0</v>
      </c>
      <c r="G3621" s="5">
        <v>9900.48</v>
      </c>
      <c r="H3621" s="5">
        <f t="shared" si="112"/>
        <v>9900.48</v>
      </c>
      <c r="I3621" s="9">
        <f t="shared" si="113"/>
        <v>0</v>
      </c>
      <c r="J3621" s="3" t="s">
        <v>4603</v>
      </c>
    </row>
    <row r="3622" spans="1:10" ht="25.5">
      <c r="A3622" s="3" t="s">
        <v>1811</v>
      </c>
      <c r="B3622" s="3" t="s">
        <v>4472</v>
      </c>
      <c r="C3622" s="4">
        <v>299</v>
      </c>
      <c r="D3622" s="3" t="s">
        <v>246</v>
      </c>
      <c r="E3622" s="3" t="s">
        <v>30</v>
      </c>
      <c r="F3622" s="5">
        <v>4546.9799999999996</v>
      </c>
      <c r="G3622" s="5">
        <v>1845.9</v>
      </c>
      <c r="H3622" s="5">
        <f t="shared" si="112"/>
        <v>-2701.0799999999995</v>
      </c>
      <c r="I3622" s="9">
        <f t="shared" si="113"/>
        <v>-0.59403824076639866</v>
      </c>
      <c r="J3622" s="3" t="s">
        <v>4603</v>
      </c>
    </row>
    <row r="3623" spans="1:10" ht="38.25">
      <c r="A3623" s="3" t="s">
        <v>1811</v>
      </c>
      <c r="B3623" s="3" t="s">
        <v>4473</v>
      </c>
      <c r="C3623" s="4">
        <v>187</v>
      </c>
      <c r="D3623" s="3" t="s">
        <v>460</v>
      </c>
      <c r="E3623" s="3" t="s">
        <v>8</v>
      </c>
      <c r="F3623" s="5">
        <v>0</v>
      </c>
      <c r="G3623" s="5">
        <v>3622.02</v>
      </c>
      <c r="H3623" s="5">
        <f t="shared" si="112"/>
        <v>3622.02</v>
      </c>
      <c r="I3623" s="9">
        <f t="shared" si="113"/>
        <v>0</v>
      </c>
      <c r="J3623" s="3" t="s">
        <v>4603</v>
      </c>
    </row>
    <row r="3624" spans="1:10" ht="25.5">
      <c r="A3624" s="3" t="s">
        <v>1811</v>
      </c>
      <c r="B3624" s="3" t="s">
        <v>4474</v>
      </c>
      <c r="C3624" s="4">
        <v>232</v>
      </c>
      <c r="D3624" s="3" t="s">
        <v>95</v>
      </c>
      <c r="E3624" s="3" t="s">
        <v>13</v>
      </c>
      <c r="F3624" s="5">
        <v>0</v>
      </c>
      <c r="G3624" s="5">
        <v>2988</v>
      </c>
      <c r="H3624" s="5">
        <f t="shared" si="112"/>
        <v>2988</v>
      </c>
      <c r="I3624" s="9">
        <f t="shared" si="113"/>
        <v>0</v>
      </c>
      <c r="J3624" s="3" t="s">
        <v>4603</v>
      </c>
    </row>
    <row r="3625" spans="1:10" ht="25.5">
      <c r="A3625" s="3" t="s">
        <v>1811</v>
      </c>
      <c r="B3625" s="3" t="s">
        <v>4475</v>
      </c>
      <c r="C3625" s="4">
        <v>266</v>
      </c>
      <c r="D3625" s="3" t="s">
        <v>111</v>
      </c>
      <c r="E3625" s="3" t="s">
        <v>18</v>
      </c>
      <c r="F3625" s="5">
        <v>10852.32</v>
      </c>
      <c r="G3625" s="5">
        <v>3171.12</v>
      </c>
      <c r="H3625" s="5">
        <f t="shared" si="112"/>
        <v>-7681.2</v>
      </c>
      <c r="I3625" s="9">
        <f t="shared" si="113"/>
        <v>-0.70779335662789156</v>
      </c>
      <c r="J3625" s="3" t="s">
        <v>4603</v>
      </c>
    </row>
    <row r="3626" spans="1:10" ht="25.5">
      <c r="A3626" s="3" t="s">
        <v>1811</v>
      </c>
      <c r="B3626" s="3" t="s">
        <v>4476</v>
      </c>
      <c r="C3626" s="4">
        <v>232</v>
      </c>
      <c r="D3626" s="3" t="s">
        <v>95</v>
      </c>
      <c r="E3626" s="3" t="s">
        <v>13</v>
      </c>
      <c r="F3626" s="5">
        <v>18088.080000000002</v>
      </c>
      <c r="G3626" s="5">
        <v>20878.8</v>
      </c>
      <c r="H3626" s="5">
        <f t="shared" si="112"/>
        <v>2790.7199999999975</v>
      </c>
      <c r="I3626" s="9">
        <f t="shared" si="113"/>
        <v>0.15428503191051779</v>
      </c>
      <c r="J3626" s="3" t="s">
        <v>4603</v>
      </c>
    </row>
    <row r="3627" spans="1:10">
      <c r="A3627" s="3" t="s">
        <v>1811</v>
      </c>
      <c r="B3627" s="3" t="s">
        <v>4477</v>
      </c>
      <c r="C3627" s="4">
        <v>232</v>
      </c>
      <c r="D3627" s="3" t="s">
        <v>95</v>
      </c>
      <c r="E3627" s="3" t="s">
        <v>13</v>
      </c>
      <c r="F3627" s="5">
        <v>5629.92</v>
      </c>
      <c r="G3627" s="5">
        <v>0</v>
      </c>
      <c r="H3627" s="5">
        <f t="shared" si="112"/>
        <v>-5629.92</v>
      </c>
      <c r="I3627" s="9">
        <f t="shared" si="113"/>
        <v>-1</v>
      </c>
      <c r="J3627" s="3" t="s">
        <v>4603</v>
      </c>
    </row>
    <row r="3628" spans="1:10" ht="25.5">
      <c r="A3628" s="3" t="s">
        <v>1811</v>
      </c>
      <c r="B3628" s="3" t="s">
        <v>4478</v>
      </c>
      <c r="C3628" s="4">
        <v>31</v>
      </c>
      <c r="D3628" s="3" t="s">
        <v>172</v>
      </c>
      <c r="E3628" s="3" t="s">
        <v>13</v>
      </c>
      <c r="F3628" s="5">
        <v>0</v>
      </c>
      <c r="G3628" s="5">
        <v>9858.2999999999993</v>
      </c>
      <c r="H3628" s="5">
        <f t="shared" si="112"/>
        <v>9858.2999999999993</v>
      </c>
      <c r="I3628" s="9">
        <f t="shared" si="113"/>
        <v>0</v>
      </c>
      <c r="J3628" s="3" t="s">
        <v>4603</v>
      </c>
    </row>
    <row r="3629" spans="1:10">
      <c r="A3629" s="3" t="s">
        <v>1811</v>
      </c>
      <c r="B3629" s="3" t="s">
        <v>4479</v>
      </c>
      <c r="C3629" s="4">
        <v>217</v>
      </c>
      <c r="D3629" s="3" t="s">
        <v>253</v>
      </c>
      <c r="E3629" s="3" t="s">
        <v>13</v>
      </c>
      <c r="F3629" s="5">
        <v>12627.81</v>
      </c>
      <c r="G3629" s="5">
        <v>18343.98</v>
      </c>
      <c r="H3629" s="5">
        <f t="shared" si="112"/>
        <v>5716.17</v>
      </c>
      <c r="I3629" s="9">
        <f t="shared" si="113"/>
        <v>0.45266518897576069</v>
      </c>
      <c r="J3629" s="3" t="s">
        <v>4603</v>
      </c>
    </row>
    <row r="3630" spans="1:10" ht="25.5">
      <c r="A3630" s="3" t="s">
        <v>1811</v>
      </c>
      <c r="B3630" s="3" t="s">
        <v>4480</v>
      </c>
      <c r="C3630" s="4">
        <v>208</v>
      </c>
      <c r="D3630" s="3" t="s">
        <v>58</v>
      </c>
      <c r="E3630" s="3" t="s">
        <v>13</v>
      </c>
      <c r="F3630" s="5">
        <v>3419.4</v>
      </c>
      <c r="G3630" s="5">
        <v>3428.16</v>
      </c>
      <c r="H3630" s="5">
        <f t="shared" si="112"/>
        <v>8.7599999999997635</v>
      </c>
      <c r="I3630" s="9">
        <f t="shared" si="113"/>
        <v>2.5618529566588943E-3</v>
      </c>
      <c r="J3630" s="3" t="s">
        <v>4603</v>
      </c>
    </row>
    <row r="3631" spans="1:10" ht="25.5">
      <c r="A3631" s="3" t="s">
        <v>1811</v>
      </c>
      <c r="B3631" s="3" t="s">
        <v>4481</v>
      </c>
      <c r="C3631" s="4">
        <v>296</v>
      </c>
      <c r="D3631" s="3" t="s">
        <v>137</v>
      </c>
      <c r="E3631" s="3" t="s">
        <v>18</v>
      </c>
      <c r="F3631" s="5">
        <v>7156.38</v>
      </c>
      <c r="G3631" s="5">
        <v>0</v>
      </c>
      <c r="H3631" s="5">
        <f t="shared" si="112"/>
        <v>-7156.38</v>
      </c>
      <c r="I3631" s="9">
        <f t="shared" si="113"/>
        <v>-1</v>
      </c>
      <c r="J3631" s="3" t="s">
        <v>4604</v>
      </c>
    </row>
    <row r="3632" spans="1:10" ht="51">
      <c r="A3632" s="3" t="s">
        <v>1811</v>
      </c>
      <c r="B3632" s="3" t="s">
        <v>4482</v>
      </c>
      <c r="C3632" s="4">
        <v>282</v>
      </c>
      <c r="D3632" s="3" t="s">
        <v>298</v>
      </c>
      <c r="E3632" s="3" t="s">
        <v>9</v>
      </c>
      <c r="F3632" s="5">
        <v>3564.96</v>
      </c>
      <c r="G3632" s="5">
        <v>0</v>
      </c>
      <c r="H3632" s="5">
        <f t="shared" si="112"/>
        <v>-3564.96</v>
      </c>
      <c r="I3632" s="9">
        <f t="shared" si="113"/>
        <v>-1</v>
      </c>
      <c r="J3632" s="3" t="s">
        <v>4603</v>
      </c>
    </row>
    <row r="3633" spans="1:10" ht="25.5">
      <c r="A3633" s="3" t="s">
        <v>1811</v>
      </c>
      <c r="B3633" s="3" t="s">
        <v>4483</v>
      </c>
      <c r="C3633" s="4">
        <v>266</v>
      </c>
      <c r="D3633" s="3" t="s">
        <v>111</v>
      </c>
      <c r="E3633" s="3" t="s">
        <v>18</v>
      </c>
      <c r="F3633" s="5">
        <v>0</v>
      </c>
      <c r="G3633" s="5">
        <v>23577.69</v>
      </c>
      <c r="H3633" s="5">
        <f t="shared" si="112"/>
        <v>23577.69</v>
      </c>
      <c r="I3633" s="9">
        <f t="shared" si="113"/>
        <v>0</v>
      </c>
      <c r="J3633" s="3" t="s">
        <v>4603</v>
      </c>
    </row>
    <row r="3634" spans="1:10" ht="38.25">
      <c r="A3634" s="3" t="s">
        <v>1811</v>
      </c>
      <c r="B3634" s="3" t="s">
        <v>4484</v>
      </c>
      <c r="C3634" s="4">
        <v>11</v>
      </c>
      <c r="D3634" s="3" t="s">
        <v>55</v>
      </c>
      <c r="E3634" s="3" t="s">
        <v>18</v>
      </c>
      <c r="F3634" s="5">
        <v>10378.200000000001</v>
      </c>
      <c r="G3634" s="5">
        <v>0</v>
      </c>
      <c r="H3634" s="5">
        <f t="shared" si="112"/>
        <v>-10378.200000000001</v>
      </c>
      <c r="I3634" s="9">
        <f t="shared" si="113"/>
        <v>-1</v>
      </c>
      <c r="J3634" s="3" t="s">
        <v>4603</v>
      </c>
    </row>
    <row r="3635" spans="1:10" ht="25.5">
      <c r="A3635" s="3" t="s">
        <v>1811</v>
      </c>
      <c r="B3635" s="3" t="s">
        <v>4485</v>
      </c>
      <c r="C3635" s="4">
        <v>337</v>
      </c>
      <c r="D3635" s="3" t="s">
        <v>218</v>
      </c>
      <c r="E3635" s="3" t="s">
        <v>13</v>
      </c>
      <c r="F3635" s="5">
        <v>4026.36</v>
      </c>
      <c r="G3635" s="5">
        <v>0</v>
      </c>
      <c r="H3635" s="5">
        <f t="shared" si="112"/>
        <v>-4026.36</v>
      </c>
      <c r="I3635" s="9">
        <f t="shared" si="113"/>
        <v>-1</v>
      </c>
      <c r="J3635" s="3" t="s">
        <v>4603</v>
      </c>
    </row>
    <row r="3636" spans="1:10" ht="25.5">
      <c r="A3636" s="3" t="s">
        <v>1811</v>
      </c>
      <c r="B3636" s="3" t="s">
        <v>4486</v>
      </c>
      <c r="C3636" s="4">
        <v>240</v>
      </c>
      <c r="D3636" s="3" t="s">
        <v>152</v>
      </c>
      <c r="E3636" s="3" t="s">
        <v>13</v>
      </c>
      <c r="F3636" s="5">
        <v>0</v>
      </c>
      <c r="G3636" s="5">
        <v>10608.27</v>
      </c>
      <c r="H3636" s="5">
        <f t="shared" si="112"/>
        <v>10608.27</v>
      </c>
      <c r="I3636" s="9">
        <f t="shared" si="113"/>
        <v>0</v>
      </c>
      <c r="J3636" s="3" t="s">
        <v>4603</v>
      </c>
    </row>
    <row r="3637" spans="1:10" ht="25.5">
      <c r="A3637" s="3" t="s">
        <v>1811</v>
      </c>
      <c r="B3637" s="3" t="s">
        <v>4487</v>
      </c>
      <c r="C3637" s="4">
        <v>267</v>
      </c>
      <c r="D3637" s="3" t="s">
        <v>417</v>
      </c>
      <c r="E3637" s="3" t="s">
        <v>13</v>
      </c>
      <c r="F3637" s="5">
        <v>0</v>
      </c>
      <c r="G3637" s="5">
        <v>3941.64</v>
      </c>
      <c r="H3637" s="5">
        <f t="shared" si="112"/>
        <v>3941.64</v>
      </c>
      <c r="I3637" s="9">
        <f t="shared" si="113"/>
        <v>0</v>
      </c>
      <c r="J3637" s="3" t="s">
        <v>4603</v>
      </c>
    </row>
    <row r="3638" spans="1:10" ht="25.5">
      <c r="A3638" s="3" t="s">
        <v>1811</v>
      </c>
      <c r="B3638" s="3" t="s">
        <v>4488</v>
      </c>
      <c r="C3638" s="4">
        <v>61</v>
      </c>
      <c r="D3638" s="3" t="s">
        <v>114</v>
      </c>
      <c r="E3638" s="3" t="s">
        <v>30</v>
      </c>
      <c r="F3638" s="5">
        <v>0</v>
      </c>
      <c r="G3638" s="5">
        <v>34924.980000000003</v>
      </c>
      <c r="H3638" s="5">
        <f t="shared" si="112"/>
        <v>34924.980000000003</v>
      </c>
      <c r="I3638" s="9">
        <f t="shared" si="113"/>
        <v>0</v>
      </c>
      <c r="J3638" s="3" t="s">
        <v>4603</v>
      </c>
    </row>
    <row r="3639" spans="1:10" ht="25.5">
      <c r="A3639" s="3" t="s">
        <v>1811</v>
      </c>
      <c r="B3639" s="3" t="s">
        <v>4489</v>
      </c>
      <c r="C3639" s="4">
        <v>231</v>
      </c>
      <c r="D3639" s="3" t="s">
        <v>89</v>
      </c>
      <c r="E3639" s="3" t="s">
        <v>8</v>
      </c>
      <c r="F3639" s="5">
        <v>4199.28</v>
      </c>
      <c r="G3639" s="5">
        <v>0</v>
      </c>
      <c r="H3639" s="5">
        <f t="shared" si="112"/>
        <v>-4199.28</v>
      </c>
      <c r="I3639" s="9">
        <f t="shared" si="113"/>
        <v>-1</v>
      </c>
      <c r="J3639" s="3" t="s">
        <v>4603</v>
      </c>
    </row>
    <row r="3640" spans="1:10">
      <c r="A3640" s="3" t="s">
        <v>1811</v>
      </c>
      <c r="B3640" s="3" t="s">
        <v>4490</v>
      </c>
      <c r="C3640" s="4">
        <v>217</v>
      </c>
      <c r="D3640" s="3" t="s">
        <v>253</v>
      </c>
      <c r="E3640" s="3" t="s">
        <v>13</v>
      </c>
      <c r="F3640" s="5">
        <v>7036.26</v>
      </c>
      <c r="G3640" s="5">
        <v>0</v>
      </c>
      <c r="H3640" s="5">
        <f t="shared" si="112"/>
        <v>-7036.26</v>
      </c>
      <c r="I3640" s="9">
        <f t="shared" si="113"/>
        <v>-1</v>
      </c>
      <c r="J3640" s="3" t="s">
        <v>4603</v>
      </c>
    </row>
    <row r="3641" spans="1:10" ht="25.5">
      <c r="A3641" s="3" t="s">
        <v>1811</v>
      </c>
      <c r="B3641" s="3" t="s">
        <v>4491</v>
      </c>
      <c r="C3641" s="4">
        <v>337</v>
      </c>
      <c r="D3641" s="3" t="s">
        <v>218</v>
      </c>
      <c r="E3641" s="3" t="s">
        <v>13</v>
      </c>
      <c r="F3641" s="5">
        <v>12274.32</v>
      </c>
      <c r="G3641" s="5">
        <v>0</v>
      </c>
      <c r="H3641" s="5">
        <f t="shared" si="112"/>
        <v>-12274.32</v>
      </c>
      <c r="I3641" s="9">
        <f t="shared" si="113"/>
        <v>-1</v>
      </c>
      <c r="J3641" s="3" t="s">
        <v>4603</v>
      </c>
    </row>
    <row r="3642" spans="1:10" ht="25.5">
      <c r="A3642" s="3" t="s">
        <v>1811</v>
      </c>
      <c r="B3642" s="3" t="s">
        <v>4492</v>
      </c>
      <c r="C3642" s="4">
        <v>297</v>
      </c>
      <c r="D3642" s="3" t="s">
        <v>209</v>
      </c>
      <c r="E3642" s="3" t="s">
        <v>22</v>
      </c>
      <c r="F3642" s="5">
        <v>0</v>
      </c>
      <c r="G3642" s="5">
        <v>20318.241000000002</v>
      </c>
      <c r="H3642" s="5">
        <f t="shared" si="112"/>
        <v>20318.241000000002</v>
      </c>
      <c r="I3642" s="9">
        <f t="shared" si="113"/>
        <v>0</v>
      </c>
      <c r="J3642" s="3" t="s">
        <v>4603</v>
      </c>
    </row>
    <row r="3643" spans="1:10" ht="25.5">
      <c r="A3643" s="3" t="s">
        <v>1811</v>
      </c>
      <c r="B3643" s="3" t="s">
        <v>4493</v>
      </c>
      <c r="C3643" s="4">
        <v>267</v>
      </c>
      <c r="D3643" s="3" t="s">
        <v>417</v>
      </c>
      <c r="E3643" s="3" t="s">
        <v>13</v>
      </c>
      <c r="F3643" s="5">
        <v>4103.28</v>
      </c>
      <c r="G3643" s="5">
        <v>0</v>
      </c>
      <c r="H3643" s="5">
        <f t="shared" si="112"/>
        <v>-4103.28</v>
      </c>
      <c r="I3643" s="9">
        <f t="shared" si="113"/>
        <v>-1</v>
      </c>
      <c r="J3643" s="3" t="s">
        <v>4603</v>
      </c>
    </row>
    <row r="3644" spans="1:10" ht="25.5">
      <c r="A3644" s="3" t="s">
        <v>1811</v>
      </c>
      <c r="B3644" s="3" t="s">
        <v>4494</v>
      </c>
      <c r="C3644" s="4">
        <v>23</v>
      </c>
      <c r="D3644" s="3" t="s">
        <v>71</v>
      </c>
      <c r="E3644" s="3" t="s">
        <v>8</v>
      </c>
      <c r="F3644" s="5">
        <v>23333.43</v>
      </c>
      <c r="G3644" s="5">
        <v>0</v>
      </c>
      <c r="H3644" s="5">
        <f t="shared" si="112"/>
        <v>-23333.43</v>
      </c>
      <c r="I3644" s="9">
        <f t="shared" si="113"/>
        <v>-1</v>
      </c>
      <c r="J3644" s="3" t="s">
        <v>4603</v>
      </c>
    </row>
    <row r="3645" spans="1:10" ht="25.5">
      <c r="A3645" s="3" t="s">
        <v>1811</v>
      </c>
      <c r="B3645" s="3" t="s">
        <v>4495</v>
      </c>
      <c r="C3645" s="4">
        <v>39</v>
      </c>
      <c r="D3645" s="3" t="s">
        <v>26</v>
      </c>
      <c r="E3645" s="3" t="s">
        <v>9</v>
      </c>
      <c r="F3645" s="5">
        <v>0</v>
      </c>
      <c r="G3645" s="5">
        <v>5495.13</v>
      </c>
      <c r="H3645" s="5">
        <f t="shared" si="112"/>
        <v>5495.13</v>
      </c>
      <c r="I3645" s="9">
        <f t="shared" si="113"/>
        <v>0</v>
      </c>
      <c r="J3645" s="3" t="s">
        <v>4603</v>
      </c>
    </row>
    <row r="3646" spans="1:10" ht="25.5">
      <c r="A3646" s="3" t="s">
        <v>1811</v>
      </c>
      <c r="B3646" s="3" t="s">
        <v>4496</v>
      </c>
      <c r="C3646" s="4">
        <v>53</v>
      </c>
      <c r="D3646" s="3" t="s">
        <v>340</v>
      </c>
      <c r="E3646" s="3" t="s">
        <v>13</v>
      </c>
      <c r="F3646" s="5">
        <v>6310.08</v>
      </c>
      <c r="G3646" s="5">
        <v>0</v>
      </c>
      <c r="H3646" s="5">
        <f t="shared" si="112"/>
        <v>-6310.08</v>
      </c>
      <c r="I3646" s="9">
        <f t="shared" si="113"/>
        <v>-1</v>
      </c>
      <c r="J3646" s="3" t="s">
        <v>4603</v>
      </c>
    </row>
    <row r="3647" spans="1:10" ht="25.5">
      <c r="A3647" s="3" t="s">
        <v>1811</v>
      </c>
      <c r="B3647" s="3" t="s">
        <v>4497</v>
      </c>
      <c r="C3647" s="4">
        <v>316</v>
      </c>
      <c r="D3647" s="3" t="s">
        <v>167</v>
      </c>
      <c r="E3647" s="3" t="s">
        <v>18</v>
      </c>
      <c r="F3647" s="5">
        <v>0</v>
      </c>
      <c r="G3647" s="5">
        <v>4840.83</v>
      </c>
      <c r="H3647" s="5">
        <f t="shared" si="112"/>
        <v>4840.83</v>
      </c>
      <c r="I3647" s="9">
        <f t="shared" si="113"/>
        <v>0</v>
      </c>
      <c r="J3647" s="3" t="s">
        <v>4603</v>
      </c>
    </row>
    <row r="3648" spans="1:10" ht="38.25">
      <c r="A3648" s="3" t="s">
        <v>1811</v>
      </c>
      <c r="B3648" s="3" t="s">
        <v>4498</v>
      </c>
      <c r="C3648" s="4">
        <v>371</v>
      </c>
      <c r="D3648" s="3" t="s">
        <v>29</v>
      </c>
      <c r="E3648" s="3" t="s">
        <v>30</v>
      </c>
      <c r="F3648" s="5">
        <v>7341.36</v>
      </c>
      <c r="G3648" s="5">
        <v>0</v>
      </c>
      <c r="H3648" s="5">
        <f t="shared" si="112"/>
        <v>-7341.36</v>
      </c>
      <c r="I3648" s="9">
        <f t="shared" si="113"/>
        <v>-1</v>
      </c>
      <c r="J3648" s="3" t="s">
        <v>4603</v>
      </c>
    </row>
    <row r="3649" spans="1:10" ht="38.25">
      <c r="A3649" s="3" t="s">
        <v>1811</v>
      </c>
      <c r="B3649" s="3" t="s">
        <v>4499</v>
      </c>
      <c r="C3649" s="4">
        <v>371</v>
      </c>
      <c r="D3649" s="3" t="s">
        <v>29</v>
      </c>
      <c r="E3649" s="3" t="s">
        <v>30</v>
      </c>
      <c r="F3649" s="5">
        <v>0</v>
      </c>
      <c r="G3649" s="5">
        <v>24345.66</v>
      </c>
      <c r="H3649" s="5">
        <f t="shared" si="112"/>
        <v>24345.66</v>
      </c>
      <c r="I3649" s="9">
        <f t="shared" si="113"/>
        <v>0</v>
      </c>
      <c r="J3649" s="3" t="s">
        <v>4603</v>
      </c>
    </row>
    <row r="3650" spans="1:10" ht="25.5">
      <c r="A3650" s="3" t="s">
        <v>1811</v>
      </c>
      <c r="B3650" s="3" t="s">
        <v>4500</v>
      </c>
      <c r="C3650" s="4">
        <v>231</v>
      </c>
      <c r="D3650" s="3" t="s">
        <v>89</v>
      </c>
      <c r="E3650" s="3" t="s">
        <v>8</v>
      </c>
      <c r="F3650" s="5">
        <v>24524.28</v>
      </c>
      <c r="G3650" s="5">
        <v>25466.04</v>
      </c>
      <c r="H3650" s="5">
        <f t="shared" si="112"/>
        <v>941.76000000000204</v>
      </c>
      <c r="I3650" s="9">
        <f t="shared" si="113"/>
        <v>3.8401127372546862E-2</v>
      </c>
      <c r="J3650" s="3" t="s">
        <v>4603</v>
      </c>
    </row>
    <row r="3651" spans="1:10" ht="25.5">
      <c r="A3651" s="3" t="s">
        <v>1811</v>
      </c>
      <c r="B3651" s="3" t="s">
        <v>4501</v>
      </c>
      <c r="C3651" s="4">
        <v>261</v>
      </c>
      <c r="D3651" s="3" t="s">
        <v>17</v>
      </c>
      <c r="E3651" s="3" t="s">
        <v>18</v>
      </c>
      <c r="F3651" s="5">
        <v>6862.92</v>
      </c>
      <c r="G3651" s="5">
        <v>7090.56</v>
      </c>
      <c r="H3651" s="5">
        <f t="shared" ref="H3651:H3714" si="114">G3651-F3651</f>
        <v>227.64000000000033</v>
      </c>
      <c r="I3651" s="9">
        <f t="shared" ref="I3651:I3714" si="115">IFERROR(G3651/F3651-1,0)</f>
        <v>3.3169554650207322E-2</v>
      </c>
      <c r="J3651" s="3" t="s">
        <v>4603</v>
      </c>
    </row>
    <row r="3652" spans="1:10" ht="25.5">
      <c r="A3652" s="3" t="s">
        <v>1811</v>
      </c>
      <c r="B3652" s="3" t="s">
        <v>4502</v>
      </c>
      <c r="C3652" s="4">
        <v>218</v>
      </c>
      <c r="D3652" s="3" t="s">
        <v>155</v>
      </c>
      <c r="E3652" s="3" t="s">
        <v>13</v>
      </c>
      <c r="F3652" s="5">
        <v>3047.34</v>
      </c>
      <c r="G3652" s="5">
        <v>10785.36</v>
      </c>
      <c r="H3652" s="5">
        <f t="shared" si="114"/>
        <v>7738.02</v>
      </c>
      <c r="I3652" s="9">
        <f t="shared" si="115"/>
        <v>2.5392703144381659</v>
      </c>
      <c r="J3652" s="3" t="s">
        <v>4603</v>
      </c>
    </row>
    <row r="3653" spans="1:10" ht="25.5">
      <c r="A3653" s="3" t="s">
        <v>1811</v>
      </c>
      <c r="B3653" s="3" t="s">
        <v>4503</v>
      </c>
      <c r="C3653" s="4">
        <v>23</v>
      </c>
      <c r="D3653" s="3" t="s">
        <v>71</v>
      </c>
      <c r="E3653" s="3" t="s">
        <v>8</v>
      </c>
      <c r="F3653" s="5">
        <v>13600.02</v>
      </c>
      <c r="G3653" s="5">
        <v>15499.95</v>
      </c>
      <c r="H3653" s="5">
        <f t="shared" si="114"/>
        <v>1899.9300000000003</v>
      </c>
      <c r="I3653" s="9">
        <f t="shared" si="115"/>
        <v>0.13970052985216208</v>
      </c>
      <c r="J3653" s="3" t="s">
        <v>4603</v>
      </c>
    </row>
    <row r="3654" spans="1:10" ht="25.5">
      <c r="A3654" s="3" t="s">
        <v>1811</v>
      </c>
      <c r="B3654" s="3" t="s">
        <v>4504</v>
      </c>
      <c r="C3654" s="4">
        <v>296</v>
      </c>
      <c r="D3654" s="3" t="s">
        <v>137</v>
      </c>
      <c r="E3654" s="3" t="s">
        <v>18</v>
      </c>
      <c r="F3654" s="5">
        <v>0</v>
      </c>
      <c r="G3654" s="5">
        <v>3981.6509999999998</v>
      </c>
      <c r="H3654" s="5">
        <f t="shared" si="114"/>
        <v>3981.6509999999998</v>
      </c>
      <c r="I3654" s="9">
        <f t="shared" si="115"/>
        <v>0</v>
      </c>
      <c r="J3654" s="3" t="s">
        <v>4603</v>
      </c>
    </row>
    <row r="3655" spans="1:10" ht="25.5">
      <c r="A3655" s="3" t="s">
        <v>1811</v>
      </c>
      <c r="B3655" s="3" t="s">
        <v>4505</v>
      </c>
      <c r="C3655" s="4">
        <v>240</v>
      </c>
      <c r="D3655" s="3" t="s">
        <v>152</v>
      </c>
      <c r="E3655" s="3" t="s">
        <v>13</v>
      </c>
      <c r="F3655" s="5">
        <v>6461.28</v>
      </c>
      <c r="G3655" s="5">
        <v>0</v>
      </c>
      <c r="H3655" s="5">
        <f t="shared" si="114"/>
        <v>-6461.28</v>
      </c>
      <c r="I3655" s="9">
        <f t="shared" si="115"/>
        <v>-1</v>
      </c>
      <c r="J3655" s="3" t="s">
        <v>4603</v>
      </c>
    </row>
    <row r="3656" spans="1:10" ht="25.5">
      <c r="A3656" s="3" t="s">
        <v>1811</v>
      </c>
      <c r="B3656" s="3" t="s">
        <v>4506</v>
      </c>
      <c r="C3656" s="4">
        <v>31</v>
      </c>
      <c r="D3656" s="3" t="s">
        <v>172</v>
      </c>
      <c r="E3656" s="3" t="s">
        <v>13</v>
      </c>
      <c r="F3656" s="5">
        <v>0</v>
      </c>
      <c r="G3656" s="5">
        <v>5100.0600000000004</v>
      </c>
      <c r="H3656" s="5">
        <f t="shared" si="114"/>
        <v>5100.0600000000004</v>
      </c>
      <c r="I3656" s="9">
        <f t="shared" si="115"/>
        <v>0</v>
      </c>
      <c r="J3656" s="3" t="s">
        <v>4603</v>
      </c>
    </row>
    <row r="3657" spans="1:10" ht="25.5">
      <c r="A3657" s="3" t="s">
        <v>1811</v>
      </c>
      <c r="B3657" s="3" t="s">
        <v>4507</v>
      </c>
      <c r="C3657" s="4">
        <v>299</v>
      </c>
      <c r="D3657" s="3" t="s">
        <v>246</v>
      </c>
      <c r="E3657" s="3" t="s">
        <v>30</v>
      </c>
      <c r="F3657" s="5">
        <v>3606.48</v>
      </c>
      <c r="G3657" s="5">
        <v>14991.12</v>
      </c>
      <c r="H3657" s="5">
        <f t="shared" si="114"/>
        <v>11384.640000000001</v>
      </c>
      <c r="I3657" s="9">
        <f t="shared" si="115"/>
        <v>3.156717907766021</v>
      </c>
      <c r="J3657" s="3" t="s">
        <v>4603</v>
      </c>
    </row>
    <row r="3658" spans="1:10" ht="25.5">
      <c r="A3658" s="3" t="s">
        <v>1811</v>
      </c>
      <c r="B3658" s="3" t="s">
        <v>4508</v>
      </c>
      <c r="C3658" s="4">
        <v>266</v>
      </c>
      <c r="D3658" s="3" t="s">
        <v>111</v>
      </c>
      <c r="E3658" s="3" t="s">
        <v>18</v>
      </c>
      <c r="F3658" s="5">
        <v>0</v>
      </c>
      <c r="G3658" s="5">
        <v>19632.18</v>
      </c>
      <c r="H3658" s="5">
        <f t="shared" si="114"/>
        <v>19632.18</v>
      </c>
      <c r="I3658" s="9">
        <f t="shared" si="115"/>
        <v>0</v>
      </c>
      <c r="J3658" s="3" t="s">
        <v>4603</v>
      </c>
    </row>
    <row r="3659" spans="1:10" ht="25.5">
      <c r="A3659" s="3" t="s">
        <v>1811</v>
      </c>
      <c r="B3659" s="3" t="s">
        <v>4509</v>
      </c>
      <c r="C3659" s="4">
        <v>208</v>
      </c>
      <c r="D3659" s="3" t="s">
        <v>58</v>
      </c>
      <c r="E3659" s="3" t="s">
        <v>13</v>
      </c>
      <c r="F3659" s="5">
        <v>23288.04</v>
      </c>
      <c r="G3659" s="5">
        <v>0</v>
      </c>
      <c r="H3659" s="5">
        <f t="shared" si="114"/>
        <v>-23288.04</v>
      </c>
      <c r="I3659" s="9">
        <f t="shared" si="115"/>
        <v>-1</v>
      </c>
      <c r="J3659" s="3" t="s">
        <v>4603</v>
      </c>
    </row>
    <row r="3660" spans="1:10" ht="25.5">
      <c r="A3660" s="3" t="s">
        <v>1811</v>
      </c>
      <c r="B3660" s="3" t="s">
        <v>4510</v>
      </c>
      <c r="C3660" s="4">
        <v>317</v>
      </c>
      <c r="D3660" s="3" t="s">
        <v>54</v>
      </c>
      <c r="E3660" s="3" t="s">
        <v>18</v>
      </c>
      <c r="F3660" s="5">
        <v>6079.53</v>
      </c>
      <c r="G3660" s="5">
        <v>0</v>
      </c>
      <c r="H3660" s="5">
        <f t="shared" si="114"/>
        <v>-6079.53</v>
      </c>
      <c r="I3660" s="9">
        <f t="shared" si="115"/>
        <v>-1</v>
      </c>
      <c r="J3660" s="3" t="s">
        <v>4603</v>
      </c>
    </row>
    <row r="3661" spans="1:10" ht="25.5">
      <c r="A3661" s="3" t="s">
        <v>1811</v>
      </c>
      <c r="B3661" s="3" t="s">
        <v>646</v>
      </c>
      <c r="C3661" s="4">
        <v>299</v>
      </c>
      <c r="D3661" s="3" t="s">
        <v>246</v>
      </c>
      <c r="E3661" s="3" t="s">
        <v>30</v>
      </c>
      <c r="F3661" s="5">
        <v>6194.28</v>
      </c>
      <c r="G3661" s="5">
        <v>0</v>
      </c>
      <c r="H3661" s="5">
        <f t="shared" si="114"/>
        <v>-6194.28</v>
      </c>
      <c r="I3661" s="9">
        <f t="shared" si="115"/>
        <v>-1</v>
      </c>
      <c r="J3661" s="3" t="s">
        <v>4603</v>
      </c>
    </row>
    <row r="3662" spans="1:10" ht="25.5">
      <c r="A3662" s="3" t="s">
        <v>1811</v>
      </c>
      <c r="B3662" s="3" t="s">
        <v>4511</v>
      </c>
      <c r="C3662" s="4">
        <v>320</v>
      </c>
      <c r="D3662" s="3" t="s">
        <v>188</v>
      </c>
      <c r="E3662" s="3" t="s">
        <v>30</v>
      </c>
      <c r="F3662" s="5">
        <v>11518.2</v>
      </c>
      <c r="G3662" s="5">
        <v>0</v>
      </c>
      <c r="H3662" s="5">
        <f t="shared" si="114"/>
        <v>-11518.2</v>
      </c>
      <c r="I3662" s="9">
        <f t="shared" si="115"/>
        <v>-1</v>
      </c>
      <c r="J3662" s="3" t="s">
        <v>4604</v>
      </c>
    </row>
    <row r="3663" spans="1:10" ht="25.5">
      <c r="A3663" s="3" t="s">
        <v>1811</v>
      </c>
      <c r="B3663" s="3" t="s">
        <v>4512</v>
      </c>
      <c r="C3663" s="4">
        <v>266</v>
      </c>
      <c r="D3663" s="3" t="s">
        <v>111</v>
      </c>
      <c r="E3663" s="3" t="s">
        <v>18</v>
      </c>
      <c r="F3663" s="5">
        <v>0</v>
      </c>
      <c r="G3663" s="5">
        <v>39999.398999999998</v>
      </c>
      <c r="H3663" s="5">
        <f t="shared" si="114"/>
        <v>39999.398999999998</v>
      </c>
      <c r="I3663" s="9">
        <f t="shared" si="115"/>
        <v>0</v>
      </c>
      <c r="J3663" s="3" t="s">
        <v>4603</v>
      </c>
    </row>
    <row r="3664" spans="1:10" ht="25.5">
      <c r="A3664" s="3" t="s">
        <v>1811</v>
      </c>
      <c r="B3664" s="3" t="s">
        <v>4513</v>
      </c>
      <c r="C3664" s="4">
        <v>31</v>
      </c>
      <c r="D3664" s="3" t="s">
        <v>172</v>
      </c>
      <c r="E3664" s="3" t="s">
        <v>13</v>
      </c>
      <c r="F3664" s="5">
        <v>0</v>
      </c>
      <c r="G3664" s="5">
        <v>12316.56</v>
      </c>
      <c r="H3664" s="5">
        <f t="shared" si="114"/>
        <v>12316.56</v>
      </c>
      <c r="I3664" s="9">
        <f t="shared" si="115"/>
        <v>0</v>
      </c>
      <c r="J3664" s="3" t="s">
        <v>4603</v>
      </c>
    </row>
    <row r="3665" spans="1:10" ht="38.25">
      <c r="A3665" s="3" t="s">
        <v>1811</v>
      </c>
      <c r="B3665" s="3" t="s">
        <v>4514</v>
      </c>
      <c r="C3665" s="4">
        <v>34</v>
      </c>
      <c r="D3665" s="3" t="s">
        <v>136</v>
      </c>
      <c r="E3665" s="3" t="s">
        <v>30</v>
      </c>
      <c r="F3665" s="5">
        <v>2891.52</v>
      </c>
      <c r="G3665" s="5">
        <v>0</v>
      </c>
      <c r="H3665" s="5">
        <f t="shared" si="114"/>
        <v>-2891.52</v>
      </c>
      <c r="I3665" s="9">
        <f t="shared" si="115"/>
        <v>-1</v>
      </c>
      <c r="J3665" s="3" t="s">
        <v>4603</v>
      </c>
    </row>
    <row r="3666" spans="1:10" ht="25.5">
      <c r="A3666" s="3" t="s">
        <v>1811</v>
      </c>
      <c r="B3666" s="3" t="s">
        <v>4515</v>
      </c>
      <c r="C3666" s="4">
        <v>335</v>
      </c>
      <c r="D3666" s="3" t="s">
        <v>7</v>
      </c>
      <c r="E3666" s="3" t="s">
        <v>8</v>
      </c>
      <c r="F3666" s="5">
        <v>11098.32</v>
      </c>
      <c r="G3666" s="5">
        <v>4481.28</v>
      </c>
      <c r="H3666" s="5">
        <f t="shared" si="114"/>
        <v>-6617.04</v>
      </c>
      <c r="I3666" s="9">
        <f t="shared" si="115"/>
        <v>-0.5962199684276539</v>
      </c>
      <c r="J3666" s="3" t="s">
        <v>4603</v>
      </c>
    </row>
    <row r="3667" spans="1:10">
      <c r="A3667" s="3" t="s">
        <v>1811</v>
      </c>
      <c r="B3667" s="3" t="s">
        <v>4516</v>
      </c>
      <c r="C3667" s="4">
        <v>315</v>
      </c>
      <c r="D3667" s="3" t="s">
        <v>79</v>
      </c>
      <c r="E3667" s="3" t="s">
        <v>8</v>
      </c>
      <c r="F3667" s="5">
        <v>6860.16</v>
      </c>
      <c r="G3667" s="5">
        <v>0</v>
      </c>
      <c r="H3667" s="5">
        <f t="shared" si="114"/>
        <v>-6860.16</v>
      </c>
      <c r="I3667" s="9">
        <f t="shared" si="115"/>
        <v>-1</v>
      </c>
      <c r="J3667" s="3" t="s">
        <v>4603</v>
      </c>
    </row>
    <row r="3668" spans="1:10" ht="25.5">
      <c r="A3668" s="3" t="s">
        <v>1811</v>
      </c>
      <c r="B3668" s="3" t="s">
        <v>4517</v>
      </c>
      <c r="C3668" s="4">
        <v>299</v>
      </c>
      <c r="D3668" s="3" t="s">
        <v>246</v>
      </c>
      <c r="E3668" s="3" t="s">
        <v>30</v>
      </c>
      <c r="F3668" s="5">
        <v>5494.86</v>
      </c>
      <c r="G3668" s="5">
        <v>0</v>
      </c>
      <c r="H3668" s="5">
        <f t="shared" si="114"/>
        <v>-5494.86</v>
      </c>
      <c r="I3668" s="9">
        <f t="shared" si="115"/>
        <v>-1</v>
      </c>
      <c r="J3668" s="3" t="s">
        <v>4603</v>
      </c>
    </row>
    <row r="3669" spans="1:10" ht="25.5">
      <c r="A3669" s="3" t="s">
        <v>1811</v>
      </c>
      <c r="B3669" s="3" t="s">
        <v>4518</v>
      </c>
      <c r="C3669" s="4">
        <v>53</v>
      </c>
      <c r="D3669" s="3" t="s">
        <v>340</v>
      </c>
      <c r="E3669" s="3" t="s">
        <v>13</v>
      </c>
      <c r="F3669" s="5">
        <v>7795.56</v>
      </c>
      <c r="G3669" s="5">
        <v>0</v>
      </c>
      <c r="H3669" s="5">
        <f t="shared" si="114"/>
        <v>-7795.56</v>
      </c>
      <c r="I3669" s="9">
        <f t="shared" si="115"/>
        <v>-1</v>
      </c>
      <c r="J3669" s="3" t="s">
        <v>4603</v>
      </c>
    </row>
    <row r="3670" spans="1:10" ht="25.5">
      <c r="A3670" s="3" t="s">
        <v>1811</v>
      </c>
      <c r="B3670" s="3" t="s">
        <v>4519</v>
      </c>
      <c r="C3670" s="4">
        <v>321</v>
      </c>
      <c r="D3670" s="3" t="s">
        <v>125</v>
      </c>
      <c r="E3670" s="3" t="s">
        <v>22</v>
      </c>
      <c r="F3670" s="5">
        <v>9787.17</v>
      </c>
      <c r="G3670" s="5">
        <v>5426.88</v>
      </c>
      <c r="H3670" s="5">
        <f t="shared" si="114"/>
        <v>-4360.29</v>
      </c>
      <c r="I3670" s="9">
        <f t="shared" si="115"/>
        <v>-0.44551080649462504</v>
      </c>
      <c r="J3670" s="3" t="s">
        <v>4603</v>
      </c>
    </row>
    <row r="3671" spans="1:10" ht="25.5">
      <c r="A3671" s="3" t="s">
        <v>1811</v>
      </c>
      <c r="B3671" s="3" t="s">
        <v>4520</v>
      </c>
      <c r="C3671" s="4">
        <v>197</v>
      </c>
      <c r="D3671" s="3" t="s">
        <v>23</v>
      </c>
      <c r="E3671" s="3" t="s">
        <v>22</v>
      </c>
      <c r="F3671" s="5">
        <v>0</v>
      </c>
      <c r="G3671" s="5">
        <v>11781</v>
      </c>
      <c r="H3671" s="5">
        <f t="shared" si="114"/>
        <v>11781</v>
      </c>
      <c r="I3671" s="9">
        <f t="shared" si="115"/>
        <v>0</v>
      </c>
      <c r="J3671" s="3" t="s">
        <v>4603</v>
      </c>
    </row>
    <row r="3672" spans="1:10" ht="25.5">
      <c r="A3672" s="3" t="s">
        <v>1811</v>
      </c>
      <c r="B3672" s="3" t="s">
        <v>4521</v>
      </c>
      <c r="C3672" s="4">
        <v>23</v>
      </c>
      <c r="D3672" s="3" t="s">
        <v>71</v>
      </c>
      <c r="E3672" s="3" t="s">
        <v>8</v>
      </c>
      <c r="F3672" s="5">
        <v>18015.330000000002</v>
      </c>
      <c r="G3672" s="5">
        <v>9370.3799999999992</v>
      </c>
      <c r="H3672" s="5">
        <f t="shared" si="114"/>
        <v>-8644.9500000000025</v>
      </c>
      <c r="I3672" s="9">
        <f t="shared" si="115"/>
        <v>-0.47986631385603273</v>
      </c>
      <c r="J3672" s="3" t="s">
        <v>4603</v>
      </c>
    </row>
    <row r="3673" spans="1:10" ht="38.25">
      <c r="A3673" s="3" t="s">
        <v>1811</v>
      </c>
      <c r="B3673" s="3" t="s">
        <v>4522</v>
      </c>
      <c r="C3673" s="4">
        <v>38</v>
      </c>
      <c r="D3673" s="3" t="s">
        <v>229</v>
      </c>
      <c r="E3673" s="3" t="s">
        <v>30</v>
      </c>
      <c r="F3673" s="5">
        <v>3950.37</v>
      </c>
      <c r="G3673" s="5">
        <v>0</v>
      </c>
      <c r="H3673" s="5">
        <f t="shared" si="114"/>
        <v>-3950.37</v>
      </c>
      <c r="I3673" s="9">
        <f t="shared" si="115"/>
        <v>-1</v>
      </c>
      <c r="J3673" s="3" t="s">
        <v>4603</v>
      </c>
    </row>
    <row r="3674" spans="1:10" ht="38.25">
      <c r="A3674" s="3" t="s">
        <v>1811</v>
      </c>
      <c r="B3674" s="3" t="s">
        <v>4523</v>
      </c>
      <c r="C3674" s="4">
        <v>38</v>
      </c>
      <c r="D3674" s="3" t="s">
        <v>229</v>
      </c>
      <c r="E3674" s="3" t="s">
        <v>30</v>
      </c>
      <c r="F3674" s="5">
        <v>7918.68</v>
      </c>
      <c r="G3674" s="5">
        <v>7646.4</v>
      </c>
      <c r="H3674" s="5">
        <f t="shared" si="114"/>
        <v>-272.28000000000065</v>
      </c>
      <c r="I3674" s="9">
        <f t="shared" si="115"/>
        <v>-3.438451863189329E-2</v>
      </c>
      <c r="J3674" s="3" t="s">
        <v>4603</v>
      </c>
    </row>
    <row r="3675" spans="1:10" ht="25.5">
      <c r="A3675" s="3" t="s">
        <v>1811</v>
      </c>
      <c r="B3675" s="3" t="s">
        <v>4524</v>
      </c>
      <c r="C3675" s="4">
        <v>299</v>
      </c>
      <c r="D3675" s="3" t="s">
        <v>246</v>
      </c>
      <c r="E3675" s="3" t="s">
        <v>30</v>
      </c>
      <c r="F3675" s="5">
        <v>10887.99</v>
      </c>
      <c r="G3675" s="5">
        <v>0</v>
      </c>
      <c r="H3675" s="5">
        <f t="shared" si="114"/>
        <v>-10887.99</v>
      </c>
      <c r="I3675" s="9">
        <f t="shared" si="115"/>
        <v>-1</v>
      </c>
      <c r="J3675" s="3" t="s">
        <v>4603</v>
      </c>
    </row>
    <row r="3676" spans="1:10" ht="25.5">
      <c r="A3676" s="3" t="s">
        <v>1811</v>
      </c>
      <c r="B3676" s="3" t="s">
        <v>4525</v>
      </c>
      <c r="C3676" s="4">
        <v>74</v>
      </c>
      <c r="D3676" s="3" t="s">
        <v>86</v>
      </c>
      <c r="E3676" s="3" t="s">
        <v>8</v>
      </c>
      <c r="F3676" s="5">
        <v>12766.17</v>
      </c>
      <c r="G3676" s="5">
        <v>0</v>
      </c>
      <c r="H3676" s="5">
        <f t="shared" si="114"/>
        <v>-12766.17</v>
      </c>
      <c r="I3676" s="9">
        <f t="shared" si="115"/>
        <v>-1</v>
      </c>
      <c r="J3676" s="3" t="s">
        <v>4603</v>
      </c>
    </row>
    <row r="3677" spans="1:10" ht="51">
      <c r="A3677" s="3" t="s">
        <v>1811</v>
      </c>
      <c r="B3677" s="3" t="s">
        <v>4526</v>
      </c>
      <c r="C3677" s="4">
        <v>282</v>
      </c>
      <c r="D3677" s="3" t="s">
        <v>298</v>
      </c>
      <c r="E3677" s="3" t="s">
        <v>9</v>
      </c>
      <c r="F3677" s="5">
        <v>4985.04</v>
      </c>
      <c r="G3677" s="5">
        <v>0</v>
      </c>
      <c r="H3677" s="5">
        <f t="shared" si="114"/>
        <v>-4985.04</v>
      </c>
      <c r="I3677" s="9">
        <f t="shared" si="115"/>
        <v>-1</v>
      </c>
      <c r="J3677" s="3" t="s">
        <v>4603</v>
      </c>
    </row>
    <row r="3678" spans="1:10" ht="25.5">
      <c r="A3678" s="3" t="s">
        <v>1811</v>
      </c>
      <c r="B3678" s="3" t="s">
        <v>4527</v>
      </c>
      <c r="C3678" s="4">
        <v>315</v>
      </c>
      <c r="D3678" s="3" t="s">
        <v>79</v>
      </c>
      <c r="E3678" s="3" t="s">
        <v>8</v>
      </c>
      <c r="F3678" s="5">
        <v>0</v>
      </c>
      <c r="G3678" s="5">
        <v>6829.4880000000003</v>
      </c>
      <c r="H3678" s="5">
        <f t="shared" si="114"/>
        <v>6829.4880000000003</v>
      </c>
      <c r="I3678" s="9">
        <f t="shared" si="115"/>
        <v>0</v>
      </c>
      <c r="J3678" s="3" t="s">
        <v>4603</v>
      </c>
    </row>
    <row r="3679" spans="1:10" ht="38.25">
      <c r="A3679" s="3" t="s">
        <v>1811</v>
      </c>
      <c r="B3679" s="3" t="s">
        <v>4528</v>
      </c>
      <c r="C3679" s="4">
        <v>292</v>
      </c>
      <c r="D3679" s="3" t="s">
        <v>619</v>
      </c>
      <c r="E3679" s="3" t="s">
        <v>30</v>
      </c>
      <c r="F3679" s="5">
        <v>10600.08</v>
      </c>
      <c r="G3679" s="5">
        <v>0</v>
      </c>
      <c r="H3679" s="5">
        <f t="shared" si="114"/>
        <v>-10600.08</v>
      </c>
      <c r="I3679" s="9">
        <f t="shared" si="115"/>
        <v>-1</v>
      </c>
      <c r="J3679" s="3" t="s">
        <v>4603</v>
      </c>
    </row>
    <row r="3680" spans="1:10" ht="25.5">
      <c r="A3680" s="3" t="s">
        <v>1811</v>
      </c>
      <c r="B3680" s="3" t="s">
        <v>4529</v>
      </c>
      <c r="C3680" s="4">
        <v>74</v>
      </c>
      <c r="D3680" s="3" t="s">
        <v>86</v>
      </c>
      <c r="E3680" s="3" t="s">
        <v>8</v>
      </c>
      <c r="F3680" s="5">
        <v>0</v>
      </c>
      <c r="G3680" s="5">
        <v>5612.16</v>
      </c>
      <c r="H3680" s="5">
        <f t="shared" si="114"/>
        <v>5612.16</v>
      </c>
      <c r="I3680" s="9">
        <f t="shared" si="115"/>
        <v>0</v>
      </c>
      <c r="J3680" s="3" t="s">
        <v>4603</v>
      </c>
    </row>
    <row r="3681" spans="1:10" ht="38.25">
      <c r="A3681" s="3" t="s">
        <v>1811</v>
      </c>
      <c r="B3681" s="3" t="s">
        <v>4530</v>
      </c>
      <c r="C3681" s="4">
        <v>15</v>
      </c>
      <c r="D3681" s="3" t="s">
        <v>33</v>
      </c>
      <c r="E3681" s="3" t="s">
        <v>13</v>
      </c>
      <c r="F3681" s="5">
        <v>5604.84</v>
      </c>
      <c r="G3681" s="5">
        <v>0</v>
      </c>
      <c r="H3681" s="5">
        <f t="shared" si="114"/>
        <v>-5604.84</v>
      </c>
      <c r="I3681" s="9">
        <f t="shared" si="115"/>
        <v>-1</v>
      </c>
      <c r="J3681" s="3" t="s">
        <v>4603</v>
      </c>
    </row>
    <row r="3682" spans="1:10" ht="38.25">
      <c r="A3682" s="3" t="s">
        <v>1811</v>
      </c>
      <c r="B3682" s="3" t="s">
        <v>4531</v>
      </c>
      <c r="C3682" s="4">
        <v>15</v>
      </c>
      <c r="D3682" s="3" t="s">
        <v>33</v>
      </c>
      <c r="E3682" s="3" t="s">
        <v>13</v>
      </c>
      <c r="F3682" s="5">
        <v>9750.24</v>
      </c>
      <c r="G3682" s="5">
        <v>0</v>
      </c>
      <c r="H3682" s="5">
        <f t="shared" si="114"/>
        <v>-9750.24</v>
      </c>
      <c r="I3682" s="9">
        <f t="shared" si="115"/>
        <v>-1</v>
      </c>
      <c r="J3682" s="3" t="s">
        <v>4603</v>
      </c>
    </row>
    <row r="3683" spans="1:10" ht="25.5">
      <c r="A3683" s="3" t="s">
        <v>1811</v>
      </c>
      <c r="B3683" s="3" t="s">
        <v>4532</v>
      </c>
      <c r="C3683" s="4">
        <v>187</v>
      </c>
      <c r="D3683" s="3" t="s">
        <v>460</v>
      </c>
      <c r="E3683" s="3" t="s">
        <v>8</v>
      </c>
      <c r="F3683" s="5">
        <v>8457.99</v>
      </c>
      <c r="G3683" s="5">
        <v>0</v>
      </c>
      <c r="H3683" s="5">
        <f t="shared" si="114"/>
        <v>-8457.99</v>
      </c>
      <c r="I3683" s="9">
        <f t="shared" si="115"/>
        <v>-1</v>
      </c>
      <c r="J3683" s="3" t="s">
        <v>4603</v>
      </c>
    </row>
    <row r="3684" spans="1:10" ht="51">
      <c r="A3684" s="3" t="s">
        <v>1811</v>
      </c>
      <c r="B3684" s="3" t="s">
        <v>4533</v>
      </c>
      <c r="C3684" s="4">
        <v>282</v>
      </c>
      <c r="D3684" s="3" t="s">
        <v>298</v>
      </c>
      <c r="E3684" s="3" t="s">
        <v>9</v>
      </c>
      <c r="F3684" s="5">
        <v>0</v>
      </c>
      <c r="G3684" s="5">
        <v>1670.04</v>
      </c>
      <c r="H3684" s="5">
        <f t="shared" si="114"/>
        <v>1670.04</v>
      </c>
      <c r="I3684" s="9">
        <f t="shared" si="115"/>
        <v>0</v>
      </c>
      <c r="J3684" s="3" t="s">
        <v>4603</v>
      </c>
    </row>
    <row r="3685" spans="1:10" ht="25.5">
      <c r="A3685" s="3" t="s">
        <v>1811</v>
      </c>
      <c r="B3685" s="3" t="s">
        <v>4534</v>
      </c>
      <c r="C3685" s="4">
        <v>316</v>
      </c>
      <c r="D3685" s="3" t="s">
        <v>167</v>
      </c>
      <c r="E3685" s="3" t="s">
        <v>18</v>
      </c>
      <c r="F3685" s="5">
        <v>3127.56</v>
      </c>
      <c r="G3685" s="5">
        <v>0</v>
      </c>
      <c r="H3685" s="5">
        <f t="shared" si="114"/>
        <v>-3127.56</v>
      </c>
      <c r="I3685" s="9">
        <f t="shared" si="115"/>
        <v>-1</v>
      </c>
      <c r="J3685" s="3" t="s">
        <v>4603</v>
      </c>
    </row>
    <row r="3686" spans="1:10" ht="25.5">
      <c r="A3686" s="3" t="s">
        <v>1811</v>
      </c>
      <c r="B3686" s="3" t="s">
        <v>4535</v>
      </c>
      <c r="C3686" s="4">
        <v>317</v>
      </c>
      <c r="D3686" s="3" t="s">
        <v>54</v>
      </c>
      <c r="E3686" s="3" t="s">
        <v>18</v>
      </c>
      <c r="F3686" s="5">
        <v>0</v>
      </c>
      <c r="G3686" s="5">
        <v>7376.64</v>
      </c>
      <c r="H3686" s="5">
        <f t="shared" si="114"/>
        <v>7376.64</v>
      </c>
      <c r="I3686" s="9">
        <f t="shared" si="115"/>
        <v>0</v>
      </c>
      <c r="J3686" s="3" t="s">
        <v>4603</v>
      </c>
    </row>
    <row r="3687" spans="1:10" ht="25.5">
      <c r="A3687" s="3" t="s">
        <v>1811</v>
      </c>
      <c r="B3687" s="3" t="s">
        <v>4536</v>
      </c>
      <c r="C3687" s="4">
        <v>261</v>
      </c>
      <c r="D3687" s="3" t="s">
        <v>17</v>
      </c>
      <c r="E3687" s="3" t="s">
        <v>18</v>
      </c>
      <c r="F3687" s="5">
        <v>2609.52</v>
      </c>
      <c r="G3687" s="5">
        <v>3122.52</v>
      </c>
      <c r="H3687" s="5">
        <f t="shared" si="114"/>
        <v>513</v>
      </c>
      <c r="I3687" s="9">
        <f t="shared" si="115"/>
        <v>0.19658787823047907</v>
      </c>
      <c r="J3687" s="3" t="s">
        <v>4603</v>
      </c>
    </row>
    <row r="3688" spans="1:10" ht="25.5">
      <c r="A3688" s="3" t="s">
        <v>1811</v>
      </c>
      <c r="B3688" s="3" t="s">
        <v>4537</v>
      </c>
      <c r="C3688" s="4">
        <v>19</v>
      </c>
      <c r="D3688" s="3" t="s">
        <v>53</v>
      </c>
      <c r="E3688" s="3" t="s">
        <v>22</v>
      </c>
      <c r="F3688" s="5">
        <v>16341.6</v>
      </c>
      <c r="G3688" s="5">
        <v>0</v>
      </c>
      <c r="H3688" s="5">
        <f t="shared" si="114"/>
        <v>-16341.6</v>
      </c>
      <c r="I3688" s="9">
        <f t="shared" si="115"/>
        <v>-1</v>
      </c>
      <c r="J3688" s="3" t="s">
        <v>4603</v>
      </c>
    </row>
    <row r="3689" spans="1:10" ht="25.5">
      <c r="A3689" s="3" t="s">
        <v>1811</v>
      </c>
      <c r="B3689" s="3" t="s">
        <v>4538</v>
      </c>
      <c r="C3689" s="4">
        <v>316</v>
      </c>
      <c r="D3689" s="3" t="s">
        <v>167</v>
      </c>
      <c r="E3689" s="3" t="s">
        <v>18</v>
      </c>
      <c r="F3689" s="5">
        <v>0</v>
      </c>
      <c r="G3689" s="5">
        <v>8735.2800000000007</v>
      </c>
      <c r="H3689" s="5">
        <f t="shared" si="114"/>
        <v>8735.2800000000007</v>
      </c>
      <c r="I3689" s="9">
        <f t="shared" si="115"/>
        <v>0</v>
      </c>
      <c r="J3689" s="3" t="s">
        <v>4603</v>
      </c>
    </row>
    <row r="3690" spans="1:10" ht="38.25">
      <c r="A3690" s="3" t="s">
        <v>1811</v>
      </c>
      <c r="B3690" s="3" t="s">
        <v>4539</v>
      </c>
      <c r="C3690" s="4">
        <v>45</v>
      </c>
      <c r="D3690" s="3" t="s">
        <v>16</v>
      </c>
      <c r="E3690" s="3" t="s">
        <v>8</v>
      </c>
      <c r="F3690" s="5">
        <v>5567.13</v>
      </c>
      <c r="G3690" s="5">
        <v>0</v>
      </c>
      <c r="H3690" s="5">
        <f t="shared" si="114"/>
        <v>-5567.13</v>
      </c>
      <c r="I3690" s="9">
        <f t="shared" si="115"/>
        <v>-1</v>
      </c>
      <c r="J3690" s="3" t="s">
        <v>4603</v>
      </c>
    </row>
    <row r="3691" spans="1:10" ht="25.5">
      <c r="A3691" s="3" t="s">
        <v>1811</v>
      </c>
      <c r="B3691" s="3" t="s">
        <v>4540</v>
      </c>
      <c r="C3691" s="4">
        <v>299</v>
      </c>
      <c r="D3691" s="3" t="s">
        <v>246</v>
      </c>
      <c r="E3691" s="3" t="s">
        <v>30</v>
      </c>
      <c r="F3691" s="5">
        <v>0</v>
      </c>
      <c r="G3691" s="5">
        <v>13403.76</v>
      </c>
      <c r="H3691" s="5">
        <f t="shared" si="114"/>
        <v>13403.76</v>
      </c>
      <c r="I3691" s="9">
        <f t="shared" si="115"/>
        <v>0</v>
      </c>
      <c r="J3691" s="3" t="s">
        <v>4603</v>
      </c>
    </row>
    <row r="3692" spans="1:10" ht="38.25">
      <c r="A3692" s="3" t="s">
        <v>1811</v>
      </c>
      <c r="B3692" s="3" t="s">
        <v>4541</v>
      </c>
      <c r="C3692" s="4">
        <v>34</v>
      </c>
      <c r="D3692" s="3" t="s">
        <v>136</v>
      </c>
      <c r="E3692" s="3" t="s">
        <v>30</v>
      </c>
      <c r="F3692" s="5">
        <v>13972.08</v>
      </c>
      <c r="G3692" s="5">
        <v>16085.88</v>
      </c>
      <c r="H3692" s="5">
        <f t="shared" si="114"/>
        <v>2113.7999999999993</v>
      </c>
      <c r="I3692" s="9">
        <f t="shared" si="115"/>
        <v>0.15128742463541567</v>
      </c>
      <c r="J3692" s="3" t="s">
        <v>4604</v>
      </c>
    </row>
    <row r="3693" spans="1:10" ht="25.5">
      <c r="A3693" s="3" t="s">
        <v>1811</v>
      </c>
      <c r="B3693" s="3" t="s">
        <v>4542</v>
      </c>
      <c r="C3693" s="4">
        <v>299</v>
      </c>
      <c r="D3693" s="3" t="s">
        <v>246</v>
      </c>
      <c r="E3693" s="3" t="s">
        <v>30</v>
      </c>
      <c r="F3693" s="5">
        <v>2111.52</v>
      </c>
      <c r="G3693" s="5">
        <v>0</v>
      </c>
      <c r="H3693" s="5">
        <f t="shared" si="114"/>
        <v>-2111.52</v>
      </c>
      <c r="I3693" s="9">
        <f t="shared" si="115"/>
        <v>-1</v>
      </c>
      <c r="J3693" s="3" t="s">
        <v>4603</v>
      </c>
    </row>
    <row r="3694" spans="1:10" ht="38.25">
      <c r="A3694" s="3" t="s">
        <v>1811</v>
      </c>
      <c r="B3694" s="3" t="s">
        <v>4543</v>
      </c>
      <c r="C3694" s="4">
        <v>45</v>
      </c>
      <c r="D3694" s="3" t="s">
        <v>16</v>
      </c>
      <c r="E3694" s="3" t="s">
        <v>8</v>
      </c>
      <c r="F3694" s="5">
        <v>10626.36</v>
      </c>
      <c r="G3694" s="5">
        <v>0</v>
      </c>
      <c r="H3694" s="5">
        <f t="shared" si="114"/>
        <v>-10626.36</v>
      </c>
      <c r="I3694" s="9">
        <f t="shared" si="115"/>
        <v>-1</v>
      </c>
      <c r="J3694" s="3" t="s">
        <v>4603</v>
      </c>
    </row>
    <row r="3695" spans="1:10" ht="25.5">
      <c r="A3695" s="3" t="s">
        <v>1811</v>
      </c>
      <c r="B3695" s="3" t="s">
        <v>4544</v>
      </c>
      <c r="C3695" s="4">
        <v>299</v>
      </c>
      <c r="D3695" s="3" t="s">
        <v>246</v>
      </c>
      <c r="E3695" s="3" t="s">
        <v>30</v>
      </c>
      <c r="F3695" s="5">
        <v>2111.52</v>
      </c>
      <c r="G3695" s="5">
        <v>0</v>
      </c>
      <c r="H3695" s="5">
        <f t="shared" si="114"/>
        <v>-2111.52</v>
      </c>
      <c r="I3695" s="9">
        <f t="shared" si="115"/>
        <v>-1</v>
      </c>
      <c r="J3695" s="3" t="s">
        <v>4603</v>
      </c>
    </row>
    <row r="3696" spans="1:10" ht="25.5">
      <c r="A3696" s="3" t="s">
        <v>1811</v>
      </c>
      <c r="B3696" s="3" t="s">
        <v>4545</v>
      </c>
      <c r="C3696" s="4">
        <v>335</v>
      </c>
      <c r="D3696" s="3" t="s">
        <v>7</v>
      </c>
      <c r="E3696" s="3" t="s">
        <v>8</v>
      </c>
      <c r="F3696" s="5">
        <v>0</v>
      </c>
      <c r="G3696" s="5">
        <v>4897.8</v>
      </c>
      <c r="H3696" s="5">
        <f t="shared" si="114"/>
        <v>4897.8</v>
      </c>
      <c r="I3696" s="9">
        <f t="shared" si="115"/>
        <v>0</v>
      </c>
      <c r="J3696" s="3" t="s">
        <v>4603</v>
      </c>
    </row>
    <row r="3697" spans="1:10" ht="25.5">
      <c r="A3697" s="3" t="s">
        <v>1811</v>
      </c>
      <c r="B3697" s="3" t="s">
        <v>4546</v>
      </c>
      <c r="C3697" s="4">
        <v>266</v>
      </c>
      <c r="D3697" s="3" t="s">
        <v>111</v>
      </c>
      <c r="E3697" s="3" t="s">
        <v>18</v>
      </c>
      <c r="F3697" s="5">
        <v>11202.24</v>
      </c>
      <c r="G3697" s="5">
        <v>0</v>
      </c>
      <c r="H3697" s="5">
        <f t="shared" si="114"/>
        <v>-11202.24</v>
      </c>
      <c r="I3697" s="9">
        <f t="shared" si="115"/>
        <v>-1</v>
      </c>
      <c r="J3697" s="3" t="s">
        <v>4603</v>
      </c>
    </row>
    <row r="3698" spans="1:10" ht="25.5">
      <c r="A3698" s="3" t="s">
        <v>1811</v>
      </c>
      <c r="B3698" s="3" t="s">
        <v>4547</v>
      </c>
      <c r="C3698" s="4">
        <v>317</v>
      </c>
      <c r="D3698" s="3" t="s">
        <v>54</v>
      </c>
      <c r="E3698" s="3" t="s">
        <v>18</v>
      </c>
      <c r="F3698" s="5">
        <v>11528.64</v>
      </c>
      <c r="G3698" s="5">
        <v>0</v>
      </c>
      <c r="H3698" s="5">
        <f t="shared" si="114"/>
        <v>-11528.64</v>
      </c>
      <c r="I3698" s="9">
        <f t="shared" si="115"/>
        <v>-1</v>
      </c>
      <c r="J3698" s="3" t="s">
        <v>4603</v>
      </c>
    </row>
    <row r="3699" spans="1:10">
      <c r="A3699" s="3" t="s">
        <v>1811</v>
      </c>
      <c r="B3699" s="3" t="s">
        <v>4548</v>
      </c>
      <c r="C3699" s="4">
        <v>232</v>
      </c>
      <c r="D3699" s="3" t="s">
        <v>95</v>
      </c>
      <c r="E3699" s="3" t="s">
        <v>13</v>
      </c>
      <c r="F3699" s="5">
        <v>0</v>
      </c>
      <c r="G3699" s="5">
        <v>6164.28</v>
      </c>
      <c r="H3699" s="5">
        <f t="shared" si="114"/>
        <v>6164.28</v>
      </c>
      <c r="I3699" s="9">
        <f t="shared" si="115"/>
        <v>0</v>
      </c>
      <c r="J3699" s="3" t="s">
        <v>4603</v>
      </c>
    </row>
    <row r="3700" spans="1:10" ht="25.5">
      <c r="A3700" s="3" t="s">
        <v>1811</v>
      </c>
      <c r="B3700" s="3" t="s">
        <v>4549</v>
      </c>
      <c r="C3700" s="4">
        <v>315</v>
      </c>
      <c r="D3700" s="3" t="s">
        <v>79</v>
      </c>
      <c r="E3700" s="3" t="s">
        <v>8</v>
      </c>
      <c r="F3700" s="5">
        <v>0</v>
      </c>
      <c r="G3700" s="5">
        <v>9817.74</v>
      </c>
      <c r="H3700" s="5">
        <f t="shared" si="114"/>
        <v>9817.74</v>
      </c>
      <c r="I3700" s="9">
        <f t="shared" si="115"/>
        <v>0</v>
      </c>
      <c r="J3700" s="3" t="s">
        <v>4603</v>
      </c>
    </row>
    <row r="3701" spans="1:10" ht="25.5">
      <c r="A3701" s="3" t="s">
        <v>1811</v>
      </c>
      <c r="B3701" s="3" t="s">
        <v>4550</v>
      </c>
      <c r="C3701" s="4">
        <v>321</v>
      </c>
      <c r="D3701" s="3" t="s">
        <v>125</v>
      </c>
      <c r="E3701" s="3" t="s">
        <v>22</v>
      </c>
      <c r="F3701" s="5">
        <v>16408.990000000002</v>
      </c>
      <c r="G3701" s="5">
        <v>15309.55</v>
      </c>
      <c r="H3701" s="5">
        <f t="shared" si="114"/>
        <v>-1099.4400000000023</v>
      </c>
      <c r="I3701" s="9">
        <f t="shared" si="115"/>
        <v>-6.7002295692788039E-2</v>
      </c>
      <c r="J3701" s="3" t="s">
        <v>4603</v>
      </c>
    </row>
    <row r="3702" spans="1:10" ht="25.5">
      <c r="A3702" s="3" t="s">
        <v>1811</v>
      </c>
      <c r="B3702" s="3" t="s">
        <v>4551</v>
      </c>
      <c r="C3702" s="4">
        <v>178</v>
      </c>
      <c r="D3702" s="3" t="s">
        <v>92</v>
      </c>
      <c r="E3702" s="3" t="s">
        <v>8</v>
      </c>
      <c r="F3702" s="5">
        <v>7257.69</v>
      </c>
      <c r="G3702" s="5">
        <v>0</v>
      </c>
      <c r="H3702" s="5">
        <f t="shared" si="114"/>
        <v>-7257.69</v>
      </c>
      <c r="I3702" s="9">
        <f t="shared" si="115"/>
        <v>-1</v>
      </c>
      <c r="J3702" s="3" t="s">
        <v>4603</v>
      </c>
    </row>
    <row r="3703" spans="1:10" ht="38.25">
      <c r="A3703" s="3" t="s">
        <v>1811</v>
      </c>
      <c r="B3703" s="3" t="s">
        <v>4552</v>
      </c>
      <c r="C3703" s="4">
        <v>11</v>
      </c>
      <c r="D3703" s="3" t="s">
        <v>55</v>
      </c>
      <c r="E3703" s="3" t="s">
        <v>13</v>
      </c>
      <c r="F3703" s="5">
        <v>5335.68</v>
      </c>
      <c r="G3703" s="5">
        <v>0</v>
      </c>
      <c r="H3703" s="5">
        <f t="shared" si="114"/>
        <v>-5335.68</v>
      </c>
      <c r="I3703" s="9">
        <f t="shared" si="115"/>
        <v>-1</v>
      </c>
      <c r="J3703" s="3" t="s">
        <v>4603</v>
      </c>
    </row>
    <row r="3704" spans="1:10" ht="25.5">
      <c r="A3704" s="3" t="s">
        <v>1811</v>
      </c>
      <c r="B3704" s="3" t="s">
        <v>4553</v>
      </c>
      <c r="C3704" s="4">
        <v>194</v>
      </c>
      <c r="D3704" s="3" t="s">
        <v>179</v>
      </c>
      <c r="E3704" s="3" t="s">
        <v>13</v>
      </c>
      <c r="F3704" s="5">
        <v>0</v>
      </c>
      <c r="G3704" s="5">
        <v>3500.58</v>
      </c>
      <c r="H3704" s="5">
        <f t="shared" si="114"/>
        <v>3500.58</v>
      </c>
      <c r="I3704" s="9">
        <f t="shared" si="115"/>
        <v>0</v>
      </c>
      <c r="J3704" s="3" t="s">
        <v>4603</v>
      </c>
    </row>
    <row r="3705" spans="1:10" ht="25.5">
      <c r="A3705" s="3" t="s">
        <v>1811</v>
      </c>
      <c r="B3705" s="3" t="s">
        <v>4554</v>
      </c>
      <c r="C3705" s="4">
        <v>23</v>
      </c>
      <c r="D3705" s="3" t="s">
        <v>71</v>
      </c>
      <c r="E3705" s="3" t="s">
        <v>8</v>
      </c>
      <c r="F3705" s="5">
        <v>12993.96</v>
      </c>
      <c r="G3705" s="5">
        <v>10535.28</v>
      </c>
      <c r="H3705" s="5">
        <f t="shared" si="114"/>
        <v>-2458.6799999999985</v>
      </c>
      <c r="I3705" s="9">
        <f t="shared" si="115"/>
        <v>-0.18921714396534994</v>
      </c>
      <c r="J3705" s="3" t="s">
        <v>4603</v>
      </c>
    </row>
    <row r="3706" spans="1:10" ht="25.5">
      <c r="A3706" s="3" t="s">
        <v>1811</v>
      </c>
      <c r="B3706" s="3" t="s">
        <v>4555</v>
      </c>
      <c r="C3706" s="4">
        <v>315</v>
      </c>
      <c r="D3706" s="3" t="s">
        <v>79</v>
      </c>
      <c r="E3706" s="3" t="s">
        <v>8</v>
      </c>
      <c r="F3706" s="5">
        <v>0</v>
      </c>
      <c r="G3706" s="5">
        <v>6815.4459999999999</v>
      </c>
      <c r="H3706" s="5">
        <f t="shared" si="114"/>
        <v>6815.4459999999999</v>
      </c>
      <c r="I3706" s="9">
        <f t="shared" si="115"/>
        <v>0</v>
      </c>
      <c r="J3706" s="3" t="s">
        <v>4603</v>
      </c>
    </row>
    <row r="3707" spans="1:10" ht="25.5">
      <c r="A3707" s="3" t="s">
        <v>1811</v>
      </c>
      <c r="B3707" s="3" t="s">
        <v>4556</v>
      </c>
      <c r="C3707" s="4">
        <v>315</v>
      </c>
      <c r="D3707" s="3" t="s">
        <v>79</v>
      </c>
      <c r="E3707" s="3" t="s">
        <v>8</v>
      </c>
      <c r="F3707" s="5">
        <v>6118.38</v>
      </c>
      <c r="G3707" s="5">
        <v>12911.172</v>
      </c>
      <c r="H3707" s="5">
        <f t="shared" si="114"/>
        <v>6792.7920000000004</v>
      </c>
      <c r="I3707" s="9">
        <f t="shared" si="115"/>
        <v>1.1102272170084238</v>
      </c>
      <c r="J3707" s="3" t="s">
        <v>4603</v>
      </c>
    </row>
    <row r="3708" spans="1:10" ht="25.5">
      <c r="A3708" s="3" t="s">
        <v>1811</v>
      </c>
      <c r="B3708" s="3" t="s">
        <v>4557</v>
      </c>
      <c r="C3708" s="4">
        <v>337</v>
      </c>
      <c r="D3708" s="3" t="s">
        <v>218</v>
      </c>
      <c r="E3708" s="3" t="s">
        <v>13</v>
      </c>
      <c r="F3708" s="5">
        <v>0</v>
      </c>
      <c r="G3708" s="5">
        <v>12930.57</v>
      </c>
      <c r="H3708" s="5">
        <f t="shared" si="114"/>
        <v>12930.57</v>
      </c>
      <c r="I3708" s="9">
        <f t="shared" si="115"/>
        <v>0</v>
      </c>
      <c r="J3708" s="3" t="s">
        <v>4603</v>
      </c>
    </row>
    <row r="3709" spans="1:10">
      <c r="A3709" s="3" t="s">
        <v>1811</v>
      </c>
      <c r="B3709" s="3" t="s">
        <v>4558</v>
      </c>
      <c r="C3709" s="4">
        <v>15</v>
      </c>
      <c r="D3709" s="3" t="s">
        <v>33</v>
      </c>
      <c r="E3709" s="3" t="s">
        <v>13</v>
      </c>
      <c r="F3709" s="5">
        <v>43641</v>
      </c>
      <c r="G3709" s="5">
        <v>0</v>
      </c>
      <c r="H3709" s="5">
        <f t="shared" si="114"/>
        <v>-43641</v>
      </c>
      <c r="I3709" s="9">
        <f t="shared" si="115"/>
        <v>-1</v>
      </c>
      <c r="J3709" s="3" t="s">
        <v>4604</v>
      </c>
    </row>
    <row r="3710" spans="1:10" ht="38.25">
      <c r="A3710" s="3" t="s">
        <v>1811</v>
      </c>
      <c r="B3710" s="3" t="s">
        <v>4559</v>
      </c>
      <c r="C3710" s="4">
        <v>297</v>
      </c>
      <c r="D3710" s="3" t="s">
        <v>209</v>
      </c>
      <c r="E3710" s="3" t="s">
        <v>22</v>
      </c>
      <c r="F3710" s="5">
        <v>0</v>
      </c>
      <c r="G3710" s="5">
        <v>14583.12</v>
      </c>
      <c r="H3710" s="5">
        <f t="shared" si="114"/>
        <v>14583.12</v>
      </c>
      <c r="I3710" s="9">
        <f t="shared" si="115"/>
        <v>0</v>
      </c>
      <c r="J3710" s="3" t="s">
        <v>4603</v>
      </c>
    </row>
    <row r="3711" spans="1:10" ht="38.25">
      <c r="A3711" s="3" t="s">
        <v>1811</v>
      </c>
      <c r="B3711" s="3" t="s">
        <v>4560</v>
      </c>
      <c r="C3711" s="4">
        <v>11</v>
      </c>
      <c r="D3711" s="3" t="s">
        <v>55</v>
      </c>
      <c r="E3711" s="3" t="s">
        <v>18</v>
      </c>
      <c r="F3711" s="5">
        <v>11926.32</v>
      </c>
      <c r="G3711" s="5">
        <v>6519.6</v>
      </c>
      <c r="H3711" s="5">
        <f t="shared" si="114"/>
        <v>-5406.7199999999993</v>
      </c>
      <c r="I3711" s="9">
        <f t="shared" si="115"/>
        <v>-0.45334352926971599</v>
      </c>
      <c r="J3711" s="3" t="s">
        <v>4603</v>
      </c>
    </row>
    <row r="3712" spans="1:10" ht="25.5">
      <c r="A3712" s="3" t="s">
        <v>1811</v>
      </c>
      <c r="B3712" s="3" t="s">
        <v>4561</v>
      </c>
      <c r="C3712" s="4">
        <v>15</v>
      </c>
      <c r="D3712" s="3" t="s">
        <v>33</v>
      </c>
      <c r="E3712" s="3" t="s">
        <v>13</v>
      </c>
      <c r="F3712" s="5">
        <v>24279.84</v>
      </c>
      <c r="G3712" s="5">
        <v>20372.28</v>
      </c>
      <c r="H3712" s="5">
        <f t="shared" si="114"/>
        <v>-3907.5600000000013</v>
      </c>
      <c r="I3712" s="9">
        <f t="shared" si="115"/>
        <v>-0.16093845758456404</v>
      </c>
      <c r="J3712" s="3" t="s">
        <v>4603</v>
      </c>
    </row>
    <row r="3713" spans="1:10" ht="25.5">
      <c r="A3713" s="3" t="s">
        <v>1811</v>
      </c>
      <c r="B3713" s="3" t="s">
        <v>4562</v>
      </c>
      <c r="C3713" s="4">
        <v>340</v>
      </c>
      <c r="D3713" s="3" t="s">
        <v>2258</v>
      </c>
      <c r="E3713" s="3" t="s">
        <v>8</v>
      </c>
      <c r="F3713" s="5">
        <v>0</v>
      </c>
      <c r="G3713" s="5">
        <v>2609.2800000000002</v>
      </c>
      <c r="H3713" s="5">
        <f t="shared" si="114"/>
        <v>2609.2800000000002</v>
      </c>
      <c r="I3713" s="9">
        <f t="shared" si="115"/>
        <v>0</v>
      </c>
      <c r="J3713" s="3" t="s">
        <v>4603</v>
      </c>
    </row>
    <row r="3714" spans="1:10" ht="38.25">
      <c r="A3714" s="3" t="s">
        <v>1811</v>
      </c>
      <c r="B3714" s="3" t="s">
        <v>4563</v>
      </c>
      <c r="C3714" s="4">
        <v>11</v>
      </c>
      <c r="D3714" s="3" t="s">
        <v>55</v>
      </c>
      <c r="E3714" s="3" t="s">
        <v>18</v>
      </c>
      <c r="F3714" s="5">
        <v>0</v>
      </c>
      <c r="G3714" s="5">
        <v>11265.96</v>
      </c>
      <c r="H3714" s="5">
        <f t="shared" si="114"/>
        <v>11265.96</v>
      </c>
      <c r="I3714" s="9">
        <f t="shared" si="115"/>
        <v>0</v>
      </c>
      <c r="J3714" s="3" t="s">
        <v>4603</v>
      </c>
    </row>
    <row r="3715" spans="1:10">
      <c r="A3715" s="3" t="s">
        <v>1811</v>
      </c>
      <c r="B3715" s="3" t="s">
        <v>4564</v>
      </c>
      <c r="C3715" s="4">
        <v>240</v>
      </c>
      <c r="D3715" s="3" t="s">
        <v>152</v>
      </c>
      <c r="E3715" s="3" t="s">
        <v>13</v>
      </c>
      <c r="F3715" s="5">
        <v>22614.48</v>
      </c>
      <c r="G3715" s="5">
        <v>5215.68</v>
      </c>
      <c r="H3715" s="5">
        <f t="shared" ref="H3715:H3750" si="116">G3715-F3715</f>
        <v>-17398.8</v>
      </c>
      <c r="I3715" s="9">
        <f t="shared" ref="I3715:I3751" si="117">IFERROR(G3715/F3715-1,0)</f>
        <v>-0.76936546849629084</v>
      </c>
      <c r="J3715" s="3" t="s">
        <v>4604</v>
      </c>
    </row>
    <row r="3716" spans="1:10" ht="25.5">
      <c r="A3716" s="3" t="s">
        <v>1811</v>
      </c>
      <c r="B3716" s="3" t="s">
        <v>4565</v>
      </c>
      <c r="C3716" s="4">
        <v>321</v>
      </c>
      <c r="D3716" s="3" t="s">
        <v>125</v>
      </c>
      <c r="E3716" s="3" t="s">
        <v>22</v>
      </c>
      <c r="F3716" s="5">
        <v>7446.81</v>
      </c>
      <c r="G3716" s="5">
        <v>4908.8999999999996</v>
      </c>
      <c r="H3716" s="5">
        <f t="shared" si="116"/>
        <v>-2537.9100000000008</v>
      </c>
      <c r="I3716" s="9">
        <f t="shared" si="117"/>
        <v>-0.3408049889818594</v>
      </c>
      <c r="J3716" s="3" t="s">
        <v>4603</v>
      </c>
    </row>
    <row r="3717" spans="1:10" ht="25.5">
      <c r="A3717" s="3" t="s">
        <v>1811</v>
      </c>
      <c r="B3717" s="3" t="s">
        <v>4566</v>
      </c>
      <c r="C3717" s="4">
        <v>31</v>
      </c>
      <c r="D3717" s="3" t="s">
        <v>172</v>
      </c>
      <c r="E3717" s="3" t="s">
        <v>13</v>
      </c>
      <c r="F3717" s="5">
        <v>0</v>
      </c>
      <c r="G3717" s="5">
        <v>7499.75</v>
      </c>
      <c r="H3717" s="5">
        <f t="shared" si="116"/>
        <v>7499.75</v>
      </c>
      <c r="I3717" s="9">
        <f t="shared" si="117"/>
        <v>0</v>
      </c>
      <c r="J3717" s="3" t="s">
        <v>4603</v>
      </c>
    </row>
    <row r="3718" spans="1:10" ht="38.25">
      <c r="A3718" s="3" t="s">
        <v>1811</v>
      </c>
      <c r="B3718" s="3" t="s">
        <v>4567</v>
      </c>
      <c r="C3718" s="4">
        <v>331</v>
      </c>
      <c r="D3718" s="3" t="s">
        <v>1728</v>
      </c>
      <c r="E3718" s="3" t="s">
        <v>9</v>
      </c>
      <c r="F3718" s="5">
        <v>0</v>
      </c>
      <c r="G3718" s="5">
        <v>3513.6179999999999</v>
      </c>
      <c r="H3718" s="5">
        <f t="shared" si="116"/>
        <v>3513.6179999999999</v>
      </c>
      <c r="I3718" s="9">
        <f t="shared" si="117"/>
        <v>0</v>
      </c>
      <c r="J3718" s="3" t="s">
        <v>4603</v>
      </c>
    </row>
    <row r="3719" spans="1:10" ht="25.5">
      <c r="A3719" s="3" t="s">
        <v>1811</v>
      </c>
      <c r="B3719" s="3" t="s">
        <v>4568</v>
      </c>
      <c r="C3719" s="4">
        <v>197</v>
      </c>
      <c r="D3719" s="3" t="s">
        <v>23</v>
      </c>
      <c r="E3719" s="3" t="s">
        <v>22</v>
      </c>
      <c r="F3719" s="5">
        <v>0</v>
      </c>
      <c r="G3719" s="5">
        <v>8115.6</v>
      </c>
      <c r="H3719" s="5">
        <f t="shared" si="116"/>
        <v>8115.6</v>
      </c>
      <c r="I3719" s="9">
        <f t="shared" si="117"/>
        <v>0</v>
      </c>
      <c r="J3719" s="3" t="s">
        <v>4603</v>
      </c>
    </row>
    <row r="3720" spans="1:10" ht="25.5">
      <c r="A3720" s="3" t="s">
        <v>1811</v>
      </c>
      <c r="B3720" s="3" t="s">
        <v>4569</v>
      </c>
      <c r="C3720" s="4">
        <v>74</v>
      </c>
      <c r="D3720" s="3" t="s">
        <v>86</v>
      </c>
      <c r="E3720" s="3" t="s">
        <v>8</v>
      </c>
      <c r="F3720" s="5">
        <v>25492.86</v>
      </c>
      <c r="G3720" s="5">
        <v>15342.36</v>
      </c>
      <c r="H3720" s="5">
        <f t="shared" si="116"/>
        <v>-10150.5</v>
      </c>
      <c r="I3720" s="9">
        <f t="shared" si="117"/>
        <v>-0.39817031121655244</v>
      </c>
      <c r="J3720" s="3" t="s">
        <v>4603</v>
      </c>
    </row>
    <row r="3721" spans="1:10" ht="25.5">
      <c r="A3721" s="3" t="s">
        <v>1811</v>
      </c>
      <c r="B3721" s="3" t="s">
        <v>4570</v>
      </c>
      <c r="C3721" s="4">
        <v>315</v>
      </c>
      <c r="D3721" s="3" t="s">
        <v>79</v>
      </c>
      <c r="E3721" s="3" t="s">
        <v>8</v>
      </c>
      <c r="F3721" s="5">
        <v>3521.1</v>
      </c>
      <c r="G3721" s="5">
        <v>8955.1110000000008</v>
      </c>
      <c r="H3721" s="5">
        <f t="shared" si="116"/>
        <v>5434.0110000000004</v>
      </c>
      <c r="I3721" s="9">
        <f t="shared" si="117"/>
        <v>1.5432708528584822</v>
      </c>
      <c r="J3721" s="3" t="s">
        <v>4603</v>
      </c>
    </row>
    <row r="3722" spans="1:10" ht="25.5">
      <c r="A3722" s="3" t="s">
        <v>1811</v>
      </c>
      <c r="B3722" s="3" t="s">
        <v>4571</v>
      </c>
      <c r="C3722" s="4">
        <v>218</v>
      </c>
      <c r="D3722" s="3" t="s">
        <v>155</v>
      </c>
      <c r="E3722" s="3" t="s">
        <v>13</v>
      </c>
      <c r="F3722" s="5">
        <v>3455.28</v>
      </c>
      <c r="G3722" s="5">
        <v>8276.16</v>
      </c>
      <c r="H3722" s="5">
        <f t="shared" si="116"/>
        <v>4820.8799999999992</v>
      </c>
      <c r="I3722" s="9">
        <f t="shared" si="117"/>
        <v>1.3952212266444395</v>
      </c>
      <c r="J3722" s="3" t="s">
        <v>4603</v>
      </c>
    </row>
    <row r="3723" spans="1:10" ht="25.5">
      <c r="A3723" s="3" t="s">
        <v>1811</v>
      </c>
      <c r="B3723" s="3" t="s">
        <v>4572</v>
      </c>
      <c r="C3723" s="4">
        <v>261</v>
      </c>
      <c r="D3723" s="3" t="s">
        <v>17</v>
      </c>
      <c r="E3723" s="3" t="s">
        <v>18</v>
      </c>
      <c r="F3723" s="5">
        <v>32487.54</v>
      </c>
      <c r="G3723" s="5">
        <v>30876.9</v>
      </c>
      <c r="H3723" s="5">
        <f t="shared" si="116"/>
        <v>-1610.6399999999994</v>
      </c>
      <c r="I3723" s="9">
        <f t="shared" si="117"/>
        <v>-4.9577160966942979E-2</v>
      </c>
      <c r="J3723" s="3" t="s">
        <v>4603</v>
      </c>
    </row>
    <row r="3724" spans="1:10" ht="38.25">
      <c r="A3724" s="3" t="s">
        <v>1811</v>
      </c>
      <c r="B3724" s="3" t="s">
        <v>4573</v>
      </c>
      <c r="C3724" s="4">
        <v>45</v>
      </c>
      <c r="D3724" s="3" t="s">
        <v>16</v>
      </c>
      <c r="E3724" s="3" t="s">
        <v>8</v>
      </c>
      <c r="F3724" s="5">
        <v>8680.6200000000008</v>
      </c>
      <c r="G3724" s="5">
        <v>0</v>
      </c>
      <c r="H3724" s="5">
        <f t="shared" si="116"/>
        <v>-8680.6200000000008</v>
      </c>
      <c r="I3724" s="9">
        <f t="shared" si="117"/>
        <v>-1</v>
      </c>
      <c r="J3724" s="3" t="s">
        <v>4603</v>
      </c>
    </row>
    <row r="3725" spans="1:10" ht="25.5">
      <c r="A3725" s="3" t="s">
        <v>1811</v>
      </c>
      <c r="B3725" s="3" t="s">
        <v>4574</v>
      </c>
      <c r="C3725" s="4">
        <v>74</v>
      </c>
      <c r="D3725" s="3" t="s">
        <v>86</v>
      </c>
      <c r="E3725" s="3" t="s">
        <v>8</v>
      </c>
      <c r="F3725" s="5">
        <v>0</v>
      </c>
      <c r="G3725" s="5">
        <v>6321.36</v>
      </c>
      <c r="H3725" s="5">
        <f t="shared" si="116"/>
        <v>6321.36</v>
      </c>
      <c r="I3725" s="9">
        <f t="shared" si="117"/>
        <v>0</v>
      </c>
      <c r="J3725" s="3" t="s">
        <v>4603</v>
      </c>
    </row>
    <row r="3726" spans="1:10" ht="25.5">
      <c r="A3726" s="3" t="s">
        <v>1811</v>
      </c>
      <c r="B3726" s="3" t="s">
        <v>4575</v>
      </c>
      <c r="C3726" s="4">
        <v>194</v>
      </c>
      <c r="D3726" s="3" t="s">
        <v>179</v>
      </c>
      <c r="E3726" s="3" t="s">
        <v>13</v>
      </c>
      <c r="F3726" s="5">
        <v>10111.469999999999</v>
      </c>
      <c r="G3726" s="5">
        <v>19266.78</v>
      </c>
      <c r="H3726" s="5">
        <f t="shared" si="116"/>
        <v>9155.31</v>
      </c>
      <c r="I3726" s="9">
        <f t="shared" si="117"/>
        <v>0.90543808170325391</v>
      </c>
      <c r="J3726" s="3" t="s">
        <v>4603</v>
      </c>
    </row>
    <row r="3727" spans="1:10" ht="38.25">
      <c r="A3727" s="3" t="s">
        <v>1811</v>
      </c>
      <c r="B3727" s="3" t="s">
        <v>4576</v>
      </c>
      <c r="C3727" s="4">
        <v>11</v>
      </c>
      <c r="D3727" s="3" t="s">
        <v>55</v>
      </c>
      <c r="E3727" s="3" t="s">
        <v>18</v>
      </c>
      <c r="F3727" s="5">
        <v>0</v>
      </c>
      <c r="G3727" s="5">
        <v>9758.43</v>
      </c>
      <c r="H3727" s="5">
        <f t="shared" si="116"/>
        <v>9758.43</v>
      </c>
      <c r="I3727" s="9">
        <f t="shared" si="117"/>
        <v>0</v>
      </c>
      <c r="J3727" s="3" t="s">
        <v>4603</v>
      </c>
    </row>
    <row r="3728" spans="1:10" ht="25.5">
      <c r="A3728" s="3" t="s">
        <v>1811</v>
      </c>
      <c r="B3728" s="3" t="s">
        <v>4577</v>
      </c>
      <c r="C3728" s="4">
        <v>41</v>
      </c>
      <c r="D3728" s="3" t="s">
        <v>106</v>
      </c>
      <c r="E3728" s="3" t="s">
        <v>22</v>
      </c>
      <c r="F3728" s="5">
        <v>0</v>
      </c>
      <c r="G3728" s="5">
        <v>6875.52</v>
      </c>
      <c r="H3728" s="5">
        <f t="shared" si="116"/>
        <v>6875.52</v>
      </c>
      <c r="I3728" s="9">
        <f t="shared" si="117"/>
        <v>0</v>
      </c>
      <c r="J3728" s="3" t="s">
        <v>4603</v>
      </c>
    </row>
    <row r="3729" spans="1:10" ht="38.25">
      <c r="A3729" s="3" t="s">
        <v>1811</v>
      </c>
      <c r="B3729" s="3" t="s">
        <v>4578</v>
      </c>
      <c r="C3729" s="4">
        <v>34</v>
      </c>
      <c r="D3729" s="3" t="s">
        <v>136</v>
      </c>
      <c r="E3729" s="3" t="s">
        <v>30</v>
      </c>
      <c r="F3729" s="5">
        <v>0</v>
      </c>
      <c r="G3729" s="5">
        <v>18607.259999999998</v>
      </c>
      <c r="H3729" s="5">
        <f t="shared" si="116"/>
        <v>18607.259999999998</v>
      </c>
      <c r="I3729" s="9">
        <f t="shared" si="117"/>
        <v>0</v>
      </c>
      <c r="J3729" s="3" t="s">
        <v>4603</v>
      </c>
    </row>
    <row r="3730" spans="1:10" ht="38.25">
      <c r="A3730" s="3" t="s">
        <v>1811</v>
      </c>
      <c r="B3730" s="3" t="s">
        <v>4579</v>
      </c>
      <c r="C3730" s="4">
        <v>38</v>
      </c>
      <c r="D3730" s="3" t="s">
        <v>229</v>
      </c>
      <c r="E3730" s="3" t="s">
        <v>30</v>
      </c>
      <c r="F3730" s="5">
        <v>3371.4</v>
      </c>
      <c r="G3730" s="5">
        <v>1802.16</v>
      </c>
      <c r="H3730" s="5">
        <f t="shared" si="116"/>
        <v>-1569.24</v>
      </c>
      <c r="I3730" s="9">
        <f t="shared" si="117"/>
        <v>-0.46545648691938069</v>
      </c>
      <c r="J3730" s="3" t="s">
        <v>4603</v>
      </c>
    </row>
    <row r="3731" spans="1:10" ht="25.5">
      <c r="A3731" s="3" t="s">
        <v>1811</v>
      </c>
      <c r="B3731" s="3" t="s">
        <v>4580</v>
      </c>
      <c r="C3731" s="4">
        <v>178</v>
      </c>
      <c r="D3731" s="3" t="s">
        <v>92</v>
      </c>
      <c r="E3731" s="3" t="s">
        <v>8</v>
      </c>
      <c r="F3731" s="5">
        <v>15741.48</v>
      </c>
      <c r="G3731" s="5">
        <v>12346.2</v>
      </c>
      <c r="H3731" s="5">
        <f t="shared" si="116"/>
        <v>-3395.2799999999988</v>
      </c>
      <c r="I3731" s="9">
        <f t="shared" si="117"/>
        <v>-0.21569001135852528</v>
      </c>
      <c r="J3731" s="3" t="s">
        <v>4603</v>
      </c>
    </row>
    <row r="3732" spans="1:10" ht="38.25">
      <c r="A3732" s="3" t="s">
        <v>1811</v>
      </c>
      <c r="B3732" s="3" t="s">
        <v>4581</v>
      </c>
      <c r="C3732" s="4">
        <v>335</v>
      </c>
      <c r="D3732" s="3" t="s">
        <v>7</v>
      </c>
      <c r="E3732" s="3" t="s">
        <v>8</v>
      </c>
      <c r="F3732" s="5">
        <v>0</v>
      </c>
      <c r="G3732" s="5">
        <v>20720.400000000001</v>
      </c>
      <c r="H3732" s="5">
        <f t="shared" si="116"/>
        <v>20720.400000000001</v>
      </c>
      <c r="I3732" s="9">
        <f t="shared" si="117"/>
        <v>0</v>
      </c>
      <c r="J3732" s="3" t="s">
        <v>4603</v>
      </c>
    </row>
    <row r="3733" spans="1:10" ht="25.5">
      <c r="A3733" s="3" t="s">
        <v>1811</v>
      </c>
      <c r="B3733" s="3" t="s">
        <v>4582</v>
      </c>
      <c r="C3733" s="4">
        <v>19</v>
      </c>
      <c r="D3733" s="3" t="s">
        <v>53</v>
      </c>
      <c r="E3733" s="3" t="s">
        <v>22</v>
      </c>
      <c r="F3733" s="5">
        <v>25819.8</v>
      </c>
      <c r="G3733" s="5">
        <v>0</v>
      </c>
      <c r="H3733" s="5">
        <f t="shared" si="116"/>
        <v>-25819.8</v>
      </c>
      <c r="I3733" s="9">
        <f t="shared" si="117"/>
        <v>-1</v>
      </c>
      <c r="J3733" s="3" t="s">
        <v>4604</v>
      </c>
    </row>
    <row r="3734" spans="1:10" ht="38.25">
      <c r="A3734" s="3" t="s">
        <v>1811</v>
      </c>
      <c r="B3734" s="3" t="s">
        <v>4583</v>
      </c>
      <c r="C3734" s="4">
        <v>333</v>
      </c>
      <c r="D3734" s="3" t="s">
        <v>1881</v>
      </c>
      <c r="E3734" s="3" t="s">
        <v>22</v>
      </c>
      <c r="F3734" s="5">
        <v>0</v>
      </c>
      <c r="G3734" s="5">
        <v>2929.56</v>
      </c>
      <c r="H3734" s="5">
        <f t="shared" si="116"/>
        <v>2929.56</v>
      </c>
      <c r="I3734" s="9">
        <f t="shared" si="117"/>
        <v>0</v>
      </c>
      <c r="J3734" s="3" t="s">
        <v>4603</v>
      </c>
    </row>
    <row r="3735" spans="1:10">
      <c r="A3735" s="3" t="s">
        <v>1811</v>
      </c>
      <c r="B3735" s="3" t="s">
        <v>4584</v>
      </c>
      <c r="C3735" s="4">
        <v>232</v>
      </c>
      <c r="D3735" s="3" t="s">
        <v>95</v>
      </c>
      <c r="E3735" s="3" t="s">
        <v>13</v>
      </c>
      <c r="F3735" s="5">
        <v>3013.47</v>
      </c>
      <c r="G3735" s="5">
        <v>0</v>
      </c>
      <c r="H3735" s="5">
        <f t="shared" si="116"/>
        <v>-3013.47</v>
      </c>
      <c r="I3735" s="9">
        <f t="shared" si="117"/>
        <v>-1</v>
      </c>
      <c r="J3735" s="3" t="s">
        <v>4603</v>
      </c>
    </row>
    <row r="3736" spans="1:10" ht="25.5">
      <c r="A3736" s="3" t="s">
        <v>1811</v>
      </c>
      <c r="B3736" s="3" t="s">
        <v>4585</v>
      </c>
      <c r="C3736" s="4">
        <v>273</v>
      </c>
      <c r="D3736" s="3" t="s">
        <v>771</v>
      </c>
      <c r="E3736" s="3" t="s">
        <v>18</v>
      </c>
      <c r="F3736" s="5">
        <v>11833.5</v>
      </c>
      <c r="G3736" s="5">
        <v>0</v>
      </c>
      <c r="H3736" s="5">
        <f t="shared" si="116"/>
        <v>-11833.5</v>
      </c>
      <c r="I3736" s="9">
        <f t="shared" si="117"/>
        <v>-1</v>
      </c>
      <c r="J3736" s="3" t="s">
        <v>4603</v>
      </c>
    </row>
    <row r="3737" spans="1:10" ht="25.5">
      <c r="A3737" s="3" t="s">
        <v>1811</v>
      </c>
      <c r="B3737" s="3" t="s">
        <v>4585</v>
      </c>
      <c r="C3737" s="4">
        <v>273</v>
      </c>
      <c r="D3737" s="3" t="s">
        <v>771</v>
      </c>
      <c r="E3737" s="3" t="s">
        <v>13</v>
      </c>
      <c r="F3737" s="5">
        <v>11833.5</v>
      </c>
      <c r="G3737" s="5">
        <v>0</v>
      </c>
      <c r="H3737" s="5">
        <f t="shared" si="116"/>
        <v>-11833.5</v>
      </c>
      <c r="I3737" s="9">
        <f t="shared" si="117"/>
        <v>-1</v>
      </c>
      <c r="J3737" s="3" t="s">
        <v>4603</v>
      </c>
    </row>
    <row r="3738" spans="1:10" ht="38.25">
      <c r="A3738" s="3" t="s">
        <v>1811</v>
      </c>
      <c r="B3738" s="3" t="s">
        <v>4586</v>
      </c>
      <c r="C3738" s="4">
        <v>34</v>
      </c>
      <c r="D3738" s="3" t="s">
        <v>136</v>
      </c>
      <c r="E3738" s="3" t="s">
        <v>30</v>
      </c>
      <c r="F3738" s="5">
        <v>8041.59</v>
      </c>
      <c r="G3738" s="5">
        <v>0</v>
      </c>
      <c r="H3738" s="5">
        <f t="shared" si="116"/>
        <v>-8041.59</v>
      </c>
      <c r="I3738" s="9">
        <f t="shared" si="117"/>
        <v>-1</v>
      </c>
      <c r="J3738" s="3" t="s">
        <v>4603</v>
      </c>
    </row>
    <row r="3739" spans="1:10" ht="51">
      <c r="A3739" s="3" t="s">
        <v>1811</v>
      </c>
      <c r="B3739" s="3" t="s">
        <v>4587</v>
      </c>
      <c r="C3739" s="4">
        <v>282</v>
      </c>
      <c r="D3739" s="3" t="s">
        <v>298</v>
      </c>
      <c r="E3739" s="3" t="s">
        <v>9</v>
      </c>
      <c r="F3739" s="5">
        <v>2400</v>
      </c>
      <c r="G3739" s="5">
        <v>11448.351000000001</v>
      </c>
      <c r="H3739" s="5">
        <f t="shared" si="116"/>
        <v>9048.3510000000006</v>
      </c>
      <c r="I3739" s="9">
        <f t="shared" si="117"/>
        <v>3.7701462499999998</v>
      </c>
      <c r="J3739" s="3" t="s">
        <v>4603</v>
      </c>
    </row>
    <row r="3740" spans="1:10" ht="25.5">
      <c r="A3740" s="3" t="s">
        <v>1811</v>
      </c>
      <c r="B3740" s="3" t="s">
        <v>4588</v>
      </c>
      <c r="C3740" s="4">
        <v>23</v>
      </c>
      <c r="D3740" s="3" t="s">
        <v>71</v>
      </c>
      <c r="E3740" s="3" t="s">
        <v>8</v>
      </c>
      <c r="F3740" s="5">
        <v>0</v>
      </c>
      <c r="G3740" s="5">
        <v>4001.04</v>
      </c>
      <c r="H3740" s="5">
        <f t="shared" si="116"/>
        <v>4001.04</v>
      </c>
      <c r="I3740" s="9">
        <f t="shared" si="117"/>
        <v>0</v>
      </c>
      <c r="J3740" s="3" t="s">
        <v>4603</v>
      </c>
    </row>
    <row r="3741" spans="1:10" ht="25.5">
      <c r="A3741" s="3" t="s">
        <v>1811</v>
      </c>
      <c r="B3741" s="3" t="s">
        <v>4589</v>
      </c>
      <c r="C3741" s="4">
        <v>23</v>
      </c>
      <c r="D3741" s="3" t="s">
        <v>71</v>
      </c>
      <c r="E3741" s="3" t="s">
        <v>8</v>
      </c>
      <c r="F3741" s="5">
        <v>2951.52</v>
      </c>
      <c r="G3741" s="5">
        <v>0</v>
      </c>
      <c r="H3741" s="5">
        <f t="shared" si="116"/>
        <v>-2951.52</v>
      </c>
      <c r="I3741" s="9">
        <f t="shared" si="117"/>
        <v>-1</v>
      </c>
      <c r="J3741" s="3" t="s">
        <v>4603</v>
      </c>
    </row>
    <row r="3742" spans="1:10" ht="25.5">
      <c r="A3742" s="3" t="s">
        <v>1811</v>
      </c>
      <c r="B3742" s="3" t="s">
        <v>4590</v>
      </c>
      <c r="C3742" s="4">
        <v>317</v>
      </c>
      <c r="D3742" s="3" t="s">
        <v>54</v>
      </c>
      <c r="E3742" s="3" t="s">
        <v>18</v>
      </c>
      <c r="F3742" s="5">
        <v>7820.16</v>
      </c>
      <c r="G3742" s="5">
        <v>0</v>
      </c>
      <c r="H3742" s="5">
        <f t="shared" si="116"/>
        <v>-7820.16</v>
      </c>
      <c r="I3742" s="9">
        <f t="shared" si="117"/>
        <v>-1</v>
      </c>
      <c r="J3742" s="3" t="s">
        <v>4603</v>
      </c>
    </row>
    <row r="3743" spans="1:10" ht="38.25">
      <c r="A3743" s="3" t="s">
        <v>1811</v>
      </c>
      <c r="B3743" s="3" t="s">
        <v>4591</v>
      </c>
      <c r="C3743" s="4">
        <v>45</v>
      </c>
      <c r="D3743" s="3" t="s">
        <v>16</v>
      </c>
      <c r="E3743" s="3" t="s">
        <v>8</v>
      </c>
      <c r="F3743" s="5">
        <v>23969.94</v>
      </c>
      <c r="G3743" s="5">
        <v>21776.13</v>
      </c>
      <c r="H3743" s="5">
        <f t="shared" si="116"/>
        <v>-2193.8099999999977</v>
      </c>
      <c r="I3743" s="9">
        <f t="shared" si="117"/>
        <v>-9.1523383037254047E-2</v>
      </c>
      <c r="J3743" s="3" t="s">
        <v>4603</v>
      </c>
    </row>
    <row r="3744" spans="1:10" ht="25.5">
      <c r="A3744" s="3" t="s">
        <v>1811</v>
      </c>
      <c r="B3744" s="3" t="s">
        <v>4592</v>
      </c>
      <c r="C3744" s="4">
        <v>194</v>
      </c>
      <c r="D3744" s="3" t="s">
        <v>179</v>
      </c>
      <c r="E3744" s="3" t="s">
        <v>13</v>
      </c>
      <c r="F3744" s="5">
        <v>0</v>
      </c>
      <c r="G3744" s="5">
        <v>21789.24</v>
      </c>
      <c r="H3744" s="5">
        <f t="shared" si="116"/>
        <v>21789.24</v>
      </c>
      <c r="I3744" s="9">
        <f t="shared" si="117"/>
        <v>0</v>
      </c>
      <c r="J3744" s="3" t="s">
        <v>4603</v>
      </c>
    </row>
    <row r="3745" spans="1:10" ht="25.5">
      <c r="A3745" s="3" t="s">
        <v>1811</v>
      </c>
      <c r="B3745" s="3" t="s">
        <v>4593</v>
      </c>
      <c r="C3745" s="4">
        <v>299</v>
      </c>
      <c r="D3745" s="3" t="s">
        <v>246</v>
      </c>
      <c r="E3745" s="3" t="s">
        <v>30</v>
      </c>
      <c r="F3745" s="5">
        <v>0</v>
      </c>
      <c r="G3745" s="5">
        <v>4750.5450000000001</v>
      </c>
      <c r="H3745" s="5">
        <f t="shared" si="116"/>
        <v>4750.5450000000001</v>
      </c>
      <c r="I3745" s="9">
        <f t="shared" si="117"/>
        <v>0</v>
      </c>
      <c r="J3745" s="3" t="s">
        <v>4603</v>
      </c>
    </row>
    <row r="3746" spans="1:10" ht="25.5">
      <c r="A3746" s="3" t="s">
        <v>1811</v>
      </c>
      <c r="B3746" s="3" t="s">
        <v>4594</v>
      </c>
      <c r="C3746" s="4">
        <v>335</v>
      </c>
      <c r="D3746" s="3" t="s">
        <v>7</v>
      </c>
      <c r="E3746" s="3" t="s">
        <v>8</v>
      </c>
      <c r="F3746" s="5">
        <v>0</v>
      </c>
      <c r="G3746" s="5">
        <v>6299.7</v>
      </c>
      <c r="H3746" s="5">
        <f t="shared" si="116"/>
        <v>6299.7</v>
      </c>
      <c r="I3746" s="9">
        <f t="shared" si="117"/>
        <v>0</v>
      </c>
      <c r="J3746" s="3" t="s">
        <v>4603</v>
      </c>
    </row>
    <row r="3747" spans="1:10" ht="25.5">
      <c r="A3747" s="3" t="s">
        <v>1811</v>
      </c>
      <c r="B3747" s="3" t="s">
        <v>4595</v>
      </c>
      <c r="C3747" s="4">
        <v>337</v>
      </c>
      <c r="D3747" s="3" t="s">
        <v>218</v>
      </c>
      <c r="E3747" s="3" t="s">
        <v>13</v>
      </c>
      <c r="F3747" s="5">
        <v>21106.799999999999</v>
      </c>
      <c r="G3747" s="5">
        <v>23107.183000000001</v>
      </c>
      <c r="H3747" s="5">
        <f t="shared" si="116"/>
        <v>2000.3830000000016</v>
      </c>
      <c r="I3747" s="9">
        <f t="shared" si="117"/>
        <v>9.4774338127996849E-2</v>
      </c>
      <c r="J3747" s="3" t="s">
        <v>4603</v>
      </c>
    </row>
    <row r="3748" spans="1:10" ht="25.5">
      <c r="A3748" s="3" t="s">
        <v>1811</v>
      </c>
      <c r="B3748" s="3" t="s">
        <v>4596</v>
      </c>
      <c r="C3748" s="4">
        <v>178</v>
      </c>
      <c r="D3748" s="3" t="s">
        <v>92</v>
      </c>
      <c r="E3748" s="3" t="s">
        <v>8</v>
      </c>
      <c r="F3748" s="5">
        <v>15813.6</v>
      </c>
      <c r="G3748" s="5">
        <v>16181.1</v>
      </c>
      <c r="H3748" s="5">
        <f t="shared" si="116"/>
        <v>367.5</v>
      </c>
      <c r="I3748" s="9">
        <f t="shared" si="117"/>
        <v>2.323949005918946E-2</v>
      </c>
      <c r="J3748" s="3" t="s">
        <v>4603</v>
      </c>
    </row>
    <row r="3749" spans="1:10" ht="25.5">
      <c r="A3749" s="3" t="s">
        <v>1811</v>
      </c>
      <c r="B3749" s="3" t="s">
        <v>4597</v>
      </c>
      <c r="C3749" s="4">
        <v>23</v>
      </c>
      <c r="D3749" s="3" t="s">
        <v>71</v>
      </c>
      <c r="E3749" s="3" t="s">
        <v>8</v>
      </c>
      <c r="F3749" s="5">
        <v>0</v>
      </c>
      <c r="G3749" s="5">
        <v>2898.12</v>
      </c>
      <c r="H3749" s="5">
        <f t="shared" si="116"/>
        <v>2898.12</v>
      </c>
      <c r="I3749" s="9">
        <f t="shared" si="117"/>
        <v>0</v>
      </c>
      <c r="J3749" s="12" t="s">
        <v>4603</v>
      </c>
    </row>
    <row r="3750" spans="1:10" ht="25.5">
      <c r="A3750" s="3" t="s">
        <v>1811</v>
      </c>
      <c r="B3750" s="3" t="s">
        <v>4598</v>
      </c>
      <c r="C3750" s="4">
        <v>65</v>
      </c>
      <c r="D3750" s="3" t="s">
        <v>1343</v>
      </c>
      <c r="E3750" s="3" t="s">
        <v>18</v>
      </c>
      <c r="F3750" s="5">
        <v>0</v>
      </c>
      <c r="G3750" s="5">
        <v>5115.72</v>
      </c>
      <c r="H3750" s="5">
        <f t="shared" si="116"/>
        <v>5115.72</v>
      </c>
      <c r="I3750" s="17">
        <f t="shared" si="117"/>
        <v>0</v>
      </c>
      <c r="J3750" s="15" t="s">
        <v>4603</v>
      </c>
    </row>
    <row r="3751" spans="1:10">
      <c r="A3751" s="6" t="s">
        <v>4599</v>
      </c>
      <c r="B3751" s="6" t="s">
        <v>4599</v>
      </c>
      <c r="C3751" s="7" t="s">
        <v>4599</v>
      </c>
      <c r="D3751" s="6" t="s">
        <v>4599</v>
      </c>
      <c r="E3751" s="6" t="s">
        <v>4599</v>
      </c>
      <c r="F3751" s="5">
        <f>SUBTOTAL(9,F2:F3750)</f>
        <v>50994494.73200006</v>
      </c>
      <c r="G3751" s="5">
        <f>SUBTOTAL(9,G2:G3750)</f>
        <v>47509637.56599991</v>
      </c>
      <c r="H3751" s="16">
        <f>SUBTOTAL(9,H2:H3750)</f>
        <v>-3484857.1660000007</v>
      </c>
      <c r="I3751" s="18">
        <f t="shared" si="117"/>
        <v>-6.8337909500127525E-2</v>
      </c>
      <c r="J3751" s="13"/>
    </row>
    <row r="3752" spans="1:10">
      <c r="H3752" s="11">
        <f>SUMIF(H2:H3750,"&lt;0")</f>
        <v>-26302894.012000021</v>
      </c>
      <c r="J3752" s="13"/>
    </row>
    <row r="3753" spans="1:10">
      <c r="J3753" s="14"/>
    </row>
  </sheetData>
  <autoFilter ref="A1:J3752" xr:uid="{00000000-0001-0000-0000-000000000000}"/>
  <conditionalFormatting sqref="A1:G3751">
    <cfRule type="cellIs" dxfId="5" priority="7" operator="lessThan">
      <formula>0</formula>
    </cfRule>
  </conditionalFormatting>
  <conditionalFormatting sqref="H1:I3750 H3752 I3751">
    <cfRule type="cellIs" dxfId="3" priority="4" operator="lessThan">
      <formula>0</formula>
    </cfRule>
  </conditionalFormatting>
  <conditionalFormatting sqref="H3751">
    <cfRule type="cellIs" dxfId="2" priority="3" operator="lessThan">
      <formula>0</formula>
    </cfRule>
  </conditionalFormatting>
  <conditionalFormatting sqref="J1:J3752">
    <cfRule type="cellIs" dxfId="0" priority="1" operator="lessThan">
      <formula>0</formula>
    </cfRule>
  </conditionalFormatting>
  <pageMargins left="0.3" right="0.3" top="0.3" bottom="0.3" header="0.3" footer="0.3"/>
  <pageSetup paperSize="9" fitToHeight="0" orientation="portrait" errors="blank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Folha 1</vt:lpstr>
      <vt:lpstr>'Folha 1'!Titulos_de_impressao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SRVAPI$</dc:creator>
  <cp:lastModifiedBy>carlos.gomes</cp:lastModifiedBy>
  <dcterms:created xsi:type="dcterms:W3CDTF">2026-03-20T13:06:42Z</dcterms:created>
  <dcterms:modified xsi:type="dcterms:W3CDTF">2026-03-20T13:18:39Z</dcterms:modified>
</cp:coreProperties>
</file>